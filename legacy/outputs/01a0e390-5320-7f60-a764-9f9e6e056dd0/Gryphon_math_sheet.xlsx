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dc5263e39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d148ce315f457c"/>
    <x:sheet xmlns:r="http://schemas.openxmlformats.org/officeDocument/2006/relationships" name="RTP Build" sheetId="2" r:id="R45c33f46b9304843"/>
    <x:sheet xmlns:r="http://schemas.openxmlformats.org/officeDocument/2006/relationships" name="Odds" sheetId="3" r:id="Rc5ab3e837d6a47fc"/>
    <x:sheet xmlns:r="http://schemas.openxmlformats.org/officeDocument/2006/relationships" name="Base Arrays" sheetId="4" r:id="R406f7d44fd974097"/>
    <x:sheet xmlns:r="http://schemas.openxmlformats.org/officeDocument/2006/relationships" name="Feature Arrays" sheetId="5" r:id="Rd79563a1235e4d60"/>
    <x:sheet xmlns:r="http://schemas.openxmlformats.org/officeDocument/2006/relationships" name="Game Rules" sheetId="6" r:id="Rfbefb2bc01144007"/>
    <x:sheet xmlns:r="http://schemas.openxmlformats.org/officeDocument/2006/relationships" name="Game Flow" sheetId="7" r:id="R5a580097840242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%"/>
    <x:numFmt numFmtId="201" formatCode="0.000000"/>
    <x:numFmt numFmtId="202" formatCode="0.0000"/>
    <x:numFmt numFmtId="203" formatCode="#,##0"/>
    <x:numFmt numFmtId="204" formatCode="0.0%"/>
  </x:numFmts>
  <x:fonts count="4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  <x:font>
      <x:b/>
      <x:sz val="11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203" fontId="0" fillId="0" borderId="1" xfId="0" applyNumberFormat="1" applyFont="1" applyFill="1" applyBorder="1"/>
    <x:xf numFmtId="204" fontId="2" fillId="3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92ab01db9e4a70" /><Relationship Type="http://schemas.openxmlformats.org/officeDocument/2006/relationships/theme" Target="/xl/theme/theme1.xml" Id="R6b62c2d5b095456d" /><Relationship Type="http://schemas.openxmlformats.org/officeDocument/2006/relationships/sharedStrings" Target="/xl/sharedStrings.xml" Id="R42662a715f464a2b" /><Relationship Type="http://schemas.openxmlformats.org/officeDocument/2006/relationships/worksheet" Target="/xl/worksheets/sheet1.xml" Id="Rf2d148ce315f457c" /><Relationship Type="http://schemas.openxmlformats.org/officeDocument/2006/relationships/worksheet" Target="/xl/worksheets/sheet2.xml" Id="R45c33f46b9304843" /><Relationship Type="http://schemas.openxmlformats.org/officeDocument/2006/relationships/worksheet" Target="/xl/worksheets/sheet3.xml" Id="Rc5ab3e837d6a47fc" /><Relationship Type="http://schemas.openxmlformats.org/officeDocument/2006/relationships/worksheet" Target="/xl/worksheets/sheet4.xml" Id="R406f7d44fd974097" /><Relationship Type="http://schemas.openxmlformats.org/officeDocument/2006/relationships/worksheet" Target="/xl/worksheets/sheet5.xml" Id="Rd79563a1235e4d60" /><Relationship Type="http://schemas.openxmlformats.org/officeDocument/2006/relationships/worksheet" Target="/xl/worksheets/sheet6.xml" Id="Rfbefb2bc01144007" /><Relationship Type="http://schemas.openxmlformats.org/officeDocument/2006/relationships/worksheet" Target="/xl/worksheets/sheet7.xml" Id="R5a580097840242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69.3800048828125" hidden="0" customWidth="1"/>
    <x:col min="2" max="2" width="7.880000114440918" hidden="0" customWidth="1"/>
    <x:col min="3" max="3" width="33.630001068115234" hidden="0" customWidth="1"/>
    <x:col min="4" max="4" width="50" hidden="0" customWidth="1"/>
  </x:cols>
  <x:sheetData>
    <x:row r="2" ht="19.200000762939453" hidden="0" customHeight="1">
      <x:c r="A2" s="19" t="str">
        <x:v>Gryphon RTP tuning summary</x:v>
      </x:c>
      <x:c r="B2" s="20"/>
      <x:c r="C2" s="20"/>
    </x:row>
    <x:row r="3" ht="15" hidden="0" customHeight="1">
      <x:c r="A3" s="20"/>
      <x:c r="B3" s="20"/>
      <x:c r="C3" s="20"/>
    </x:row>
    <x:row r="4" ht="15" hidden="0" customHeight="1">
      <x:c r="A4" s="6" t="str">
        <x:v>Metric</x:v>
      </x:c>
      <x:c r="B4" s="6" t="str">
        <x:v>Value</x:v>
      </x:c>
      <x:c r="C4" s="6" t="str">
        <x:v>Note</x:v>
      </x:c>
    </x:row>
    <x:row r="5" ht="15" hidden="0" customHeight="1">
      <x:c r="A5" s="21" t="str">
        <x:v>Target total RTP</x:v>
      </x:c>
      <x:c r="B5" s="22" t="n">
        <x:v>0.94</x:v>
      </x:c>
      <x:c r="C5" s="21" t="str">
        <x:v>User target</x:v>
      </x:c>
    </x:row>
    <x:row r="6" ht="15" hidden="0" customHeight="1">
      <x:c r="A6" s="21" t="str">
        <x:v>Locked base RTP</x:v>
      </x:c>
      <x:c r="B6" s="22" t="n">
        <x:v>0.5517462399913647</x:v>
      </x:c>
      <x:c r="C6" s="21" t="str">
        <x:v>Base line + Collect. Base settings unchanged.</x:v>
      </x:c>
    </x:row>
    <x:row r="7" ht="15" hidden="0" customHeight="1">
      <x:c r="A7" s="21" t="str">
        <x:v>Target feature RTP</x:v>
      </x:c>
      <x:c r="B7" s="22" t="n">
        <x:v>0.3882537600086353</x:v>
      </x:c>
      <x:c r="C7" s="21" t="str">
        <x:v>Target total less locked base</x:v>
      </x:c>
    </x:row>
    <x:row r="8" ht="15" hidden="0" customHeight="1">
      <x:c r="A8" s="21" t="str">
        <x:v>Tuned feature RTP</x:v>
      </x:c>
      <x:c r="B8" s="22" t="n">
        <x:v>0.388454609100488</x:v>
      </x:c>
      <x:c r="C8" s="21" t="str">
        <x:v>5,000 sessions per feature lane</x:v>
      </x:c>
    </x:row>
    <x:row r="9" ht="15" hidden="0" customHeight="1">
      <x:c r="A9" s="21" t="str">
        <x:v>Tuned total RTP</x:v>
      </x:c>
      <x:c r="B9" s="22" t="n">
        <x:v>0.9402008490918528</x:v>
      </x:c>
      <x:c r="C9" s="21" t="str">
        <x:v>Locked base plus tuned feature layer</x:v>
      </x:c>
    </x:row>
    <x:row r="10" ht="15" hidden="0" customHeight="1">
      <x:c r="A10" s="21" t="str">
        <x:v>Feature payout multiplier</x:v>
      </x:c>
      <x:c r="B10" s="23" t="n">
        <x:v>1.086911</x:v>
      </x:c>
      <x:c r="C10" s="21" t="str">
        <x:v>Applied to final feature win only</x:v>
      </x:c>
    </x:row>
    <x:row r="11" ht="15" hidden="0" customHeight="1">
      <x:c r="A11" s="21" t="str">
        <x:v>Overall feature odds</x:v>
      </x:c>
      <x:c r="B11" s="22" t="n">
        <x:v>0.01</x:v>
      </x:c>
      <x:c r="C11" s="21" t="str">
        <x:v>1 in 100</x:v>
      </x:c>
    </x:row>
    <x:row r="12" ht="15" hidden="0" customHeight="1">
      <x:c r="A12" s="21" t="str">
        <x:v>Combo feature odds</x:v>
      </x:c>
      <x:c r="B12" s="22" t="n">
        <x:v>0.0004</x:v>
      </x:c>
      <x:c r="C12" s="21" t="str">
        <x:v>1 in 2,500</x:v>
      </x:c>
    </x:row>
    <x:row r="13" ht="15" hidden="0" customHeight="1">
      <x:c r="A13" s="20"/>
      <x:c r="B13" s="20"/>
      <x:c r="C13" s="20"/>
    </x:row>
    <x:row r="14" ht="15" hidden="0" customHeight="1">
      <x:c r="A14" s="20"/>
      <x:c r="B14" s="20"/>
      <x:c r="C14" s="20"/>
    </x:row>
    <x:row r="15" ht="15" hidden="0" customHeight="1">
      <x:c r="A15" s="20"/>
      <x:c r="B15" s="20"/>
      <x:c r="C15" s="20"/>
    </x:row>
    <x:row r="16" ht="15" hidden="0" customHeight="1">
      <x:c r="A16" s="24" t="str">
        <x:v>Important odds note</x:v>
      </x:c>
      <x:c r="B16" s="20"/>
      <x:c r="C16" s="20"/>
    </x:row>
    <x:row r="17">
      <x:c r="A17" s="25" t="str">
        <x:v>Six single features at exactly 1 in 600 already sum to 1 in 100. Adding combo at 1 in 2,500 would make total odds 1 in 96.15. This tuning preserves total 1 in 100 and combo 1 in 2,500 by using single-feature lanes at 1 in 625 each.</x:v>
      </x:c>
      <x:c r="B17" s="20"/>
      <x:c r="C17" s="20"/>
    </x:row>
  </x:sheetData>
  <x:mergeCells>
    <x:mergeCell ref="A2:H2"/>
    <x:mergeCell ref="A17:D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35.25" hidden="0" customWidth="1"/>
    <x:col min="2" max="2" width="13.5" hidden="0" customWidth="1"/>
    <x:col min="3" max="3" width="23.6299991607666" hidden="0" customWidth="1"/>
    <x:col min="4" max="4" width="8" hidden="0" customWidth="1"/>
    <x:col min="5" max="5" width="14.130000114440918" hidden="0" customWidth="1"/>
    <x:col min="6" max="6" width="25.1299991607666" hidden="0" customWidth="1"/>
  </x:cols>
  <x:sheetData>
    <x:row r="2" ht="19.200000762939453" hidden="0" customHeight="1">
      <x:c r="A2" s="19" t="str">
        <x:v>RTP build and feature odds</x:v>
      </x:c>
      <x:c r="B2" s="20"/>
      <x:c r="C2" s="20"/>
      <x:c r="D2" s="20"/>
      <x:c r="E2" s="20"/>
      <x:c r="F2" s="20"/>
    </x:row>
    <x:row r="3" ht="15" hidden="0" customHeight="1">
      <x:c r="A3" s="20"/>
      <x:c r="B3" s="20"/>
      <x:c r="C3" s="20"/>
      <x:c r="D3" s="20"/>
      <x:c r="E3" s="20"/>
      <x:c r="F3" s="20"/>
    </x:row>
    <x:row r="4" ht="15" hidden="0" customHeight="1">
      <x:c r="A4" s="6" t="str">
        <x:v>Lane</x:v>
      </x:c>
      <x:c r="B4" s="6" t="str">
        <x:v>Requested odds</x:v>
      </x:c>
      <x:c r="C4" s="6" t="str">
        <x:v>Implemented odds</x:v>
      </x:c>
      <x:c r="D4" s="6" t="str">
        <x:v>Mean win</x:v>
      </x:c>
      <x:c r="E4" s="6" t="str">
        <x:v>RTP contribution</x:v>
      </x:c>
      <x:c r="F4" s="6" t="str">
        <x:v>Notes</x:v>
      </x:c>
    </x:row>
    <x:row r="5" ht="15" hidden="0" customHeight="1">
      <x:c r="A5" s="21" t="str">
        <x:v>Base line</x:v>
      </x:c>
      <x:c r="B5" s="21" t="str"/>
      <x:c r="C5" s="21" t="n">
        <x:v>1</x:v>
      </x:c>
      <x:c r="D5" s="22" t="n">
        <x:v>0.35119557999142814</x:v>
      </x:c>
      <x:c r="E5" s="22" t="n">
        <x:f>D5</x:f>
        <x:v>0.35119557999142814</x:v>
      </x:c>
      <x:c r="F5" s="21" t="str">
        <x:v>Locked from 10M base validation</x:v>
      </x:c>
    </x:row>
    <x:row r="6" ht="15" hidden="0" customHeight="1">
      <x:c r="A6" s="21" t="str">
        <x:v>Base Collect</x:v>
      </x:c>
      <x:c r="B6" s="21" t="str"/>
      <x:c r="C6" s="21" t="n">
        <x:v>1</x:v>
      </x:c>
      <x:c r="D6" s="22" t="n">
        <x:v>0.20055065999993657</x:v>
      </x:c>
      <x:c r="E6" s="22" t="n">
        <x:f>D6</x:f>
        <x:v>0.20055065999993657</x:v>
      </x:c>
      <x:c r="F6" s="21" t="str">
        <x:v>Locked from 10M base validation</x:v>
      </x:c>
    </x:row>
    <x:row r="7" ht="15" hidden="0" customHeight="1">
      <x:c r="A7" s="21" t="str">
        <x:v>Splitter</x:v>
      </x:c>
      <x:c r="B7" s="22" t="n">
        <x:v>0.0016666666666666668</x:v>
      </x:c>
      <x:c r="C7" s="22" t="n">
        <x:v>0.0016</x:v>
      </x:c>
      <x:c r="D7" s="26" t="n">
        <x:v>30.63721685962</x:v>
      </x:c>
      <x:c r="E7" s="22" t="n">
        <x:f>C7*D7</x:f>
        <x:v>0.049019546975392</x:v>
      </x:c>
      <x:c r="F7" s="21" t="str">
        <x:v>Single feature lane</x:v>
      </x:c>
    </x:row>
    <x:row r="8" ht="15" hidden="0" customHeight="1">
      <x:c r="A8" s="21" t="str">
        <x:v>Grow</x:v>
      </x:c>
      <x:c r="B8" s="22" t="n">
        <x:v>0.0016666666666666668</x:v>
      </x:c>
      <x:c r="C8" s="22" t="n">
        <x:v>0.0016</x:v>
      </x:c>
      <x:c r="D8" s="26" t="n">
        <x:v>35.974232466480004</x:v>
      </x:c>
      <x:c r="E8" s="22" t="n">
        <x:f>C8*D8</x:f>
        <x:v>0.057558771946368006</x:v>
      </x:c>
      <x:c r="F8" s="21" t="str">
        <x:v>Single feature lane</x:v>
      </x:c>
    </x:row>
    <x:row r="9" ht="15" hidden="0" customHeight="1">
      <x:c r="A9" s="21" t="str">
        <x:v>Boost</x:v>
      </x:c>
      <x:c r="B9" s="22" t="n">
        <x:v>0.0016666666666666668</x:v>
      </x:c>
      <x:c r="C9" s="22" t="n">
        <x:v>0.0016</x:v>
      </x:c>
      <x:c r="D9" s="26" t="n">
        <x:v>25.66362081472</x:v>
      </x:c>
      <x:c r="E9" s="22" t="n">
        <x:f>C9*D9</x:f>
        <x:v>0.041061793303552</x:v>
      </x:c>
      <x:c r="F9" s="21" t="str">
        <x:v>Single feature lane</x:v>
      </x:c>
    </x:row>
    <x:row r="10" ht="15" hidden="0" customHeight="1">
      <x:c r="A10" s="21" t="str">
        <x:v>Multiplier</x:v>
      </x:c>
      <x:c r="B10" s="22" t="n">
        <x:v>0.0016666666666666668</x:v>
      </x:c>
      <x:c r="C10" s="22" t="n">
        <x:v>0.0016</x:v>
      </x:c>
      <x:c r="D10" s="26" t="n">
        <x:v>29.41196382754</x:v>
      </x:c>
      <x:c r="E10" s="22" t="n">
        <x:f>C10*D10</x:f>
        <x:v>0.047059142124064</x:v>
      </x:c>
      <x:c r="F10" s="21" t="str">
        <x:v>Single feature lane</x:v>
      </x:c>
    </x:row>
    <x:row r="11" ht="15" hidden="0" customHeight="1">
      <x:c r="A11" s="21" t="str">
        <x:v>Collect</x:v>
      </x:c>
      <x:c r="B11" s="22" t="n">
        <x:v>0.0016666666666666668</x:v>
      </x:c>
      <x:c r="C11" s="22" t="n">
        <x:v>0.0016</x:v>
      </x:c>
      <x:c r="D11" s="26" t="n">
        <x:v>45.901338441</x:v>
      </x:c>
      <x:c r="E11" s="22" t="n">
        <x:f>C11*D11</x:f>
        <x:v>0.07344214150560001</x:v>
      </x:c>
      <x:c r="F11" s="21" t="str">
        <x:v>Single feature lane</x:v>
      </x:c>
    </x:row>
    <x:row r="12" ht="15" hidden="0" customHeight="1">
      <x:c r="A12" s="21" t="str">
        <x:v>Expansion</x:v>
      </x:c>
      <x:c r="B12" s="22" t="n">
        <x:v>0.0016666666666666668</x:v>
      </x:c>
      <x:c r="C12" s="22" t="n">
        <x:v>0.0016</x:v>
      </x:c>
      <x:c r="D12" s="26" t="n">
        <x:v>53.2354877957</x:v>
      </x:c>
      <x:c r="E12" s="22" t="n">
        <x:f>C12*D12</x:f>
        <x:v>0.08517678047312001</x:v>
      </x:c>
      <x:c r="F12" s="21" t="str">
        <x:v>Single feature lane</x:v>
      </x:c>
    </x:row>
    <x:row r="13" ht="15" hidden="0" customHeight="1">
      <x:c r="A13" s="21" t="str">
        <x:v>Mega/Combo</x:v>
      </x:c>
      <x:c r="B13" s="22" t="n">
        <x:v>0.0004</x:v>
      </x:c>
      <x:c r="C13" s="22" t="n">
        <x:v>0.0004</x:v>
      </x:c>
      <x:c r="D13" s="26" t="n">
        <x:v>87.84108193098</x:v>
      </x:c>
      <x:c r="E13" s="22" t="n">
        <x:f>C13*D13</x:f>
        <x:v>0.035136432772392</x:v>
      </x:c>
      <x:c r="F13" s="21" t="str">
        <x:v>Combo lane</x:v>
      </x:c>
    </x:row>
    <x:row r="14" ht="15" hidden="0" customHeight="1">
      <x:c r="A14" s="21" t="str">
        <x:v>Total</x:v>
      </x:c>
      <x:c r="B14" s="21" t="str"/>
      <x:c r="C14" s="21" t="str"/>
      <x:c r="D14" s="22" t="str"/>
      <x:c r="E14" s="22" t="n">
        <x:f>SUM(E5:E13)</x:f>
        <x:v>0.9402008490918529</x:v>
      </x:c>
      <x:c r="F14" s="21" t="str">
        <x:v>Formula total</x:v>
      </x:c>
    </x:row>
    <x:row r="15" ht="15" hidden="0" customHeight="1">
      <x:c r="A15" s="20"/>
      <x:c r="B15" s="20"/>
      <x:c r="C15" s="20"/>
      <x:c r="D15" s="20"/>
      <x:c r="E15" s="20"/>
      <x:c r="F15" s="20"/>
    </x:row>
    <x:row r="16" ht="15" hidden="0" customHeight="1">
      <x:c r="A16" s="20"/>
      <x:c r="B16" s="20"/>
      <x:c r="C16" s="20"/>
      <x:c r="D16" s="20"/>
      <x:c r="E16" s="20"/>
      <x:c r="F16" s="20"/>
    </x:row>
    <x:row r="17" ht="15" hidden="0" customHeight="1">
      <x:c r="A17" s="24" t="str">
        <x:v>Control values</x:v>
      </x:c>
      <x:c r="B17" s="20"/>
      <x:c r="C17" s="20"/>
      <x:c r="D17" s="20"/>
      <x:c r="E17" s="20"/>
      <x:c r="F17" s="20"/>
    </x:row>
    <x:row r="18" ht="15" hidden="0" customHeight="1">
      <x:c r="A18" s="6" t="str">
        <x:v>Control</x:v>
      </x:c>
      <x:c r="B18" s="6" t="str">
        <x:v>Value</x:v>
      </x:c>
      <x:c r="C18" s="6" t="str">
        <x:v>Meaning</x:v>
      </x:c>
      <x:c r="D18" s="20"/>
      <x:c r="E18" s="20"/>
      <x:c r="F18" s="20"/>
    </x:row>
    <x:row r="19" ht="15" hidden="0" customHeight="1">
      <x:c r="A19" s="21" t="str">
        <x:v>Target total RTP</x:v>
      </x:c>
      <x:c r="B19" s="22" t="n">
        <x:v>0.94</x:v>
      </x:c>
      <x:c r="C19" s="21" t="str">
        <x:v>Requested</x:v>
      </x:c>
      <x:c r="D19" s="20"/>
      <x:c r="E19" s="20"/>
      <x:c r="F19" s="20"/>
    </x:row>
    <x:row r="20" ht="15" hidden="0" customHeight="1">
      <x:c r="A20" s="21" t="str">
        <x:v>Feature payout multiplier</x:v>
      </x:c>
      <x:c r="B20" s="23" t="n">
        <x:v>1.086911</x:v>
      </x:c>
      <x:c r="C20" s="21" t="str">
        <x:v>Applied to all feature final wins</x:v>
      </x:c>
      <x:c r="D20" s="20"/>
      <x:c r="E20" s="20"/>
      <x:c r="F20" s="20"/>
    </x:row>
    <x:row r="21" ht="15" hidden="0" customHeight="1">
      <x:c r="A21" s="21" t="str">
        <x:v>Validation sessions per feature</x:v>
      </x:c>
      <x:c r="B21" s="27" t="n">
        <x:v>5000</x:v>
      </x:c>
      <x:c r="C21" s="21" t="str">
        <x:v>Feature-only sample size</x:v>
      </x:c>
      <x:c r="D21" s="20"/>
      <x:c r="E21" s="20"/>
      <x:c r="F21" s="20"/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35.380001068115234" hidden="0" customWidth="1"/>
    <x:col min="2" max="2" width="13.75" hidden="0" customWidth="1"/>
    <x:col min="3" max="3" width="10.75" hidden="0" customWidth="1"/>
    <x:col min="4" max="4" width="14.880000114440918" hidden="0" customWidth="1"/>
    <x:col min="5" max="5" width="19" hidden="0" customWidth="1"/>
  </x:cols>
  <x:sheetData>
    <x:row r="2" ht="19.200000762939453" hidden="0" customHeight="1">
      <x:c r="A2" s="19" t="str">
        <x:v>Feature odds reconciliation</x:v>
      </x:c>
      <x:c r="B2" s="20"/>
      <x:c r="C2" s="20"/>
      <x:c r="D2" s="20"/>
      <x:c r="E2" s="20"/>
    </x:row>
    <x:row r="3" ht="15" hidden="0" customHeight="1">
      <x:c r="A3" s="20"/>
      <x:c r="B3" s="20"/>
      <x:c r="C3" s="20"/>
      <x:c r="D3" s="20"/>
      <x:c r="E3" s="20"/>
    </x:row>
    <x:row r="4" ht="15" hidden="0" customHeight="1">
      <x:c r="A4" s="6" t="str">
        <x:v>Scenario</x:v>
      </x:c>
      <x:c r="B4" s="6" t="str">
        <x:v>Single lane odds</x:v>
      </x:c>
      <x:c r="C4" s="6" t="str">
        <x:v>Combo odds</x:v>
      </x:c>
      <x:c r="D4" s="6" t="str">
        <x:v>Total feature odds</x:v>
      </x:c>
      <x:c r="E4" s="6" t="str">
        <x:v>Result</x:v>
      </x:c>
    </x:row>
    <x:row r="5" ht="15" hidden="0" customHeight="1">
      <x:c r="A5" s="21" t="str">
        <x:v>Requested singles plus combo</x:v>
      </x:c>
      <x:c r="B5" s="22" t="n">
        <x:v>0.0016666666666666668</x:v>
      </x:c>
      <x:c r="C5" s="22" t="n">
        <x:v>0.0004</x:v>
      </x:c>
      <x:c r="D5" s="22" t="n">
        <x:v>0.0104</x:v>
      </x:c>
      <x:c r="E5" s="21" t="str">
        <x:v>Total becomes 1 in 96.15</x:v>
      </x:c>
    </x:row>
    <x:row r="6" ht="15" hidden="0" customHeight="1">
      <x:c r="A6" s="21" t="str">
        <x:v>Implemented tuning</x:v>
      </x:c>
      <x:c r="B6" s="22" t="n">
        <x:v>0.0016</x:v>
      </x:c>
      <x:c r="C6" s="22" t="n">
        <x:v>0.0004</x:v>
      </x:c>
      <x:c r="D6" s="22" t="n">
        <x:v>0.009999999999999998</x:v>
      </x:c>
      <x:c r="E6" s="21" t="str">
        <x:v>Total remains 1 in 100</x:v>
      </x:c>
    </x:row>
  </x:sheetData>
  <x:mergeCells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DC3E6"/>
  </x:sheetPr>
  <x:sheetViews>
    <x:sheetView showGridLines="0" workbookViewId="0"/>
  </x:sheetViews>
  <x:sheetFormatPr defaultRowHeight="15"/>
  <x:cols>
    <x:col min="1" max="1" width="39.5" hidden="0" customWidth="1"/>
    <x:col min="2" max="2" width="9.130000114440918" hidden="0" customWidth="1"/>
    <x:col min="3" max="3" width="5.25" hidden="0" customWidth="1"/>
    <x:col min="4" max="4" width="5.25" hidden="0" customWidth="1"/>
    <x:col min="5" max="5" width="5.25" hidden="0" customWidth="1"/>
    <x:col min="6" max="6" width="28" hidden="0" customWidth="1"/>
    <x:col min="7" max="7" width="15.380000114440918" hidden="0" customWidth="1"/>
    <x:col min="8" max="8" width="9.130000114440918" hidden="0" customWidth="1"/>
    <x:col min="9" max="9" width="16" hidden="0" customWidth="1"/>
  </x:cols>
  <x:sheetData>
    <x:row r="2" ht="19.200000762939453" hidden="0" customHeight="1">
      <x:c r="A2" s="19" t="str">
        <x:v>Base game arrays and weights</x:v>
      </x:c>
      <x:c r="B2" s="20"/>
      <x:c r="C2" s="20"/>
      <x:c r="D2" s="20"/>
      <x:c r="E2" s="20"/>
      <x:c r="F2" s="20"/>
      <x:c r="G2" s="20"/>
      <x:c r="H2" s="20"/>
    </x:row>
    <x:row r="3" ht="15" hidden="0" customHeight="1">
      <x:c r="A3" s="20"/>
      <x:c r="B3" s="20"/>
      <x:c r="C3" s="20"/>
      <x:c r="D3" s="20"/>
      <x:c r="E3" s="20"/>
      <x:c r="F3" s="20"/>
      <x:c r="G3" s="20"/>
      <x:c r="H3" s="20"/>
    </x:row>
    <x:row r="4" ht="15" hidden="0" customHeight="1">
      <x:c r="A4" s="24" t="str">
        <x:v>Paytable</x:v>
      </x:c>
      <x:c r="B4" s="20"/>
      <x:c r="C4" s="20"/>
      <x:c r="D4" s="20"/>
      <x:c r="E4" s="20"/>
      <x:c r="F4" s="20"/>
      <x:c r="G4" s="24" t="str">
        <x:v>Base coin values</x:v>
      </x:c>
      <x:c r="H4" s="20"/>
    </x:row>
    <x:row r="5" ht="15" hidden="0" customHeight="1">
      <x:c r="A5" s="6" t="str">
        <x:v>Symbol</x:v>
      </x:c>
      <x:c r="B5" s="6" t="str">
        <x:v>2OAK</x:v>
      </x:c>
      <x:c r="C5" s="6" t="str">
        <x:v>3OAK</x:v>
      </x:c>
      <x:c r="D5" s="6" t="str">
        <x:v>4OAK</x:v>
      </x:c>
      <x:c r="E5" s="6" t="str">
        <x:v>5OAK</x:v>
      </x:c>
      <x:c r="F5" s="20"/>
      <x:c r="G5" s="6" t="str">
        <x:v>Value</x:v>
      </x:c>
      <x:c r="H5" s="16" t="str">
        <x:v>Probability</x:v>
      </x:c>
    </x:row>
    <x:row r="6" ht="15" hidden="0" customHeight="1">
      <x:c r="A6" s="21" t="str">
        <x:v>H1</x:v>
      </x:c>
      <x:c r="B6" s="21" t="n">
        <x:v>0</x:v>
      </x:c>
      <x:c r="C6" s="21" t="n">
        <x:v>1</x:v>
      </x:c>
      <x:c r="D6" s="21" t="n">
        <x:v>3</x:v>
      </x:c>
      <x:c r="E6" s="21" t="n">
        <x:v>10</x:v>
      </x:c>
      <x:c r="F6" s="20"/>
      <x:c r="G6" s="21" t="n">
        <x:v>0.2</x:v>
      </x:c>
      <x:c r="H6" s="28" t="n">
        <x:v>0.03</x:v>
      </x:c>
    </x:row>
    <x:row r="7" ht="15" hidden="0" customHeight="1">
      <x:c r="A7" s="21" t="str">
        <x:v>H2</x:v>
      </x:c>
      <x:c r="B7" s="21" t="n">
        <x:v>0</x:v>
      </x:c>
      <x:c r="C7" s="21" t="n">
        <x:v>0.6</x:v>
      </x:c>
      <x:c r="D7" s="21" t="n">
        <x:v>2</x:v>
      </x:c>
      <x:c r="E7" s="21" t="n">
        <x:v>5</x:v>
      </x:c>
      <x:c r="F7" s="20"/>
      <x:c r="G7" s="21" t="n">
        <x:v>0.3</x:v>
      </x:c>
      <x:c r="H7" s="28" t="n">
        <x:v>0.04</x:v>
      </x:c>
    </x:row>
    <x:row r="8" ht="15" hidden="0" customHeight="1">
      <x:c r="A8" s="21" t="str">
        <x:v>H3</x:v>
      </x:c>
      <x:c r="B8" s="21" t="n">
        <x:v>0</x:v>
      </x:c>
      <x:c r="C8" s="21" t="n">
        <x:v>0.4</x:v>
      </x:c>
      <x:c r="D8" s="21" t="n">
        <x:v>1.6</x:v>
      </x:c>
      <x:c r="E8" s="21" t="n">
        <x:v>4</x:v>
      </x:c>
      <x:c r="F8" s="20"/>
      <x:c r="G8" s="21" t="n">
        <x:v>0.5</x:v>
      </x:c>
      <x:c r="H8" s="28" t="n">
        <x:v>0.07</x:v>
      </x:c>
    </x:row>
    <x:row r="9" ht="15" hidden="0" customHeight="1">
      <x:c r="A9" s="21" t="str">
        <x:v>H4</x:v>
      </x:c>
      <x:c r="B9" s="21" t="n">
        <x:v>0</x:v>
      </x:c>
      <x:c r="C9" s="21" t="n">
        <x:v>0.4</x:v>
      </x:c>
      <x:c r="D9" s="21" t="n">
        <x:v>1</x:v>
      </x:c>
      <x:c r="E9" s="21" t="n">
        <x:v>3</x:v>
      </x:c>
      <x:c r="F9" s="20"/>
      <x:c r="G9" s="21" t="n">
        <x:v>0.8</x:v>
      </x:c>
      <x:c r="H9" s="28" t="n">
        <x:v>0.1</x:v>
      </x:c>
    </x:row>
    <x:row r="10" ht="15" hidden="0" customHeight="1">
      <x:c r="A10" s="21" t="str">
        <x:v>H5</x:v>
      </x:c>
      <x:c r="B10" s="21" t="n">
        <x:v>0</x:v>
      </x:c>
      <x:c r="C10" s="21" t="n">
        <x:v>0.4</x:v>
      </x:c>
      <x:c r="D10" s="21" t="n">
        <x:v>1</x:v>
      </x:c>
      <x:c r="E10" s="21" t="n">
        <x:v>3</x:v>
      </x:c>
      <x:c r="F10" s="20"/>
      <x:c r="G10" s="21" t="n">
        <x:v>0.9</x:v>
      </x:c>
      <x:c r="H10" s="28" t="n">
        <x:v>0.1</x:v>
      </x:c>
    </x:row>
    <x:row r="11" ht="15" hidden="0" customHeight="1">
      <x:c r="A11" s="21" t="str">
        <x:v>L1</x:v>
      </x:c>
      <x:c r="B11" s="21" t="n">
        <x:v>0</x:v>
      </x:c>
      <x:c r="C11" s="21" t="n">
        <x:v>0.2</x:v>
      </x:c>
      <x:c r="D11" s="21" t="n">
        <x:v>0.6</x:v>
      </x:c>
      <x:c r="E11" s="21" t="n">
        <x:v>2</x:v>
      </x:c>
      <x:c r="F11" s="20"/>
      <x:c r="G11" s="21" t="n">
        <x:v>1</x:v>
      </x:c>
      <x:c r="H11" s="28" t="n">
        <x:v>0.15</x:v>
      </x:c>
    </x:row>
    <x:row r="12" ht="15" hidden="0" customHeight="1">
      <x:c r="A12" s="21" t="str">
        <x:v>L2</x:v>
      </x:c>
      <x:c r="B12" s="21" t="n">
        <x:v>0</x:v>
      </x:c>
      <x:c r="C12" s="21" t="n">
        <x:v>0.2</x:v>
      </x:c>
      <x:c r="D12" s="21" t="n">
        <x:v>0.6</x:v>
      </x:c>
      <x:c r="E12" s="21" t="n">
        <x:v>2</x:v>
      </x:c>
      <x:c r="F12" s="20"/>
      <x:c r="G12" s="21" t="n">
        <x:v>1.2</x:v>
      </x:c>
      <x:c r="H12" s="28" t="n">
        <x:v>0.17</x:v>
      </x:c>
    </x:row>
    <x:row r="13" ht="15" hidden="0" customHeight="1">
      <x:c r="A13" s="21" t="str">
        <x:v>L3</x:v>
      </x:c>
      <x:c r="B13" s="21" t="n">
        <x:v>0</x:v>
      </x:c>
      <x:c r="C13" s="21" t="n">
        <x:v>0.2</x:v>
      </x:c>
      <x:c r="D13" s="21" t="n">
        <x:v>0.6</x:v>
      </x:c>
      <x:c r="E13" s="21" t="n">
        <x:v>2</x:v>
      </x:c>
      <x:c r="F13" s="20"/>
      <x:c r="G13" s="21" t="n">
        <x:v>1.5</x:v>
      </x:c>
      <x:c r="H13" s="28" t="n">
        <x:v>0.17</x:v>
      </x:c>
    </x:row>
    <x:row r="14" ht="15" hidden="0" customHeight="1">
      <x:c r="A14" s="21" t="str">
        <x:v>L4</x:v>
      </x:c>
      <x:c r="B14" s="21" t="n">
        <x:v>0</x:v>
      </x:c>
      <x:c r="C14" s="21" t="n">
        <x:v>0.2</x:v>
      </x:c>
      <x:c r="D14" s="21" t="n">
        <x:v>0.6</x:v>
      </x:c>
      <x:c r="E14" s="21" t="n">
        <x:v>2</x:v>
      </x:c>
      <x:c r="F14" s="20"/>
      <x:c r="G14" s="21" t="n">
        <x:v>2</x:v>
      </x:c>
      <x:c r="H14" s="28" t="n">
        <x:v>0.12</x:v>
      </x:c>
    </x:row>
    <x:row r="15" ht="15" hidden="0" customHeight="1">
      <x:c r="A15" s="21" t="str">
        <x:v>L5</x:v>
      </x:c>
      <x:c r="B15" s="21" t="n">
        <x:v>0</x:v>
      </x:c>
      <x:c r="C15" s="21" t="n">
        <x:v>0.2</x:v>
      </x:c>
      <x:c r="D15" s="21" t="n">
        <x:v>0.6</x:v>
      </x:c>
      <x:c r="E15" s="21" t="n">
        <x:v>2</x:v>
      </x:c>
      <x:c r="F15" s="20"/>
      <x:c r="G15" s="21" t="n">
        <x:v>2.5</x:v>
      </x:c>
      <x:c r="H15" s="21" t="n">
        <x:v>0.05</x:v>
      </x:c>
    </x:row>
    <x:row r="16" ht="15" hidden="0" customHeight="1">
      <x:c r="A16" s="21" t="str">
        <x:v>L6</x:v>
      </x:c>
      <x:c r="B16" s="21" t="n">
        <x:v>0</x:v>
      </x:c>
      <x:c r="C16" s="21" t="n">
        <x:v>0.2</x:v>
      </x:c>
      <x:c r="D16" s="21" t="n">
        <x:v>0.6</x:v>
      </x:c>
      <x:c r="E16" s="21" t="n">
        <x:v>2</x:v>
      </x:c>
      <x:c r="F16" s="20"/>
      <x:c r="G16" s="20"/>
      <x:c r="H16" s="20"/>
    </x:row>
    <x:row r="17" ht="15" hidden="0" customHeight="1">
      <x:c r="A17" s="21" t="str">
        <x:v>WD</x:v>
      </x:c>
      <x:c r="B17" s="21" t="n">
        <x:v>0</x:v>
      </x:c>
      <x:c r="C17" s="21" t="n">
        <x:v>0</x:v>
      </x:c>
      <x:c r="D17" s="21" t="n">
        <x:v>0</x:v>
      </x:c>
      <x:c r="E17" s="21" t="n">
        <x:v>0</x:v>
      </x:c>
      <x:c r="F17" s="20"/>
      <x:c r="G17" s="20"/>
      <x:c r="H17" s="20"/>
    </x:row>
    <x:row r="18" ht="15" hidden="0" customHeight="1">
      <x:c r="A18" s="20"/>
      <x:c r="B18" s="20"/>
      <x:c r="C18" s="20"/>
      <x:c r="D18" s="20"/>
      <x:c r="E18" s="20"/>
      <x:c r="F18" s="20"/>
      <x:c r="G18" s="24" t="str">
        <x:v>Coin drop count</x:v>
      </x:c>
      <x:c r="H18" s="20"/>
    </x:row>
    <x:row r="19" ht="15" hidden="0" customHeight="1">
      <x:c r="A19" s="20"/>
      <x:c r="B19" s="20"/>
      <x:c r="C19" s="20"/>
      <x:c r="D19" s="20"/>
      <x:c r="E19" s="20"/>
      <x:c r="F19" s="20"/>
      <x:c r="G19" s="6" t="str">
        <x:v>Count</x:v>
      </x:c>
      <x:c r="H19" s="6" t="str">
        <x:v>Probability</x:v>
      </x:c>
    </x:row>
    <x:row r="20" ht="15" hidden="0" customHeight="1">
      <x:c r="A20" s="24" t="str">
        <x:v>Scatter conversion</x:v>
      </x:c>
      <x:c r="B20" s="20"/>
      <x:c r="C20" s="20"/>
      <x:c r="D20" s="20"/>
      <x:c r="E20" s="20"/>
      <x:c r="F20" s="20"/>
      <x:c r="G20" s="21" t="n">
        <x:v>2</x:v>
      </x:c>
      <x:c r="H20" s="28" t="n">
        <x:v>0.08</x:v>
      </x:c>
    </x:row>
    <x:row r="21" ht="15" hidden="0" customHeight="1">
      <x:c r="A21" s="6" t="str">
        <x:v>Converted symbol</x:v>
      </x:c>
      <x:c r="B21" s="16" t="str">
        <x:v>Probability</x:v>
      </x:c>
      <x:c r="C21" s="20"/>
      <x:c r="D21" s="20"/>
      <x:c r="E21" s="20"/>
      <x:c r="F21" s="20"/>
      <x:c r="G21" s="21" t="n">
        <x:v>3</x:v>
      </x:c>
      <x:c r="H21" s="28" t="n">
        <x:v>0.16</x:v>
      </x:c>
    </x:row>
    <x:row r="22" ht="15" hidden="0" customHeight="1">
      <x:c r="A22" s="21" t="str">
        <x:v>SC1 Splitter</x:v>
      </x:c>
      <x:c r="B22" s="28" t="n">
        <x:v>0.145</x:v>
      </x:c>
      <x:c r="C22" s="20"/>
      <x:c r="D22" s="20"/>
      <x:c r="E22" s="20"/>
      <x:c r="F22" s="20"/>
      <x:c r="G22" s="21" t="n">
        <x:v>4</x:v>
      </x:c>
      <x:c r="H22" s="28" t="n">
        <x:v>0.34</x:v>
      </x:c>
    </x:row>
    <x:row r="23" ht="15" hidden="0" customHeight="1">
      <x:c r="A23" s="21" t="str">
        <x:v>SC2 Grower</x:v>
      </x:c>
      <x:c r="B23" s="28" t="n">
        <x:v>0.145</x:v>
      </x:c>
      <x:c r="C23" s="20"/>
      <x:c r="D23" s="20"/>
      <x:c r="E23" s="20"/>
      <x:c r="F23" s="20"/>
      <x:c r="G23" s="21" t="n">
        <x:v>5</x:v>
      </x:c>
      <x:c r="H23" s="28" t="n">
        <x:v>0.28</x:v>
      </x:c>
    </x:row>
    <x:row r="24" ht="15" hidden="0" customHeight="1">
      <x:c r="A24" s="21" t="str">
        <x:v>SC3 Booster</x:v>
      </x:c>
      <x:c r="B24" s="28" t="n">
        <x:v>0.145</x:v>
      </x:c>
      <x:c r="C24" s="20"/>
      <x:c r="D24" s="20"/>
      <x:c r="E24" s="20"/>
      <x:c r="F24" s="20"/>
      <x:c r="G24" s="21" t="n">
        <x:v>6</x:v>
      </x:c>
      <x:c r="H24" s="28" t="n">
        <x:v>0.14</x:v>
      </x:c>
    </x:row>
    <x:row r="25" ht="15" hidden="0" customHeight="1">
      <x:c r="A25" s="21" t="str">
        <x:v>SC4 Multiplier</x:v>
      </x:c>
      <x:c r="B25" s="28" t="n">
        <x:v>0.145</x:v>
      </x:c>
      <x:c r="C25" s="20"/>
      <x:c r="D25" s="20"/>
      <x:c r="E25" s="20"/>
      <x:c r="F25" s="20"/>
      <x:c r="G25" s="20"/>
      <x:c r="H25" s="20"/>
    </x:row>
    <x:row r="26" ht="15" hidden="0" customHeight="1">
      <x:c r="A26" s="21" t="str">
        <x:v>SC5 Collector</x:v>
      </x:c>
      <x:c r="B26" s="28" t="n">
        <x:v>0.145</x:v>
      </x:c>
      <x:c r="C26" s="20"/>
      <x:c r="D26" s="20"/>
      <x:c r="E26" s="20"/>
      <x:c r="F26" s="20"/>
      <x:c r="G26" s="20"/>
      <x:c r="H26" s="20"/>
    </x:row>
    <x:row r="27" ht="15" hidden="0" customHeight="1">
      <x:c r="A27" s="21" t="str">
        <x:v>SC6 Expansion</x:v>
      </x:c>
      <x:c r="B27" s="28" t="n">
        <x:v>0.145</x:v>
      </x:c>
      <x:c r="C27" s="20"/>
      <x:c r="D27" s="20"/>
      <x:c r="E27" s="20"/>
      <x:c r="F27" s="20"/>
      <x:c r="G27" s="20"/>
      <x:c r="H27" s="20"/>
    </x:row>
    <x:row r="28" ht="15" hidden="0" customHeight="1">
      <x:c r="A28" s="21" t="str">
        <x:v>SC7 Combo marker</x:v>
      </x:c>
      <x:c r="B28" s="28" t="n">
        <x:v>0.13</x:v>
      </x:c>
      <x:c r="C28" s="20"/>
      <x:c r="D28" s="20"/>
      <x:c r="E28" s="20"/>
      <x:c r="F28" s="20"/>
      <x:c r="G28" s="20"/>
      <x:c r="H28" s="20"/>
    </x:row>
  </x:sheetData>
  <x:mergeCells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9D18E"/>
  </x:sheetPr>
  <x:sheetViews>
    <x:sheetView showGridLines="0" workbookViewId="0"/>
  </x:sheetViews>
  <x:sheetFormatPr defaultRowHeight="15"/>
  <x:cols>
    <x:col min="1" max="1" width="35.130001068115234" hidden="0" customWidth="1"/>
    <x:col min="2" max="2" width="12" hidden="0" customWidth="1"/>
    <x:col min="3" max="3" width="9.130000114440918" hidden="0" customWidth="1"/>
    <x:col min="4" max="4" width="25.6299991607666" hidden="0" customWidth="1"/>
    <x:col min="5" max="5" width="9.130000114440918" hidden="0" customWidth="1"/>
    <x:col min="6" max="6" width="9.130000114440918" hidden="0" customWidth="1"/>
    <x:col min="7" max="7" width="18" hidden="0" customWidth="1"/>
  </x:cols>
  <x:sheetData>
    <x:row r="2" ht="19.200000762939453" hidden="0" customHeight="1">
      <x:c r="A2" s="19" t="str">
        <x:v>Feature arrays and weights</x:v>
      </x:c>
      <x:c r="B2" s="20"/>
      <x:c r="C2" s="20"/>
      <x:c r="D2" s="20"/>
      <x:c r="E2" s="20"/>
      <x:c r="F2" s="20"/>
    </x:row>
    <x:row r="3" ht="15" hidden="0" customHeight="1">
      <x:c r="A3" s="20"/>
      <x:c r="B3" s="20"/>
      <x:c r="C3" s="20"/>
      <x:c r="D3" s="20"/>
      <x:c r="E3" s="20"/>
      <x:c r="F3" s="20"/>
    </x:row>
    <x:row r="4" ht="15" hidden="0" customHeight="1">
      <x:c r="A4" s="24" t="str">
        <x:v>Feature coin values</x:v>
      </x:c>
      <x:c r="B4" s="20"/>
      <x:c r="C4" s="20"/>
      <x:c r="D4" s="24" t="str">
        <x:v>Grow and boost values</x:v>
      </x:c>
      <x:c r="E4" s="20"/>
      <x:c r="F4" s="20"/>
    </x:row>
    <x:row r="5" ht="15" hidden="0" customHeight="1">
      <x:c r="A5" s="6" t="str">
        <x:v>Value</x:v>
      </x:c>
      <x:c r="B5" s="16" t="str">
        <x:v>Probability</x:v>
      </x:c>
      <x:c r="C5" s="20"/>
      <x:c r="D5" s="6" t="str">
        <x:v>Value</x:v>
      </x:c>
      <x:c r="E5" s="16" t="str">
        <x:v>Probability</x:v>
      </x:c>
      <x:c r="F5" s="20"/>
    </x:row>
    <x:row r="6" ht="15" hidden="0" customHeight="1">
      <x:c r="A6" s="21" t="n">
        <x:v>0.2</x:v>
      </x:c>
      <x:c r="B6" s="28" t="n">
        <x:v>0.035</x:v>
      </x:c>
      <x:c r="C6" s="20"/>
      <x:c r="D6" s="21" t="n">
        <x:v>0.1</x:v>
      </x:c>
      <x:c r="E6" s="28" t="n">
        <x:v>0.08</x:v>
      </x:c>
      <x:c r="F6" s="20"/>
    </x:row>
    <x:row r="7" ht="15" hidden="0" customHeight="1">
      <x:c r="A7" s="21" t="n">
        <x:v>0.3</x:v>
      </x:c>
      <x:c r="B7" s="28" t="n">
        <x:v>0.04</x:v>
      </x:c>
      <x:c r="C7" s="20"/>
      <x:c r="D7" s="21" t="n">
        <x:v>0.2</x:v>
      </x:c>
      <x:c r="E7" s="28" t="n">
        <x:v>0.12</x:v>
      </x:c>
      <x:c r="F7" s="20"/>
    </x:row>
    <x:row r="8" ht="15" hidden="0" customHeight="1">
      <x:c r="A8" s="21" t="n">
        <x:v>0.5</x:v>
      </x:c>
      <x:c r="B8" s="28" t="n">
        <x:v>0.06</x:v>
      </x:c>
      <x:c r="C8" s="20"/>
      <x:c r="D8" s="21" t="n">
        <x:v>0.3</x:v>
      </x:c>
      <x:c r="E8" s="28" t="n">
        <x:v>0.16</x:v>
      </x:c>
      <x:c r="F8" s="20"/>
    </x:row>
    <x:row r="9" ht="15" hidden="0" customHeight="1">
      <x:c r="A9" s="21" t="n">
        <x:v>0.6</x:v>
      </x:c>
      <x:c r="B9" s="28" t="n">
        <x:v>0.075</x:v>
      </x:c>
      <x:c r="C9" s="20"/>
      <x:c r="D9" s="21" t="n">
        <x:v>0.4</x:v>
      </x:c>
      <x:c r="E9" s="28" t="n">
        <x:v>0.18</x:v>
      </x:c>
      <x:c r="F9" s="20"/>
    </x:row>
    <x:row r="10" ht="15" hidden="0" customHeight="1">
      <x:c r="A10" s="21" t="n">
        <x:v>0.8</x:v>
      </x:c>
      <x:c r="B10" s="28" t="n">
        <x:v>0.09</x:v>
      </x:c>
      <x:c r="C10" s="20"/>
      <x:c r="D10" s="21" t="n">
        <x:v>0.5</x:v>
      </x:c>
      <x:c r="E10" s="28" t="n">
        <x:v>0.16</x:v>
      </x:c>
      <x:c r="F10" s="20"/>
    </x:row>
    <x:row r="11" ht="15" hidden="0" customHeight="1">
      <x:c r="A11" s="21" t="n">
        <x:v>1</x:v>
      </x:c>
      <x:c r="B11" s="28" t="n">
        <x:v>0.13</x:v>
      </x:c>
      <x:c r="C11" s="20"/>
      <x:c r="D11" s="21" t="n">
        <x:v>0.6</x:v>
      </x:c>
      <x:c r="E11" s="28" t="n">
        <x:v>0.13</x:v>
      </x:c>
      <x:c r="F11" s="20"/>
    </x:row>
    <x:row r="12" ht="15" hidden="0" customHeight="1">
      <x:c r="A12" s="21" t="n">
        <x:v>1.2</x:v>
      </x:c>
      <x:c r="B12" s="28" t="n">
        <x:v>0.165</x:v>
      </x:c>
      <x:c r="C12" s="20"/>
      <x:c r="D12" s="21" t="n">
        <x:v>0.8</x:v>
      </x:c>
      <x:c r="E12" s="28" t="n">
        <x:v>0.1</x:v>
      </x:c>
      <x:c r="F12" s="20"/>
    </x:row>
    <x:row r="13" ht="15" hidden="0" customHeight="1">
      <x:c r="A13" s="21" t="n">
        <x:v>1.5</x:v>
      </x:c>
      <x:c r="B13" s="28" t="n">
        <x:v>0.16</x:v>
      </x:c>
      <x:c r="C13" s="20"/>
      <x:c r="D13" s="21" t="n">
        <x:v>1</x:v>
      </x:c>
      <x:c r="E13" s="21" t="n">
        <x:v>0.07</x:v>
      </x:c>
      <x:c r="F13" s="20"/>
    </x:row>
    <x:row r="14" ht="15" hidden="0" customHeight="1">
      <x:c r="A14" s="21" t="n">
        <x:v>2</x:v>
      </x:c>
      <x:c r="B14" s="28" t="n">
        <x:v>0.12</x:v>
      </x:c>
      <x:c r="C14" s="20"/>
      <x:c r="D14" s="20"/>
      <x:c r="E14" s="20"/>
      <x:c r="F14" s="20"/>
    </x:row>
    <x:row r="15" ht="15" hidden="0" customHeight="1">
      <x:c r="A15" s="21" t="n">
        <x:v>2.5</x:v>
      </x:c>
      <x:c r="B15" s="28" t="n">
        <x:v>0.075</x:v>
      </x:c>
      <x:c r="C15" s="20"/>
      <x:c r="D15" s="20"/>
      <x:c r="E15" s="20"/>
      <x:c r="F15" s="20"/>
    </x:row>
    <x:row r="16" ht="15" hidden="0" customHeight="1">
      <x:c r="A16" s="21" t="n">
        <x:v>3</x:v>
      </x:c>
      <x:c r="B16" s="21" t="n">
        <x:v>0.05</x:v>
      </x:c>
      <x:c r="C16" s="20"/>
      <x:c r="D16" s="20"/>
      <x:c r="E16" s="20"/>
      <x:c r="F16" s="20"/>
    </x:row>
    <x:row r="17" ht="15" hidden="0" customHeight="1">
      <x:c r="A17" s="20"/>
      <x:c r="B17" s="20"/>
      <x:c r="C17" s="20"/>
      <x:c r="D17" s="20"/>
      <x:c r="E17" s="20"/>
      <x:c r="F17" s="20"/>
    </x:row>
    <x:row r="18" ht="15" hidden="0" customHeight="1">
      <x:c r="A18" s="20"/>
      <x:c r="B18" s="20"/>
      <x:c r="C18" s="20"/>
      <x:c r="D18" s="20"/>
      <x:c r="E18" s="20"/>
      <x:c r="F18" s="20"/>
    </x:row>
    <x:row r="19" ht="15" hidden="0" customHeight="1">
      <x:c r="A19" s="24" t="str">
        <x:v>Combo boost values</x:v>
      </x:c>
      <x:c r="B19" s="20"/>
      <x:c r="C19" s="20"/>
      <x:c r="D19" s="24" t="str">
        <x:v>Multiplier and splitter counts</x:v>
      </x:c>
      <x:c r="E19" s="20"/>
      <x:c r="F19" s="20"/>
    </x:row>
    <x:row r="20" ht="15" hidden="0" customHeight="1">
      <x:c r="A20" s="6" t="str">
        <x:v>Value</x:v>
      </x:c>
      <x:c r="B20" s="16" t="str">
        <x:v>Probability</x:v>
      </x:c>
      <x:c r="C20" s="20"/>
      <x:c r="D20" s="6" t="str">
        <x:v>Table</x:v>
      </x:c>
      <x:c r="E20" s="6" t="str">
        <x:v>Value</x:v>
      </x:c>
      <x:c r="F20" s="16" t="str">
        <x:v>Probability</x:v>
      </x:c>
    </x:row>
    <x:row r="21" ht="15" hidden="0" customHeight="1">
      <x:c r="A21" s="21" t="n">
        <x:v>0.1</x:v>
      </x:c>
      <x:c r="B21" s="28" t="n">
        <x:v>0.07</x:v>
      </x:c>
      <x:c r="C21" s="20"/>
      <x:c r="D21" s="21" t="str">
        <x:v>Multiplier count</x:v>
      </x:c>
      <x:c r="E21" s="21" t="n">
        <x:v>4</x:v>
      </x:c>
      <x:c r="F21" s="28" t="n">
        <x:v>0.45</x:v>
      </x:c>
    </x:row>
    <x:row r="22" ht="15" hidden="0" customHeight="1">
      <x:c r="A22" s="21" t="n">
        <x:v>0.2</x:v>
      </x:c>
      <x:c r="B22" s="28" t="n">
        <x:v>0.1</x:v>
      </x:c>
      <x:c r="C22" s="20"/>
      <x:c r="D22" s="21" t="str">
        <x:v>Multiplier count</x:v>
      </x:c>
      <x:c r="E22" s="21" t="n">
        <x:v>5</x:v>
      </x:c>
      <x:c r="F22" s="28" t="n">
        <x:v>0.35</x:v>
      </x:c>
    </x:row>
    <x:row r="23" ht="15" hidden="0" customHeight="1">
      <x:c r="A23" s="21" t="n">
        <x:v>0.3</x:v>
      </x:c>
      <x:c r="B23" s="28" t="n">
        <x:v>0.14</x:v>
      </x:c>
      <x:c r="C23" s="20"/>
      <x:c r="D23" s="21" t="str">
        <x:v>Multiplier count</x:v>
      </x:c>
      <x:c r="E23" s="21" t="n">
        <x:v>6</x:v>
      </x:c>
      <x:c r="F23" s="28" t="n">
        <x:v>0.2</x:v>
      </x:c>
    </x:row>
    <x:row r="24" ht="15" hidden="0" customHeight="1">
      <x:c r="A24" s="21" t="n">
        <x:v>0.4</x:v>
      </x:c>
      <x:c r="B24" s="28" t="n">
        <x:v>0.17</x:v>
      </x:c>
      <x:c r="C24" s="20"/>
      <x:c r="D24" s="21" t="str">
        <x:v>Multiplier value</x:v>
      </x:c>
      <x:c r="E24" s="21" t="n">
        <x:v>2</x:v>
      </x:c>
      <x:c r="F24" s="28" t="n">
        <x:v>0.7</x:v>
      </x:c>
    </x:row>
    <x:row r="25" ht="15" hidden="0" customHeight="1">
      <x:c r="A25" s="21" t="n">
        <x:v>0.5</x:v>
      </x:c>
      <x:c r="B25" s="28" t="n">
        <x:v>0.16</x:v>
      </x:c>
      <x:c r="C25" s="20"/>
      <x:c r="D25" s="21" t="str">
        <x:v>Multiplier value</x:v>
      </x:c>
      <x:c r="E25" s="21" t="n">
        <x:v>3</x:v>
      </x:c>
      <x:c r="F25" s="28" t="n">
        <x:v>0.22</x:v>
      </x:c>
    </x:row>
    <x:row r="26" ht="15" hidden="0" customHeight="1">
      <x:c r="A26" s="21" t="n">
        <x:v>0.6</x:v>
      </x:c>
      <x:c r="B26" s="28" t="n">
        <x:v>0.13</x:v>
      </x:c>
      <x:c r="C26" s="20"/>
      <x:c r="D26" s="21" t="str">
        <x:v>Multiplier value</x:v>
      </x:c>
      <x:c r="E26" s="21" t="n">
        <x:v>4</x:v>
      </x:c>
      <x:c r="F26" s="28" t="n">
        <x:v>0.08</x:v>
      </x:c>
    </x:row>
    <x:row r="27" ht="15" hidden="0" customHeight="1">
      <x:c r="A27" s="21" t="n">
        <x:v>0.8</x:v>
      </x:c>
      <x:c r="B27" s="28" t="n">
        <x:v>0.1</x:v>
      </x:c>
      <x:c r="C27" s="20"/>
      <x:c r="D27" s="21" t="str">
        <x:v>Splitter coin count</x:v>
      </x:c>
      <x:c r="E27" s="21" t="n">
        <x:v>2</x:v>
      </x:c>
      <x:c r="F27" s="28" t="n">
        <x:v>0.7</x:v>
      </x:c>
    </x:row>
    <x:row r="28" ht="15" hidden="0" customHeight="1">
      <x:c r="A28" s="21" t="n">
        <x:v>1</x:v>
      </x:c>
      <x:c r="B28" s="28" t="n">
        <x:v>0.08</x:v>
      </x:c>
      <x:c r="C28" s="20"/>
      <x:c r="D28" s="21" t="str">
        <x:v>Splitter coin count</x:v>
      </x:c>
      <x:c r="E28" s="21" t="n">
        <x:v>3</x:v>
      </x:c>
      <x:c r="F28" s="28" t="n">
        <x:v>0.3</x:v>
      </x:c>
    </x:row>
    <x:row r="29" ht="15" hidden="0" customHeight="1">
      <x:c r="A29" s="21" t="n">
        <x:v>1.5</x:v>
      </x:c>
      <x:c r="B29" s="21" t="n">
        <x:v>0.05</x:v>
      </x:c>
      <x:c r="C29" s="20"/>
      <x:c r="D29" s="21" t="str">
        <x:v>Combo extra coin count</x:v>
      </x:c>
      <x:c r="E29" s="21" t="n">
        <x:v>1</x:v>
      </x:c>
      <x:c r="F29" s="28" t="n">
        <x:v>0.2</x:v>
      </x:c>
    </x:row>
    <x:row r="30" ht="15" hidden="0" customHeight="1">
      <x:c r="A30" s="20"/>
      <x:c r="B30" s="20"/>
      <x:c r="C30" s="20"/>
      <x:c r="D30" s="21" t="str">
        <x:v>Combo extra coin count</x:v>
      </x:c>
      <x:c r="E30" s="21" t="n">
        <x:v>2</x:v>
      </x:c>
      <x:c r="F30" s="28" t="n">
        <x:v>0.4</x:v>
      </x:c>
    </x:row>
    <x:row r="31" ht="15" hidden="0" customHeight="1">
      <x:c r="A31" s="20"/>
      <x:c r="B31" s="20"/>
      <x:c r="C31" s="20"/>
      <x:c r="D31" s="21" t="str">
        <x:v>Combo extra coin count</x:v>
      </x:c>
      <x:c r="E31" s="21" t="n">
        <x:v>3</x:v>
      </x:c>
      <x:c r="F31" s="21" t="n">
        <x:v>0.4</x:v>
      </x:c>
    </x:row>
    <x:row r="32" ht="15" hidden="0" customHeight="1">
      <x:c r="A32" s="20"/>
      <x:c r="B32" s="20"/>
      <x:c r="C32" s="20"/>
      <x:c r="D32" s="20"/>
      <x:c r="E32" s="20"/>
      <x:c r="F32" s="20"/>
    </x:row>
    <x:row r="33" ht="15" hidden="0" customHeight="1">
      <x:c r="A33" s="24" t="str">
        <x:v>Landing tables</x:v>
      </x:c>
      <x:c r="B33" s="20"/>
      <x:c r="C33" s="20"/>
      <x:c r="D33" s="20"/>
      <x:c r="E33" s="20"/>
      <x:c r="F33" s="20"/>
    </x:row>
    <x:row r="34" ht="15" hidden="0" customHeight="1">
      <x:c r="A34" s="6" t="str">
        <x:v>Table</x:v>
      </x:c>
      <x:c r="B34" s="6" t="str">
        <x:v>Symbol</x:v>
      </x:c>
      <x:c r="C34" s="16" t="str">
        <x:v>Probability</x:v>
      </x:c>
      <x:c r="D34" s="20"/>
      <x:c r="E34" s="20"/>
      <x:c r="F34" s="20"/>
    </x:row>
    <x:row r="35" ht="15" hidden="0" customHeight="1">
      <x:c r="A35" s="21" t="str">
        <x:v>Expansion unlocked</x:v>
      </x:c>
      <x:c r="B35" s="21" t="str">
        <x:v>Empty</x:v>
      </x:c>
      <x:c r="C35" s="28" t="n">
        <x:v>0.65</x:v>
      </x:c>
      <x:c r="D35" s="20"/>
      <x:c r="E35" s="20"/>
      <x:c r="F35" s="20"/>
    </x:row>
    <x:row r="36" ht="15" hidden="0" customHeight="1">
      <x:c r="A36" s="21" t="str">
        <x:v>Expansion unlocked</x:v>
      </x:c>
      <x:c r="B36" s="21" t="str">
        <x:v>Coin</x:v>
      </x:c>
      <x:c r="C36" s="28" t="n">
        <x:v>0.275</x:v>
      </x:c>
      <x:c r="D36" s="20"/>
      <x:c r="E36" s="20"/>
      <x:c r="F36" s="20"/>
    </x:row>
    <x:row r="37" ht="15" hidden="0" customHeight="1">
      <x:c r="A37" s="21" t="str">
        <x:v>Expansion unlocked</x:v>
      </x:c>
      <x:c r="B37" s="21" t="str">
        <x:v>GO</x:v>
      </x:c>
      <x:c r="C37" s="28" t="n">
        <x:v>0.025</x:v>
      </x:c>
      <x:c r="D37" s="20"/>
      <x:c r="E37" s="20"/>
      <x:c r="F37" s="20"/>
    </x:row>
    <x:row r="38" ht="15" hidden="0" customHeight="1">
      <x:c r="A38" s="21" t="str">
        <x:v>Expansion unlocked</x:v>
      </x:c>
      <x:c r="B38" s="21" t="str">
        <x:v>Mini token</x:v>
      </x:c>
      <x:c r="C38" s="28" t="n">
        <x:v>0.026</x:v>
      </x:c>
      <x:c r="D38" s="20"/>
      <x:c r="E38" s="20"/>
      <x:c r="F38" s="20"/>
    </x:row>
    <x:row r="39" ht="15" hidden="0" customHeight="1">
      <x:c r="A39" s="21" t="str">
        <x:v>Expansion unlocked</x:v>
      </x:c>
      <x:c r="B39" s="21" t="str">
        <x:v>Minor token</x:v>
      </x:c>
      <x:c r="C39" s="28" t="n">
        <x:v>0.016</x:v>
      </x:c>
      <x:c r="D39" s="20"/>
      <x:c r="E39" s="20"/>
      <x:c r="F39" s="20"/>
    </x:row>
    <x:row r="40" ht="15" hidden="0" customHeight="1">
      <x:c r="A40" s="21" t="str">
        <x:v>Expansion unlocked</x:v>
      </x:c>
      <x:c r="B40" s="21" t="str">
        <x:v>Major token</x:v>
      </x:c>
      <x:c r="C40" s="28" t="n">
        <x:v>0.006</x:v>
      </x:c>
      <x:c r="D40" s="20"/>
      <x:c r="E40" s="20"/>
      <x:c r="F40" s="20"/>
    </x:row>
    <x:row r="41" ht="15" hidden="0" customHeight="1">
      <x:c r="A41" s="21" t="str">
        <x:v>Expansion unlocked</x:v>
      </x:c>
      <x:c r="B41" s="21" t="str">
        <x:v>Grand token</x:v>
      </x:c>
      <x:c r="C41" s="28" t="n">
        <x:v>0.002</x:v>
      </x:c>
      <x:c r="D41" s="20"/>
      <x:c r="E41" s="20"/>
      <x:c r="F41" s="20"/>
    </x:row>
    <x:row r="42" ht="15" hidden="0" customHeight="1">
      <x:c r="A42" s="21" t="str">
        <x:v>Expansion locked</x:v>
      </x:c>
      <x:c r="B42" s="21" t="str">
        <x:v>Empty</x:v>
      </x:c>
      <x:c r="C42" s="28" t="n">
        <x:v>0.8</x:v>
      </x:c>
      <x:c r="D42" s="20"/>
      <x:c r="E42" s="20"/>
      <x:c r="F42" s="20"/>
    </x:row>
    <x:row r="43" ht="15" hidden="0" customHeight="1">
      <x:c r="A43" s="21" t="str">
        <x:v>Expansion locked</x:v>
      </x:c>
      <x:c r="B43" s="21" t="str">
        <x:v>Coin</x:v>
      </x:c>
      <x:c r="C43" s="28" t="n">
        <x:v>0.145</x:v>
      </x:c>
      <x:c r="D43" s="20"/>
      <x:c r="E43" s="20"/>
      <x:c r="F43" s="20"/>
    </x:row>
    <x:row r="44" ht="15" hidden="0" customHeight="1">
      <x:c r="A44" s="21" t="str">
        <x:v>Expansion locked</x:v>
      </x:c>
      <x:c r="B44" s="21" t="str">
        <x:v>GO</x:v>
      </x:c>
      <x:c r="C44" s="28" t="n">
        <x:v>0.01</x:v>
      </x:c>
      <x:c r="D44" s="20"/>
      <x:c r="E44" s="20"/>
      <x:c r="F44" s="20"/>
    </x:row>
    <x:row r="45" ht="15" hidden="0" customHeight="1">
      <x:c r="A45" s="21" t="str">
        <x:v>Expansion locked</x:v>
      </x:c>
      <x:c r="B45" s="21" t="str">
        <x:v>Mini token</x:v>
      </x:c>
      <x:c r="C45" s="28" t="n">
        <x:v>0.026</x:v>
      </x:c>
      <x:c r="D45" s="20"/>
      <x:c r="E45" s="20"/>
      <x:c r="F45" s="20"/>
    </x:row>
    <x:row r="46" ht="15" hidden="0" customHeight="1">
      <x:c r="A46" s="21" t="str">
        <x:v>Expansion locked</x:v>
      </x:c>
      <x:c r="B46" s="21" t="str">
        <x:v>Minor token</x:v>
      </x:c>
      <x:c r="C46" s="28" t="n">
        <x:v>0.014</x:v>
      </x:c>
      <x:c r="D46" s="20"/>
      <x:c r="E46" s="20"/>
      <x:c r="F46" s="20"/>
    </x:row>
    <x:row r="47" ht="15" hidden="0" customHeight="1">
      <x:c r="A47" s="21" t="str">
        <x:v>Expansion locked</x:v>
      </x:c>
      <x:c r="B47" s="21" t="str">
        <x:v>Major token</x:v>
      </x:c>
      <x:c r="C47" s="28" t="n">
        <x:v>0.004</x:v>
      </x:c>
      <x:c r="D47" s="20"/>
      <x:c r="E47" s="20"/>
      <x:c r="F47" s="20"/>
    </x:row>
    <x:row r="48" ht="15" hidden="0" customHeight="1">
      <x:c r="A48" s="21" t="str">
        <x:v>Expansion locked</x:v>
      </x:c>
      <x:c r="B48" s="21" t="str">
        <x:v>Grand token</x:v>
      </x:c>
      <x:c r="C48" s="28" t="n">
        <x:v>0.001</x:v>
      </x:c>
      <x:c r="D48" s="20"/>
      <x:c r="E48" s="20"/>
      <x:c r="F48" s="20"/>
    </x:row>
    <x:row r="49" ht="15" hidden="0" customHeight="1">
      <x:c r="A49" s="21" t="str">
        <x:v>Standard 3x5</x:v>
      </x:c>
      <x:c r="B49" s="21" t="str">
        <x:v>Empty</x:v>
      </x:c>
      <x:c r="C49" s="28" t="n">
        <x:v>0.64</x:v>
      </x:c>
      <x:c r="D49" s="20"/>
      <x:c r="E49" s="20"/>
      <x:c r="F49" s="20"/>
    </x:row>
    <x:row r="50" ht="15" hidden="0" customHeight="1">
      <x:c r="A50" s="21" t="str">
        <x:v>Standard 3x5</x:v>
      </x:c>
      <x:c r="B50" s="21" t="str">
        <x:v>Coin</x:v>
      </x:c>
      <x:c r="C50" s="28" t="n">
        <x:v>0.27</x:v>
      </x:c>
      <x:c r="D50" s="20"/>
      <x:c r="E50" s="20"/>
      <x:c r="F50" s="20"/>
    </x:row>
    <x:row r="51" ht="15" hidden="0" customHeight="1">
      <x:c r="A51" s="21" t="str">
        <x:v>Standard 3x5</x:v>
      </x:c>
      <x:c r="B51" s="21" t="str">
        <x:v>Feature symbol</x:v>
      </x:c>
      <x:c r="C51" s="28" t="n">
        <x:v>0.035</x:v>
      </x:c>
      <x:c r="D51" s="20"/>
      <x:c r="E51" s="20"/>
      <x:c r="F51" s="20"/>
    </x:row>
    <x:row r="52" ht="15" hidden="0" customHeight="1">
      <x:c r="A52" s="21" t="str">
        <x:v>Standard 3x5</x:v>
      </x:c>
      <x:c r="B52" s="21" t="str">
        <x:v>Mini token</x:v>
      </x:c>
      <x:c r="C52" s="28" t="n">
        <x:v>0.032</x:v>
      </x:c>
      <x:c r="D52" s="20"/>
      <x:c r="E52" s="20"/>
      <x:c r="F52" s="20"/>
    </x:row>
    <x:row r="53" ht="15" hidden="0" customHeight="1">
      <x:c r="A53" s="21" t="str">
        <x:v>Standard 3x5</x:v>
      </x:c>
      <x:c r="B53" s="21" t="str">
        <x:v>Minor token</x:v>
      </x:c>
      <x:c r="C53" s="28" t="n">
        <x:v>0.016</x:v>
      </x:c>
      <x:c r="D53" s="20"/>
      <x:c r="E53" s="20"/>
      <x:c r="F53" s="20"/>
    </x:row>
    <x:row r="54" ht="15" hidden="0" customHeight="1">
      <x:c r="A54" s="21" t="str">
        <x:v>Standard 3x5</x:v>
      </x:c>
      <x:c r="B54" s="21" t="str">
        <x:v>Major token</x:v>
      </x:c>
      <x:c r="C54" s="28" t="n">
        <x:v>0.005</x:v>
      </x:c>
      <x:c r="D54" s="20"/>
      <x:c r="E54" s="20"/>
      <x:c r="F54" s="20"/>
    </x:row>
    <x:row r="55" ht="15" hidden="0" customHeight="1">
      <x:c r="A55" s="21" t="str">
        <x:v>Standard 3x5</x:v>
      </x:c>
      <x:c r="B55" s="21" t="str">
        <x:v>Grand token</x:v>
      </x:c>
      <x:c r="C55" s="28" t="n">
        <x:v>0.002</x:v>
      </x:c>
      <x:c r="D55" s="20"/>
      <x:c r="E55" s="20"/>
      <x:c r="F55" s="20"/>
    </x:row>
    <x:row r="56" ht="15" hidden="0" customHeight="1">
      <x:c r="A56" s="21" t="str">
        <x:v>Mega unlocked</x:v>
      </x:c>
      <x:c r="B56" s="21" t="str">
        <x:v>Empty</x:v>
      </x:c>
      <x:c r="C56" s="28" t="n">
        <x:v>0.555</x:v>
      </x:c>
      <x:c r="D56" s="20"/>
      <x:c r="E56" s="20"/>
      <x:c r="F56" s="20"/>
    </x:row>
    <x:row r="57" ht="15" hidden="0" customHeight="1">
      <x:c r="A57" s="21" t="str">
        <x:v>Mega unlocked</x:v>
      </x:c>
      <x:c r="B57" s="21" t="str">
        <x:v>Coin</x:v>
      </x:c>
      <x:c r="C57" s="28" t="n">
        <x:v>0.26</x:v>
      </x:c>
      <x:c r="D57" s="20"/>
      <x:c r="E57" s="20"/>
      <x:c r="F57" s="20"/>
    </x:row>
    <x:row r="58" ht="15" hidden="0" customHeight="1">
      <x:c r="A58" s="21" t="str">
        <x:v>Mega unlocked</x:v>
      </x:c>
      <x:c r="B58" s="21" t="str">
        <x:v>GO</x:v>
      </x:c>
      <x:c r="C58" s="28" t="n">
        <x:v>0.025</x:v>
      </x:c>
      <x:c r="D58" s="20"/>
      <x:c r="E58" s="20"/>
      <x:c r="F58" s="20"/>
    </x:row>
    <x:row r="59" ht="15" hidden="0" customHeight="1">
      <x:c r="A59" s="21" t="str">
        <x:v>Mega unlocked</x:v>
      </x:c>
      <x:c r="B59" s="21" t="str">
        <x:v>Grower</x:v>
      </x:c>
      <x:c r="C59" s="28" t="n">
        <x:v>0.03</x:v>
      </x:c>
      <x:c r="D59" s="20"/>
      <x:c r="E59" s="20"/>
      <x:c r="F59" s="20"/>
    </x:row>
    <x:row r="60" ht="15" hidden="0" customHeight="1">
      <x:c r="A60" s="21" t="str">
        <x:v>Mega unlocked</x:v>
      </x:c>
      <x:c r="B60" s="21" t="str">
        <x:v>Collector</x:v>
      </x:c>
      <x:c r="C60" s="28" t="n">
        <x:v>0.03</x:v>
      </x:c>
      <x:c r="D60" s="20"/>
      <x:c r="E60" s="20"/>
      <x:c r="F60" s="20"/>
    </x:row>
    <x:row r="61" ht="15" hidden="0" customHeight="1">
      <x:c r="A61" s="21" t="str">
        <x:v>Mega unlocked</x:v>
      </x:c>
      <x:c r="B61" s="21" t="str">
        <x:v>Splitter</x:v>
      </x:c>
      <x:c r="C61" s="28" t="n">
        <x:v>0.045</x:v>
      </x:c>
      <x:c r="D61" s="20"/>
      <x:c r="E61" s="20"/>
      <x:c r="F61" s="20"/>
    </x:row>
    <x:row r="62" ht="15" hidden="0" customHeight="1">
      <x:c r="A62" s="21" t="str">
        <x:v>Mega unlocked</x:v>
      </x:c>
      <x:c r="B62" s="21" t="str">
        <x:v>Mini token</x:v>
      </x:c>
      <x:c r="C62" s="28" t="n">
        <x:v>0.032</x:v>
      </x:c>
      <x:c r="D62" s="20"/>
      <x:c r="E62" s="20"/>
      <x:c r="F62" s="20"/>
    </x:row>
    <x:row r="63" ht="15" hidden="0" customHeight="1">
      <x:c r="A63" s="21" t="str">
        <x:v>Mega unlocked</x:v>
      </x:c>
      <x:c r="B63" s="21" t="str">
        <x:v>Minor token</x:v>
      </x:c>
      <x:c r="C63" s="28" t="n">
        <x:v>0.016</x:v>
      </x:c>
      <x:c r="D63" s="20"/>
      <x:c r="E63" s="20"/>
      <x:c r="F63" s="20"/>
    </x:row>
    <x:row r="64" ht="15" hidden="0" customHeight="1">
      <x:c r="A64" s="21" t="str">
        <x:v>Mega unlocked</x:v>
      </x:c>
      <x:c r="B64" s="21" t="str">
        <x:v>Major token</x:v>
      </x:c>
      <x:c r="C64" s="28" t="n">
        <x:v>0.005</x:v>
      </x:c>
      <x:c r="D64" s="20"/>
      <x:c r="E64" s="20"/>
      <x:c r="F64" s="20"/>
    </x:row>
    <x:row r="65" ht="15" hidden="0" customHeight="1">
      <x:c r="A65" s="21" t="str">
        <x:v>Mega unlocked</x:v>
      </x:c>
      <x:c r="B65" s="21" t="str">
        <x:v>Grand token</x:v>
      </x:c>
      <x:c r="C65" s="28" t="n">
        <x:v>0.002</x:v>
      </x:c>
      <x:c r="D65" s="20"/>
      <x:c r="E65" s="20"/>
      <x:c r="F65" s="20"/>
    </x:row>
    <x:row r="66" ht="15" hidden="0" customHeight="1">
      <x:c r="A66" s="21" t="str">
        <x:v>Mega locked</x:v>
      </x:c>
      <x:c r="B66" s="21" t="str">
        <x:v>Empty</x:v>
      </x:c>
      <x:c r="C66" s="28" t="n">
        <x:v>0.715</x:v>
      </x:c>
      <x:c r="D66" s="20"/>
      <x:c r="E66" s="20"/>
      <x:c r="F66" s="20"/>
    </x:row>
    <x:row r="67" ht="15" hidden="0" customHeight="1">
      <x:c r="A67" s="21" t="str">
        <x:v>Mega locked</x:v>
      </x:c>
      <x:c r="B67" s="21" t="str">
        <x:v>Coin</x:v>
      </x:c>
      <x:c r="C67" s="28" t="n">
        <x:v>0.17</x:v>
      </x:c>
      <x:c r="D67" s="20"/>
      <x:c r="E67" s="20"/>
      <x:c r="F67" s="20"/>
    </x:row>
    <x:row r="68" ht="15" hidden="0" customHeight="1">
      <x:c r="A68" s="21" t="str">
        <x:v>Mega locked</x:v>
      </x:c>
      <x:c r="B68" s="21" t="str">
        <x:v>GO</x:v>
      </x:c>
      <x:c r="C68" s="28" t="n">
        <x:v>0.01</x:v>
      </x:c>
      <x:c r="D68" s="20"/>
      <x:c r="E68" s="20"/>
      <x:c r="F68" s="20"/>
    </x:row>
    <x:row r="69" ht="15" hidden="0" customHeight="1">
      <x:c r="A69" s="21" t="str">
        <x:v>Mega locked</x:v>
      </x:c>
      <x:c r="B69" s="21" t="str">
        <x:v>Grower</x:v>
      </x:c>
      <x:c r="C69" s="28" t="n">
        <x:v>0.02</x:v>
      </x:c>
      <x:c r="D69" s="20"/>
      <x:c r="E69" s="20"/>
      <x:c r="F69" s="20"/>
    </x:row>
    <x:row r="70" ht="15" hidden="0" customHeight="1">
      <x:c r="A70" s="21" t="str">
        <x:v>Mega locked</x:v>
      </x:c>
      <x:c r="B70" s="21" t="str">
        <x:v>Collector</x:v>
      </x:c>
      <x:c r="C70" s="28" t="n">
        <x:v>0.02</x:v>
      </x:c>
      <x:c r="D70" s="20"/>
      <x:c r="E70" s="20"/>
      <x:c r="F70" s="20"/>
    </x:row>
    <x:row r="71" ht="15" hidden="0" customHeight="1">
      <x:c r="A71" s="21" t="str">
        <x:v>Mega locked</x:v>
      </x:c>
      <x:c r="B71" s="21" t="str">
        <x:v>Splitter</x:v>
      </x:c>
      <x:c r="C71" s="28" t="n">
        <x:v>0.025</x:v>
      </x:c>
      <x:c r="D71" s="20"/>
      <x:c r="E71" s="20"/>
      <x:c r="F71" s="20"/>
    </x:row>
    <x:row r="72" ht="15" hidden="0" customHeight="1">
      <x:c r="A72" s="21" t="str">
        <x:v>Mega locked</x:v>
      </x:c>
      <x:c r="B72" s="21" t="str">
        <x:v>Mini token</x:v>
      </x:c>
      <x:c r="C72" s="28" t="n">
        <x:v>0.026</x:v>
      </x:c>
      <x:c r="D72" s="20"/>
      <x:c r="E72" s="20"/>
      <x:c r="F72" s="20"/>
    </x:row>
    <x:row r="73" ht="15" hidden="0" customHeight="1">
      <x:c r="A73" s="21" t="str">
        <x:v>Mega locked</x:v>
      </x:c>
      <x:c r="B73" s="21" t="str">
        <x:v>Minor token</x:v>
      </x:c>
      <x:c r="C73" s="28" t="n">
        <x:v>0.01</x:v>
      </x:c>
      <x:c r="D73" s="20"/>
      <x:c r="E73" s="20"/>
      <x:c r="F73" s="20"/>
    </x:row>
    <x:row r="74" ht="15" hidden="0" customHeight="1">
      <x:c r="A74" s="21" t="str">
        <x:v>Mega locked</x:v>
      </x:c>
      <x:c r="B74" s="21" t="str">
        <x:v>Major token</x:v>
      </x:c>
      <x:c r="C74" s="28" t="n">
        <x:v>0.003</x:v>
      </x:c>
      <x:c r="D74" s="20"/>
      <x:c r="E74" s="20"/>
      <x:c r="F74" s="20"/>
    </x:row>
    <x:row r="75" ht="15" hidden="0" customHeight="1">
      <x:c r="A75" s="21" t="str">
        <x:v>Mega locked</x:v>
      </x:c>
      <x:c r="B75" s="21" t="str">
        <x:v>Grand token</x:v>
      </x:c>
      <x:c r="C75" s="21" t="n">
        <x:v>0.001</x:v>
      </x:c>
      <x:c r="D75" s="20"/>
      <x:c r="E75" s="20"/>
      <x:c r="F75" s="20"/>
    </x:row>
  </x:sheetData>
  <x:mergeCells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FFC000"/>
  </x:sheetPr>
  <x:sheetViews>
    <x:sheetView showGridLines="0" workbookViewId="0"/>
  </x:sheetViews>
  <x:sheetFormatPr defaultRowHeight="15"/>
  <x:cols>
    <x:col min="1" max="1" width="16.25" hidden="0" customWidth="1"/>
    <x:col min="2" max="2" width="79.37999725341797" hidden="0" customWidth="1"/>
  </x:cols>
  <x:sheetData>
    <x:row r="2" ht="19.200000762939453" hidden="0" customHeight="1">
      <x:c r="A2" s="19" t="str">
        <x:v>Game rules</x:v>
      </x:c>
      <x:c r="B2" s="20"/>
    </x:row>
    <x:row r="3" ht="15" hidden="0" customHeight="1">
      <x:c r="A3" s="20"/>
      <x:c r="B3" s="20"/>
    </x:row>
    <x:row r="4" ht="15" hidden="0" customHeight="1">
      <x:c r="A4" s="6" t="str">
        <x:v>Area</x:v>
      </x:c>
      <x:c r="B4" s="6" t="str">
        <x:v>Rule</x:v>
      </x:c>
    </x:row>
    <x:row r="5" ht="15" hidden="0" customHeight="1">
      <x:c r="A5" s="21" t="str">
        <x:v>Base</x:v>
      </x:c>
      <x:c r="B5" s="29" t="str">
        <x:v>Base game settings, reelsets, paytable, Collect mechanic, and coin-drop settings remain unchanged.</x:v>
      </x:c>
    </x:row>
    <x:row r="6" ht="15" hidden="0" customHeight="1">
      <x:c r="A6" s="21" t="str">
        <x:v>Feature odds</x:v>
      </x:c>
      <x:c r="B6" s="29" t="str">
        <x:v>Overall feature odds are kept at 1 in 100 in the implemented tuning.</x:v>
      </x:c>
    </x:row>
    <x:row r="7" ht="15" hidden="0" customHeight="1">
      <x:c r="A7" s="21" t="str">
        <x:v>Single features</x:v>
      </x:c>
      <x:c r="B7" s="29" t="str">
        <x:v>Six single-feature lanes are tuned at 1 in 625 each to preserve the total feature odds with combo included.</x:v>
      </x:c>
    </x:row>
    <x:row r="8" ht="15" hidden="0" customHeight="1">
      <x:c r="A8" s="21" t="str">
        <x:v>Requested odds note</x:v>
      </x:c>
      <x:c r="B8" s="29" t="str">
        <x:v>Exact 1 in 600 for all six singles plus 1 in 2,500 combo cannot also equal overall 1 in 100.</x:v>
      </x:c>
    </x:row>
    <x:row r="9" ht="15" hidden="0" customHeight="1">
      <x:c r="A9" s="21" t="str">
        <x:v>Combo</x:v>
      </x:c>
      <x:c r="B9" s="29" t="str">
        <x:v>Mega/Combo triggers only when SC1-SC6 are all present after base SC conversion.</x:v>
      </x:c>
    </x:row>
    <x:row r="10" ht="15" hidden="0" customHeight="1">
      <x:c r="A10" s="21" t="str">
        <x:v>Jackpots</x:v>
      </x:c>
      <x:c r="B10" s="29" t="str">
        <x:v>Mini, Minor, Major, and Grand require 3 matching tokens. Tokens are not affected by feature symbols.</x:v>
      </x:c>
    </x:row>
    <x:row r="11" ht="15" hidden="0" customHeight="1">
      <x:c r="A11" s="21" t="str">
        <x:v>Feature ending</x:v>
      </x:c>
      <x:c r="B11" s="29" t="str">
        <x:v>Feature sessions end when the grid is full or spins are exhausted.</x:v>
      </x:c>
    </x:row>
    <x:row r="12" ht="15" hidden="0" customHeight="1">
      <x:c r="A12" s="21" t="str">
        <x:v>Multiplier</x:v>
      </x:c>
      <x:c r="B12" s="29" t="str">
        <x:v>Multiplier cells affect coins only, not jackpot tokens.</x:v>
      </x:c>
    </x:row>
    <x:row r="13" ht="15" hidden="0" customHeight="1">
      <x:c r="A13" s="21" t="str">
        <x:v>Splitter</x:v>
      </x:c>
      <x:c r="B13" s="29" t="str">
        <x:v>Splitter cells hold 2 or 3 coin values and are not split again.</x:v>
      </x:c>
    </x:row>
    <x:row r="14" ht="15" hidden="0" customHeight="1">
      <x:c r="A14" s="21" t="str">
        <x:v>RTP tuning</x:v>
      </x:c>
      <x:c r="B14" s="29" t="str">
        <x:v>Feature payout multiplier of 1.086911x is applied to final feature wins only.</x:v>
      </x:c>
    </x:row>
  </x:sheetData>
  <x:mergeCells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17" hidden="0" customWidth="1"/>
    <x:col min="2" max="2" width="104.87999725341797" hidden="0" customWidth="1"/>
  </x:cols>
  <x:sheetData>
    <x:row r="2" ht="19.200000762939453" hidden="0" customHeight="1">
      <x:c r="A2" s="19" t="str">
        <x:v>Game flow</x:v>
      </x:c>
      <x:c r="B2" s="20"/>
    </x:row>
    <x:row r="3" ht="15" hidden="0" customHeight="1">
      <x:c r="A3" s="20"/>
      <x:c r="B3" s="20"/>
    </x:row>
    <x:row r="4" ht="15" hidden="0" customHeight="1">
      <x:c r="A4" s="6" t="str">
        <x:v>Flow</x:v>
      </x:c>
      <x:c r="B4" s="6" t="str">
        <x:v>Step</x:v>
      </x:c>
    </x:row>
    <x:row r="5" ht="15" hidden="0" customHeight="1">
      <x:c r="A5" s="21" t="str">
        <x:v>Base</x:v>
      </x:c>
      <x:c r="B5" s="29" t="str">
        <x:v>Select reelset, draw 5x3 window, evaluate lines, drop overlay coins, and resolve Collect awards.</x:v>
      </x:c>
    </x:row>
    <x:row r="6" ht="15" hidden="0" customHeight="1">
      <x:c r="A6" s="21" t="str">
        <x:v>Base trigger</x:v>
      </x:c>
      <x:c r="B6" s="29" t="str">
        <x:v>If generic SC appears, convert it to SC1-SC7 by weights for feature routing.</x:v>
      </x:c>
    </x:row>
    <x:row r="7" ht="15" hidden="0" customHeight="1">
      <x:c r="A7" s="21" t="str">
        <x:v>Feature launch</x:v>
      </x:c>
      <x:c r="B7" s="29" t="str">
        <x:v>Use the odds table for feature selection. Combo requires SC1-SC6 and uses 1 in 2,500 odds.</x:v>
      </x:c>
    </x:row>
    <x:row r="8" ht="15" hidden="0" customHeight="1">
      <x:c r="A8" s="21" t="str">
        <x:v>Common feature start</x:v>
      </x:c>
      <x:c r="B8" s="29" t="str">
        <x:v>Trigger symbol enters active area. Add three normal coins for single features or 1/2/3 extra coins for combo.</x:v>
      </x:c>
    </x:row>
    <x:row r="9" ht="15" hidden="0" customHeight="1">
      <x:c r="A9" s="21" t="str">
        <x:v>Expansion</x:v>
      </x:c>
      <x:c r="B9" s="29" t="str">
        <x:v>6x5 grid with top 3 rows locked. GO unlocks next locked row and spins out.</x:v>
      </x:c>
    </x:row>
    <x:row r="10" ht="15" hidden="0" customHeight="1">
      <x:c r="A10" s="21" t="str">
        <x:v>Multiplier</x:v>
      </x:c>
      <x:c r="B10" s="29" t="str">
        <x:v>3x5 grid. Multiplier cells persist until a coin lands on them.</x:v>
      </x:c>
    </x:row>
    <x:row r="11" ht="15" hidden="0" customHeight="1">
      <x:c r="A11" s="21" t="str">
        <x:v>Grow</x:v>
      </x:c>
      <x:c r="B11" s="29" t="str">
        <x:v>Growers can independently grow 3-5 other normal coins on weighted checks.</x:v>
      </x:c>
    </x:row>
    <x:row r="12" ht="15" hidden="0" customHeight="1">
      <x:c r="A12" s="21" t="str">
        <x:v>Boost</x:v>
      </x:c>
      <x:c r="B12" s="29" t="str">
        <x:v>Boost spin increases normal coin values and converts booster to a normal coin.</x:v>
      </x:c>
    </x:row>
    <x:row r="13" ht="15" hidden="0" customHeight="1">
      <x:c r="A13" s="21" t="str">
        <x:v>Collect</x:v>
      </x:c>
      <x:c r="B13" s="29" t="str">
        <x:v>Collectors collect other normal coins, ignore jackpot tokens, and convert to normal coins.</x:v>
      </x:c>
    </x:row>
    <x:row r="14" ht="15" hidden="0" customHeight="1">
      <x:c r="A14" s="21" t="str">
        <x:v>Splitter</x:v>
      </x:c>
      <x:c r="B14" s="29" t="str">
        <x:v>Splitter cells hold 2 or 3 coin values. Minimum splitter rule is enforced.</x:v>
      </x:c>
    </x:row>
    <x:row r="15" ht="15" hidden="0" customHeight="1">
      <x:c r="A15" s="21" t="str">
        <x:v>Mega/Combo</x:v>
      </x:c>
      <x:c r="B15" s="29" t="str">
        <x:v>SC1-SC6 keep exact base positions in the bottom three rows, perform guaranteed opening actions, then continue as a combined 6x5 feature.</x:v>
      </x:c>
    </x:row>
  </x:sheetData>
  <x:mergeCells>
    <x:mergeCell ref="A2:H2"/>
  </x:mergeCells>
  <x:pageMargins left="0.7" right="0.7" top="0.75" bottom="0.75" header="0.3" footer="0.3"/>
</x:worksheet>
</file>