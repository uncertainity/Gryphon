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activeX/activeX1.xml" ContentType="application/vnd.ms-office.activeX+xml"/>
  <Override PartName="/xl/activeX/activeX1.bin" ContentType="application/vnd.ms-office.activeX"/>
  <Override PartName="/xl/drawings/drawing5.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drawings/drawing6.xml" ContentType="application/vnd.openxmlformats-officedocument.drawing+xml"/>
  <Override PartName="/xl/activeX/activeX5.xml" ContentType="application/vnd.ms-office.activeX+xml"/>
  <Override PartName="/xl/activeX/activeX5.bin" ContentType="application/vnd.ms-office.activeX"/>
  <Override PartName="/xl/drawings/drawing7.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8.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drawings/drawing9.xml" ContentType="application/vnd.openxmlformats-officedocument.drawing+xml"/>
  <Override PartName="/xl/activeX/activeX11.xml" ContentType="application/vnd.ms-office.activeX+xml"/>
  <Override PartName="/xl/activeX/activeX11.bin" ContentType="application/vnd.ms-office.activeX"/>
  <Override PartName="/xl/drawings/drawing10.xml" ContentType="application/vnd.openxmlformats-officedocument.drawing+xml"/>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veste\Desktop\Gryphons\"/>
    </mc:Choice>
  </mc:AlternateContent>
  <xr:revisionPtr revIDLastSave="0" documentId="13_ncr:1_{C2BE3811-C73E-438B-9755-4C9AD851C5ED}" xr6:coauthVersionLast="47" xr6:coauthVersionMax="47" xr10:uidLastSave="{00000000-0000-0000-0000-000000000000}"/>
  <bookViews>
    <workbookView xWindow="38290" yWindow="-110" windowWidth="38620" windowHeight="21100" tabRatio="887" activeTab="4" xr2:uid="{00000000-000D-0000-FFFF-FFFF00000000}"/>
  </bookViews>
  <sheets>
    <sheet name="Game Summary" sheetId="19" r:id="rId1"/>
    <sheet name="Market Summary" sheetId="165" r:id="rId2"/>
    <sheet name="Change Log" sheetId="164" r:id="rId3"/>
    <sheet name="Flow_Chart" sheetId="68" r:id="rId4"/>
    <sheet name="MathSheet" sheetId="18" r:id="rId5"/>
    <sheet name="Summary" sheetId="121" r:id="rId6"/>
    <sheet name="BaseA" sheetId="56" r:id="rId7"/>
    <sheet name="BaseA_Structure" sheetId="83" state="hidden" r:id="rId8"/>
    <sheet name="BaseB" sheetId="119" r:id="rId9"/>
    <sheet name="BaseB_Structure" sheetId="122" state="hidden" r:id="rId10"/>
    <sheet name="Structure" sheetId="10" state="hidden" r:id="rId11"/>
    <sheet name="BaseC" sheetId="127" r:id="rId12"/>
    <sheet name="BaseC_Structure" sheetId="128" state="hidden" r:id="rId13"/>
    <sheet name="Row_Structure" sheetId="16" r:id="rId14"/>
    <sheet name="Bonus_Game1" sheetId="131" r:id="rId15"/>
    <sheet name="Bonus_Game2" sheetId="132" r:id="rId16"/>
    <sheet name="Bonus_Game3" sheetId="133" r:id="rId17"/>
    <sheet name="Bonus_Game4" sheetId="162" r:id="rId18"/>
    <sheet name="Heat_map_graph_FG" sheetId="43" r:id="rId19"/>
    <sheet name="Heat_map_graph_Bonus1" sheetId="134" r:id="rId20"/>
    <sheet name="Heat_map_graph_Bonus2" sheetId="135" r:id="rId21"/>
    <sheet name="Heat_map_graph_Bonus3" sheetId="136" r:id="rId22"/>
    <sheet name="Heat_map_graph_Bonus4" sheetId="163" r:id="rId23"/>
    <sheet name="Paylines" sheetId="118" r:id="rId24"/>
    <sheet name="Survival_logs" sheetId="130" r:id="rId25"/>
    <sheet name="Base_Volatility_Graph" sheetId="34" r:id="rId26"/>
    <sheet name="FG_Volatility_Graph" sheetId="111" r:id="rId27"/>
  </sheets>
  <definedNames>
    <definedName name="ACCEPTANCE">#REF!</definedName>
    <definedName name="ARTIFACT">#REF!</definedName>
    <definedName name="DTYPE">#REF!</definedName>
    <definedName name="PHASE">#REF!</definedName>
    <definedName name="PHASE_OF_ORIGIN">#REF!</definedName>
    <definedName name="REVIEW_OBJECTS">#REF!</definedName>
    <definedName name="REVIEW_TYPE">#REF!</definedName>
    <definedName name="SEVERITY">#REF!</definedName>
    <definedName name="VENUE" localSheetId="25">#REF!</definedName>
    <definedName name="VENUE" localSheetId="6">#REF!</definedName>
    <definedName name="VENUE" localSheetId="8">#REF!</definedName>
    <definedName name="VENUE" localSheetId="11">#REF!</definedName>
    <definedName name="VENUE" localSheetId="14">#REF!</definedName>
    <definedName name="VENUE" localSheetId="15">#REF!</definedName>
    <definedName name="VENUE" localSheetId="16">#REF!</definedName>
    <definedName name="VENUE" localSheetId="17">#REF!</definedName>
    <definedName name="VENUE" localSheetId="26">#REF!</definedName>
    <definedName name="VENUE" localSheetId="19">#REF!</definedName>
    <definedName name="VENUE" localSheetId="20">#REF!</definedName>
    <definedName name="VENUE" localSheetId="21">#REF!</definedName>
    <definedName name="VENUE" localSheetId="22">#REF!</definedName>
    <definedName name="VEN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2" i="19" l="1"/>
  <c r="P72" i="19"/>
  <c r="Q69" i="19"/>
  <c r="P69" i="19"/>
  <c r="Q59" i="19"/>
  <c r="P59" i="19"/>
  <c r="P58" i="19"/>
  <c r="P38" i="19"/>
  <c r="Q38" i="19" s="1"/>
  <c r="P35" i="19"/>
  <c r="P36" i="19"/>
  <c r="R36" i="19" s="1"/>
  <c r="P37" i="19"/>
  <c r="R14" i="19"/>
  <c r="Q58" i="19" s="1"/>
  <c r="Q14" i="19"/>
  <c r="V14" i="19" s="1"/>
  <c r="P14" i="19"/>
  <c r="R13" i="19"/>
  <c r="W13" i="19" s="1"/>
  <c r="Q13" i="19"/>
  <c r="P13" i="19"/>
  <c r="R12" i="19"/>
  <c r="Q12" i="19"/>
  <c r="P12" i="19"/>
  <c r="U12" i="19" s="1"/>
  <c r="R11" i="19"/>
  <c r="Q11" i="19"/>
  <c r="P11" i="19"/>
  <c r="R10" i="19"/>
  <c r="W10" i="19" s="1"/>
  <c r="Q10" i="19"/>
  <c r="P10" i="19"/>
  <c r="R9" i="19"/>
  <c r="Q9" i="19"/>
  <c r="P9" i="19"/>
  <c r="R8" i="19"/>
  <c r="Q8" i="19"/>
  <c r="P8" i="19"/>
  <c r="U8" i="19" s="1"/>
  <c r="R7" i="19"/>
  <c r="W7" i="19" s="1"/>
  <c r="Q7" i="19"/>
  <c r="V7" i="19" s="1"/>
  <c r="P7" i="19"/>
  <c r="U7" i="19" s="1"/>
  <c r="R6" i="19"/>
  <c r="W6" i="19" s="1"/>
  <c r="Q6" i="19"/>
  <c r="V6" i="19" s="1"/>
  <c r="P6" i="19"/>
  <c r="U6" i="19" s="1"/>
  <c r="R5" i="19"/>
  <c r="Q5" i="19"/>
  <c r="V5" i="19" s="1"/>
  <c r="P5" i="19"/>
  <c r="U5" i="19" s="1"/>
  <c r="U14" i="19"/>
  <c r="O5" i="19"/>
  <c r="P19" i="19"/>
  <c r="R19" i="19"/>
  <c r="P20" i="19"/>
  <c r="Q20" i="19"/>
  <c r="T20" i="19" s="1"/>
  <c r="P21" i="19"/>
  <c r="S21" i="19"/>
  <c r="T21" i="19"/>
  <c r="U21" i="19"/>
  <c r="P22" i="19"/>
  <c r="P26" i="19" s="1"/>
  <c r="P32" i="19" s="1"/>
  <c r="S22" i="19"/>
  <c r="S26" i="19" s="1"/>
  <c r="T26" i="19" s="1"/>
  <c r="U22" i="19"/>
  <c r="P23" i="19"/>
  <c r="S23" i="19"/>
  <c r="T23" i="19"/>
  <c r="U23" i="19"/>
  <c r="P24" i="19"/>
  <c r="S24" i="19"/>
  <c r="T24" i="19"/>
  <c r="U24" i="19"/>
  <c r="P25" i="19"/>
  <c r="S25" i="19"/>
  <c r="T25" i="19"/>
  <c r="Q26" i="19"/>
  <c r="Q31" i="19" s="1"/>
  <c r="R26" i="19"/>
  <c r="S31" i="19" s="1"/>
  <c r="W14" i="19"/>
  <c r="V13" i="19"/>
  <c r="U13" i="19"/>
  <c r="W12" i="19"/>
  <c r="V12" i="19"/>
  <c r="W11" i="19"/>
  <c r="V11" i="19"/>
  <c r="U11" i="19"/>
  <c r="V10" i="19"/>
  <c r="U10" i="19"/>
  <c r="W9" i="19"/>
  <c r="V9" i="19"/>
  <c r="U9" i="19"/>
  <c r="W8" i="19"/>
  <c r="V8" i="19"/>
  <c r="W5" i="19"/>
  <c r="D20" i="165"/>
  <c r="D28" i="165" s="1"/>
  <c r="D35" i="165" s="1"/>
  <c r="D40" i="165" s="1"/>
  <c r="E18" i="165"/>
  <c r="E26" i="165" s="1"/>
  <c r="E34" i="165" s="1"/>
  <c r="E39" i="165" s="1"/>
  <c r="D18" i="165"/>
  <c r="D26" i="165" s="1"/>
  <c r="D34" i="165" s="1"/>
  <c r="D39" i="165" s="1"/>
  <c r="E4" i="165"/>
  <c r="D4" i="165"/>
  <c r="T31" i="19" l="1"/>
  <c r="R31" i="19"/>
  <c r="Q19" i="19"/>
  <c r="T19" i="19" s="1"/>
  <c r="U25" i="19"/>
  <c r="Q32" i="19"/>
  <c r="S32" i="19"/>
  <c r="P31" i="19"/>
  <c r="T22" i="19"/>
  <c r="E19" i="165"/>
  <c r="E27" i="165" s="1"/>
  <c r="D19" i="165"/>
  <c r="D27" i="165" s="1"/>
  <c r="T32" i="19" l="1"/>
  <c r="R32" i="19"/>
  <c r="A56" i="18"/>
  <c r="B56" i="18"/>
  <c r="D56" i="18"/>
  <c r="E65" i="18"/>
  <c r="E64" i="18"/>
  <c r="E63" i="18"/>
  <c r="E62" i="18"/>
  <c r="E67" i="18"/>
  <c r="E68" i="18"/>
  <c r="E69" i="18"/>
  <c r="E70" i="18"/>
  <c r="E71" i="18"/>
  <c r="E72" i="18"/>
  <c r="E73" i="18"/>
  <c r="E74" i="18"/>
  <c r="E75" i="18"/>
  <c r="E76" i="18"/>
  <c r="E77" i="18"/>
  <c r="E78" i="18"/>
  <c r="E79" i="18"/>
  <c r="E80" i="18"/>
  <c r="E81" i="18"/>
  <c r="E82" i="18"/>
  <c r="E83" i="18"/>
  <c r="E84" i="18"/>
  <c r="E85" i="18"/>
  <c r="E86" i="18"/>
  <c r="E66" i="18"/>
  <c r="G67" i="18"/>
  <c r="H67" i="18"/>
  <c r="I67" i="18"/>
  <c r="D25" i="18"/>
  <c r="D26" i="18"/>
  <c r="D20" i="18"/>
  <c r="E20" i="18"/>
  <c r="H6" i="18"/>
  <c r="M29" i="162"/>
  <c r="H5" i="162"/>
  <c r="H6" i="162"/>
  <c r="H7" i="162"/>
  <c r="H8" i="162"/>
  <c r="H9" i="162"/>
  <c r="H10" i="162"/>
  <c r="H11" i="162"/>
  <c r="H12" i="162"/>
  <c r="H13" i="162"/>
  <c r="H14" i="162"/>
  <c r="H15" i="162"/>
  <c r="H16" i="162"/>
  <c r="H17" i="162"/>
  <c r="H18" i="162"/>
  <c r="H19" i="162"/>
  <c r="H20" i="162"/>
  <c r="H21" i="162"/>
  <c r="H22" i="162"/>
  <c r="H23" i="162"/>
  <c r="H24" i="162"/>
  <c r="H4" i="162"/>
  <c r="E71" i="133"/>
  <c r="J62" i="133" s="1"/>
  <c r="H5" i="133"/>
  <c r="H6" i="133"/>
  <c r="H7" i="133"/>
  <c r="H8" i="133"/>
  <c r="H9" i="133"/>
  <c r="H10" i="133"/>
  <c r="H11" i="133"/>
  <c r="H12" i="133"/>
  <c r="H13" i="133"/>
  <c r="H14" i="133"/>
  <c r="H15" i="133"/>
  <c r="H16" i="133"/>
  <c r="H17" i="133"/>
  <c r="H18" i="133"/>
  <c r="H19" i="133"/>
  <c r="H20" i="133"/>
  <c r="H21" i="133"/>
  <c r="H22" i="133"/>
  <c r="H23" i="133"/>
  <c r="H24" i="133"/>
  <c r="H4" i="133"/>
  <c r="E71" i="132"/>
  <c r="J67" i="132" s="1"/>
  <c r="H4" i="131"/>
  <c r="M8" i="131" s="1"/>
  <c r="B13" i="131"/>
  <c r="H10" i="132"/>
  <c r="H11" i="132"/>
  <c r="H18" i="132"/>
  <c r="H21" i="131"/>
  <c r="H22" i="131"/>
  <c r="H23" i="131"/>
  <c r="H24" i="131"/>
  <c r="E71" i="131"/>
  <c r="B57" i="131" s="1"/>
  <c r="K13" i="121"/>
  <c r="F27" i="163"/>
  <c r="D27" i="163"/>
  <c r="E15" i="163" s="1"/>
  <c r="A26" i="163"/>
  <c r="A25" i="163"/>
  <c r="A24" i="163"/>
  <c r="A23" i="163"/>
  <c r="A22" i="163"/>
  <c r="A21" i="163"/>
  <c r="A20" i="163"/>
  <c r="A19" i="163"/>
  <c r="A18" i="163"/>
  <c r="A17" i="163"/>
  <c r="A16" i="163"/>
  <c r="A15" i="163"/>
  <c r="A14" i="163"/>
  <c r="A13" i="163"/>
  <c r="A12" i="163"/>
  <c r="A11" i="163"/>
  <c r="A10" i="163"/>
  <c r="A9" i="163"/>
  <c r="A8" i="163"/>
  <c r="A7" i="163"/>
  <c r="A6" i="163"/>
  <c r="A5" i="163"/>
  <c r="A4" i="163"/>
  <c r="B27" i="121"/>
  <c r="L7" i="121"/>
  <c r="G56" i="18" s="1"/>
  <c r="O71" i="127"/>
  <c r="L70" i="127"/>
  <c r="H67" i="127"/>
  <c r="H68" i="127"/>
  <c r="H69" i="127"/>
  <c r="H66" i="127"/>
  <c r="G69" i="127"/>
  <c r="G69" i="119"/>
  <c r="G12" i="121"/>
  <c r="H67" i="119"/>
  <c r="H68" i="119"/>
  <c r="H69" i="119"/>
  <c r="H66" i="119"/>
  <c r="E71" i="162"/>
  <c r="B51" i="162" s="1"/>
  <c r="N36" i="162"/>
  <c r="M36" i="162"/>
  <c r="L36" i="162"/>
  <c r="N35" i="162"/>
  <c r="M35" i="162"/>
  <c r="L35" i="162"/>
  <c r="N34" i="162"/>
  <c r="M34" i="162"/>
  <c r="L34" i="162"/>
  <c r="N33" i="162"/>
  <c r="M33" i="162"/>
  <c r="L33" i="162"/>
  <c r="G24" i="162"/>
  <c r="G23" i="162"/>
  <c r="G22" i="162"/>
  <c r="G21" i="162"/>
  <c r="G20" i="162"/>
  <c r="G19" i="162"/>
  <c r="G18" i="162"/>
  <c r="G17" i="162"/>
  <c r="G16" i="162"/>
  <c r="G15" i="162"/>
  <c r="G14" i="162"/>
  <c r="G13" i="162"/>
  <c r="B13" i="162"/>
  <c r="B15" i="162" s="1"/>
  <c r="G12" i="162"/>
  <c r="E12" i="162"/>
  <c r="D12" i="162"/>
  <c r="C12" i="162"/>
  <c r="B12" i="162"/>
  <c r="A12" i="162"/>
  <c r="G11" i="162"/>
  <c r="E11" i="162"/>
  <c r="D11" i="162"/>
  <c r="C11" i="162"/>
  <c r="B11" i="162"/>
  <c r="A11" i="162"/>
  <c r="G10" i="162"/>
  <c r="E10" i="162"/>
  <c r="D10" i="162"/>
  <c r="C10" i="162"/>
  <c r="B10" i="162"/>
  <c r="A10" i="162"/>
  <c r="G9" i="162"/>
  <c r="E9" i="162"/>
  <c r="D9" i="162"/>
  <c r="C9" i="162"/>
  <c r="B9" i="162"/>
  <c r="A9" i="162"/>
  <c r="G8" i="162"/>
  <c r="G7" i="162"/>
  <c r="G6" i="162"/>
  <c r="G5" i="162"/>
  <c r="G4" i="162"/>
  <c r="N1" i="162"/>
  <c r="R26" i="127"/>
  <c r="R27" i="127"/>
  <c r="R28" i="127"/>
  <c r="R29" i="127"/>
  <c r="R30" i="127"/>
  <c r="R31" i="127"/>
  <c r="R32" i="127"/>
  <c r="R33" i="127"/>
  <c r="R34" i="127"/>
  <c r="R35" i="127"/>
  <c r="R36" i="127"/>
  <c r="R37" i="127"/>
  <c r="R38" i="127"/>
  <c r="R39" i="127"/>
  <c r="R40" i="127"/>
  <c r="R41" i="127"/>
  <c r="R42" i="127"/>
  <c r="R43" i="127"/>
  <c r="R44" i="127"/>
  <c r="R45" i="127"/>
  <c r="R25" i="127"/>
  <c r="R26" i="119"/>
  <c r="R27" i="119"/>
  <c r="R28" i="119"/>
  <c r="R29" i="119"/>
  <c r="R30" i="119"/>
  <c r="R31" i="119"/>
  <c r="R32" i="119"/>
  <c r="R33" i="119"/>
  <c r="R34" i="119"/>
  <c r="R35" i="119"/>
  <c r="R36" i="119"/>
  <c r="R37" i="119"/>
  <c r="R38" i="119"/>
  <c r="R39" i="119"/>
  <c r="R40" i="119"/>
  <c r="R41" i="119"/>
  <c r="R42" i="119"/>
  <c r="R43" i="119"/>
  <c r="R44" i="119"/>
  <c r="R45" i="119"/>
  <c r="R25" i="119"/>
  <c r="K16" i="121"/>
  <c r="K17" i="121"/>
  <c r="K18" i="121"/>
  <c r="K15" i="121"/>
  <c r="M34" i="133"/>
  <c r="M35" i="133"/>
  <c r="M36" i="133"/>
  <c r="M33" i="133"/>
  <c r="M34" i="132"/>
  <c r="M35" i="132"/>
  <c r="M36" i="132"/>
  <c r="M33" i="132"/>
  <c r="Q34" i="131"/>
  <c r="Q35" i="131"/>
  <c r="Q36" i="131"/>
  <c r="Q33" i="131"/>
  <c r="J16" i="121"/>
  <c r="J17" i="121"/>
  <c r="J18" i="121"/>
  <c r="J15" i="121"/>
  <c r="L34" i="133"/>
  <c r="L35" i="133"/>
  <c r="L36" i="133"/>
  <c r="L33" i="133"/>
  <c r="L34" i="132"/>
  <c r="L35" i="132"/>
  <c r="L36" i="132"/>
  <c r="L33" i="132"/>
  <c r="F2" i="10"/>
  <c r="F3" i="10"/>
  <c r="F4" i="10"/>
  <c r="F5" i="10"/>
  <c r="F6" i="10"/>
  <c r="F7" i="10"/>
  <c r="F8" i="10"/>
  <c r="F9" i="10"/>
  <c r="F10" i="10"/>
  <c r="F11" i="10"/>
  <c r="F1" i="10"/>
  <c r="C16" i="119"/>
  <c r="D16" i="119"/>
  <c r="E16" i="119"/>
  <c r="F16" i="119"/>
  <c r="B16" i="119"/>
  <c r="H87" i="119"/>
  <c r="I87" i="119" s="1"/>
  <c r="H88" i="119"/>
  <c r="K88" i="119" s="1"/>
  <c r="H89" i="119"/>
  <c r="L89" i="119" s="1"/>
  <c r="H90" i="119"/>
  <c r="L90" i="119" s="1"/>
  <c r="H91" i="119"/>
  <c r="K91" i="119" s="1"/>
  <c r="H84" i="119"/>
  <c r="I84" i="119" s="1"/>
  <c r="H85" i="119"/>
  <c r="I85" i="119" s="1"/>
  <c r="H86" i="119"/>
  <c r="K86" i="119" s="1"/>
  <c r="H72" i="119"/>
  <c r="L72" i="119" s="1"/>
  <c r="H73" i="119"/>
  <c r="L73" i="119" s="1"/>
  <c r="H74" i="119"/>
  <c r="L74" i="119" s="1"/>
  <c r="H75" i="119"/>
  <c r="L75" i="119" s="1"/>
  <c r="H76" i="119"/>
  <c r="L76" i="119" s="1"/>
  <c r="H77" i="119"/>
  <c r="L77" i="119" s="1"/>
  <c r="H78" i="119"/>
  <c r="L78" i="119" s="1"/>
  <c r="H79" i="119"/>
  <c r="L79" i="119" s="1"/>
  <c r="H80" i="119"/>
  <c r="L80" i="119" s="1"/>
  <c r="H81" i="119"/>
  <c r="L81" i="119" s="1"/>
  <c r="H82" i="119"/>
  <c r="L82" i="119" s="1"/>
  <c r="H83" i="119"/>
  <c r="L83" i="119" s="1"/>
  <c r="H71" i="119"/>
  <c r="F55" i="119"/>
  <c r="F61" i="119"/>
  <c r="F31" i="119"/>
  <c r="M1" i="127"/>
  <c r="H5" i="132"/>
  <c r="H6" i="132"/>
  <c r="H7" i="132"/>
  <c r="H8" i="132"/>
  <c r="H9" i="132"/>
  <c r="H12" i="132"/>
  <c r="H13" i="132"/>
  <c r="H14" i="132"/>
  <c r="H15" i="132"/>
  <c r="H16" i="132"/>
  <c r="H17" i="132"/>
  <c r="H19" i="132"/>
  <c r="H20" i="132"/>
  <c r="H21" i="132"/>
  <c r="H22" i="132"/>
  <c r="H23" i="132"/>
  <c r="H24" i="132"/>
  <c r="D65" i="18"/>
  <c r="C65" i="18"/>
  <c r="B65" i="18"/>
  <c r="D63" i="18"/>
  <c r="C63" i="18"/>
  <c r="B63" i="18"/>
  <c r="D62" i="18"/>
  <c r="C62" i="18"/>
  <c r="B62" i="18"/>
  <c r="D64" i="18"/>
  <c r="C64" i="18"/>
  <c r="B64" i="18"/>
  <c r="G69" i="18"/>
  <c r="H69" i="18"/>
  <c r="G70" i="18"/>
  <c r="H70" i="18"/>
  <c r="G71" i="18"/>
  <c r="H71" i="18"/>
  <c r="H68" i="18"/>
  <c r="G68" i="18"/>
  <c r="E87" i="18" l="1"/>
  <c r="B62" i="133"/>
  <c r="I62" i="133" s="1"/>
  <c r="B58" i="133"/>
  <c r="I58" i="133" s="1"/>
  <c r="B54" i="133"/>
  <c r="I54" i="133" s="1"/>
  <c r="B53" i="133"/>
  <c r="I53" i="133" s="1"/>
  <c r="B52" i="133"/>
  <c r="I52" i="133" s="1"/>
  <c r="B65" i="133"/>
  <c r="I65" i="133" s="1"/>
  <c r="B64" i="133"/>
  <c r="I64" i="133" s="1"/>
  <c r="B63" i="133"/>
  <c r="I63" i="133" s="1"/>
  <c r="J61" i="133"/>
  <c r="J59" i="133"/>
  <c r="B51" i="133"/>
  <c r="J69" i="133"/>
  <c r="J68" i="133"/>
  <c r="J70" i="133"/>
  <c r="J65" i="133"/>
  <c r="J60" i="133"/>
  <c r="J58" i="133"/>
  <c r="J57" i="133"/>
  <c r="B69" i="133"/>
  <c r="I69" i="133" s="1"/>
  <c r="B68" i="133"/>
  <c r="I68" i="133" s="1"/>
  <c r="J56" i="133"/>
  <c r="B66" i="133"/>
  <c r="I66" i="133" s="1"/>
  <c r="J53" i="133"/>
  <c r="B61" i="133"/>
  <c r="J67" i="133"/>
  <c r="J55" i="133"/>
  <c r="B60" i="133"/>
  <c r="I60" i="133" s="1"/>
  <c r="J66" i="133"/>
  <c r="J54" i="133"/>
  <c r="B59" i="133"/>
  <c r="B70" i="133"/>
  <c r="B57" i="133"/>
  <c r="J64" i="133"/>
  <c r="J52" i="133"/>
  <c r="B56" i="133"/>
  <c r="J63" i="133"/>
  <c r="J51" i="133"/>
  <c r="I51" i="133"/>
  <c r="B67" i="133"/>
  <c r="B55" i="133"/>
  <c r="B68" i="132"/>
  <c r="I68" i="132" s="1"/>
  <c r="B67" i="132"/>
  <c r="I67" i="132" s="1"/>
  <c r="B65" i="132"/>
  <c r="I65" i="132" s="1"/>
  <c r="B53" i="132"/>
  <c r="I53" i="132" s="1"/>
  <c r="J65" i="132"/>
  <c r="J64" i="132"/>
  <c r="J57" i="132"/>
  <c r="J55" i="132"/>
  <c r="B66" i="132"/>
  <c r="I66" i="132" s="1"/>
  <c r="B64" i="132"/>
  <c r="I64" i="132" s="1"/>
  <c r="J66" i="132"/>
  <c r="J63" i="132"/>
  <c r="J62" i="132"/>
  <c r="J56" i="132"/>
  <c r="J54" i="132"/>
  <c r="B60" i="132"/>
  <c r="I60" i="132" s="1"/>
  <c r="B59" i="132"/>
  <c r="I59" i="132" s="1"/>
  <c r="B58" i="132"/>
  <c r="I58" i="132" s="1"/>
  <c r="B61" i="132"/>
  <c r="I61" i="132" s="1"/>
  <c r="J60" i="132"/>
  <c r="B57" i="132"/>
  <c r="I57" i="132" s="1"/>
  <c r="J59" i="132"/>
  <c r="B63" i="132"/>
  <c r="I63" i="132" s="1"/>
  <c r="B62" i="132"/>
  <c r="I62" i="132" s="1"/>
  <c r="J61" i="132"/>
  <c r="B56" i="132"/>
  <c r="I56" i="132" s="1"/>
  <c r="B55" i="132"/>
  <c r="I55" i="132" s="1"/>
  <c r="J58" i="132"/>
  <c r="B54" i="132"/>
  <c r="I54" i="132" s="1"/>
  <c r="B52" i="132"/>
  <c r="I52" i="132" s="1"/>
  <c r="J53" i="132"/>
  <c r="J69" i="132"/>
  <c r="J52" i="132"/>
  <c r="B51" i="132"/>
  <c r="B70" i="132"/>
  <c r="I70" i="132" s="1"/>
  <c r="J68" i="132"/>
  <c r="J51" i="132"/>
  <c r="J70" i="132"/>
  <c r="B69" i="132"/>
  <c r="I69" i="132" s="1"/>
  <c r="M7" i="131"/>
  <c r="M5" i="131"/>
  <c r="M6" i="131"/>
  <c r="M10" i="131"/>
  <c r="M9" i="131"/>
  <c r="B55" i="131"/>
  <c r="I55" i="131" s="1"/>
  <c r="J63" i="131"/>
  <c r="I57" i="131"/>
  <c r="B56" i="131"/>
  <c r="J62" i="131"/>
  <c r="B54" i="131"/>
  <c r="J60" i="131"/>
  <c r="B53" i="131"/>
  <c r="J59" i="131"/>
  <c r="B51" i="131"/>
  <c r="B70" i="131"/>
  <c r="B68" i="131"/>
  <c r="J70" i="131"/>
  <c r="J58" i="131"/>
  <c r="J61" i="131"/>
  <c r="B69" i="131"/>
  <c r="B67" i="131"/>
  <c r="B52" i="131"/>
  <c r="J69" i="131"/>
  <c r="J57" i="131"/>
  <c r="B65" i="131"/>
  <c r="I65" i="131" s="1"/>
  <c r="J68" i="131"/>
  <c r="J56" i="131"/>
  <c r="B63" i="131"/>
  <c r="J67" i="131"/>
  <c r="J55" i="131"/>
  <c r="B64" i="131"/>
  <c r="J66" i="131"/>
  <c r="J54" i="131"/>
  <c r="J53" i="131"/>
  <c r="B60" i="131"/>
  <c r="B62" i="131"/>
  <c r="B61" i="131"/>
  <c r="J65" i="131"/>
  <c r="B59" i="131"/>
  <c r="J64" i="131"/>
  <c r="J52" i="131"/>
  <c r="B66" i="131"/>
  <c r="I66" i="131" s="1"/>
  <c r="B58" i="131"/>
  <c r="I58" i="131" s="1"/>
  <c r="J51" i="131"/>
  <c r="I11" i="162"/>
  <c r="I20" i="162"/>
  <c r="I21" i="162"/>
  <c r="I22" i="162"/>
  <c r="I6" i="162"/>
  <c r="I23" i="162"/>
  <c r="I5" i="162"/>
  <c r="I17" i="162"/>
  <c r="I18" i="162"/>
  <c r="M4" i="131"/>
  <c r="M24" i="131"/>
  <c r="M21" i="131"/>
  <c r="I12" i="162"/>
  <c r="M20" i="131"/>
  <c r="I13" i="162"/>
  <c r="M17" i="131"/>
  <c r="M16" i="131"/>
  <c r="I14" i="162"/>
  <c r="M15" i="131"/>
  <c r="I24" i="162"/>
  <c r="M14" i="131"/>
  <c r="I15" i="162"/>
  <c r="M13" i="131"/>
  <c r="M12" i="131"/>
  <c r="N37" i="162"/>
  <c r="I19" i="162"/>
  <c r="M23" i="131"/>
  <c r="M22" i="131"/>
  <c r="M19" i="131"/>
  <c r="M18" i="131"/>
  <c r="M11" i="131"/>
  <c r="I16" i="162"/>
  <c r="I9" i="162"/>
  <c r="I10" i="162"/>
  <c r="I7" i="162"/>
  <c r="E18" i="163"/>
  <c r="E13" i="163"/>
  <c r="E17" i="163"/>
  <c r="E6" i="163"/>
  <c r="E16" i="163"/>
  <c r="J53" i="162"/>
  <c r="B62" i="162"/>
  <c r="I62" i="162" s="1"/>
  <c r="E19" i="163"/>
  <c r="E4" i="163"/>
  <c r="E20" i="163"/>
  <c r="E5" i="163"/>
  <c r="J50" i="162"/>
  <c r="J52" i="162"/>
  <c r="J68" i="162"/>
  <c r="B69" i="162"/>
  <c r="I69" i="162" s="1"/>
  <c r="J51" i="162"/>
  <c r="J67" i="162"/>
  <c r="B68" i="162"/>
  <c r="I68" i="162" s="1"/>
  <c r="B70" i="162"/>
  <c r="I70" i="162" s="1"/>
  <c r="B67" i="162"/>
  <c r="I67" i="162" s="1"/>
  <c r="B30" i="162"/>
  <c r="J66" i="162"/>
  <c r="B66" i="162"/>
  <c r="I66" i="162" s="1"/>
  <c r="J70" i="162"/>
  <c r="J30" i="162"/>
  <c r="J65" i="162"/>
  <c r="B65" i="162"/>
  <c r="I65" i="162" s="1"/>
  <c r="J31" i="162"/>
  <c r="J64" i="162"/>
  <c r="B64" i="162"/>
  <c r="I64" i="162" s="1"/>
  <c r="J63" i="162"/>
  <c r="B63" i="162"/>
  <c r="I63" i="162" s="1"/>
  <c r="J61" i="162"/>
  <c r="B61" i="162"/>
  <c r="I61" i="162" s="1"/>
  <c r="J62" i="162"/>
  <c r="B34" i="162"/>
  <c r="I34" i="162" s="1"/>
  <c r="J60" i="162"/>
  <c r="B60" i="162"/>
  <c r="I60" i="162" s="1"/>
  <c r="J34" i="162"/>
  <c r="B59" i="162"/>
  <c r="I59" i="162" s="1"/>
  <c r="J59" i="162"/>
  <c r="B58" i="162"/>
  <c r="I58" i="162" s="1"/>
  <c r="B57" i="162"/>
  <c r="I57" i="162" s="1"/>
  <c r="J58" i="162"/>
  <c r="B56" i="162"/>
  <c r="I56" i="162" s="1"/>
  <c r="J57" i="162"/>
  <c r="B55" i="162"/>
  <c r="I55" i="162" s="1"/>
  <c r="J56" i="162"/>
  <c r="B54" i="162"/>
  <c r="I54" i="162" s="1"/>
  <c r="J55" i="162"/>
  <c r="B53" i="162"/>
  <c r="I53" i="162" s="1"/>
  <c r="B52" i="162"/>
  <c r="I52" i="162" s="1"/>
  <c r="J69" i="162"/>
  <c r="J54" i="162"/>
  <c r="L91" i="119"/>
  <c r="L88" i="119"/>
  <c r="L87" i="119"/>
  <c r="L86" i="119"/>
  <c r="L85" i="119"/>
  <c r="L84" i="119"/>
  <c r="E7" i="163"/>
  <c r="E21" i="163"/>
  <c r="E8" i="163"/>
  <c r="E22" i="163"/>
  <c r="E25" i="163"/>
  <c r="E9" i="163"/>
  <c r="E10" i="163"/>
  <c r="E11" i="163"/>
  <c r="E23" i="163"/>
  <c r="E12" i="163"/>
  <c r="E24" i="163"/>
  <c r="E14" i="163"/>
  <c r="E26" i="163"/>
  <c r="C51" i="162"/>
  <c r="D51" i="162" s="1"/>
  <c r="C59" i="162"/>
  <c r="D59" i="162" s="1"/>
  <c r="I51" i="162"/>
  <c r="J89" i="119"/>
  <c r="J90" i="119"/>
  <c r="I8" i="162"/>
  <c r="B35" i="162"/>
  <c r="I35" i="162" s="1"/>
  <c r="J37" i="162"/>
  <c r="J46" i="162"/>
  <c r="B37" i="162"/>
  <c r="I37" i="162" s="1"/>
  <c r="J38" i="162"/>
  <c r="J41" i="162"/>
  <c r="B42" i="162"/>
  <c r="I42" i="162" s="1"/>
  <c r="B48" i="162"/>
  <c r="I48" i="162" s="1"/>
  <c r="B47" i="162"/>
  <c r="B31" i="162"/>
  <c r="B38" i="162"/>
  <c r="J42" i="162"/>
  <c r="B43" i="162"/>
  <c r="J47" i="162"/>
  <c r="B32" i="162"/>
  <c r="B39" i="162"/>
  <c r="J43" i="162"/>
  <c r="J35" i="162"/>
  <c r="B44" i="162"/>
  <c r="J48" i="162"/>
  <c r="B49" i="162"/>
  <c r="J32" i="162"/>
  <c r="J39" i="162"/>
  <c r="B33" i="162"/>
  <c r="B36" i="162"/>
  <c r="B40" i="162"/>
  <c r="J44" i="162"/>
  <c r="B45" i="162"/>
  <c r="J49" i="162"/>
  <c r="B50" i="162"/>
  <c r="B24" i="162"/>
  <c r="J33" i="162"/>
  <c r="J36" i="162"/>
  <c r="J40" i="162"/>
  <c r="B41" i="162"/>
  <c r="J45" i="162"/>
  <c r="B46" i="162"/>
  <c r="H92" i="119"/>
  <c r="I91" i="119"/>
  <c r="I90" i="119"/>
  <c r="K90" i="119"/>
  <c r="I89" i="119"/>
  <c r="J88" i="119"/>
  <c r="J86" i="119"/>
  <c r="I88" i="119"/>
  <c r="K89" i="119"/>
  <c r="I86" i="119"/>
  <c r="K87" i="119"/>
  <c r="K85" i="119"/>
  <c r="J87" i="119"/>
  <c r="J85" i="119"/>
  <c r="J91" i="119"/>
  <c r="K84" i="119"/>
  <c r="J84" i="119"/>
  <c r="I38" i="18"/>
  <c r="C39" i="18"/>
  <c r="C40" i="18"/>
  <c r="C41" i="18"/>
  <c r="C42" i="18"/>
  <c r="C38" i="18"/>
  <c r="H39" i="18"/>
  <c r="H40" i="18"/>
  <c r="H41" i="18"/>
  <c r="H42" i="18"/>
  <c r="E39" i="18"/>
  <c r="E40" i="18"/>
  <c r="E41" i="18"/>
  <c r="E42" i="18"/>
  <c r="D39" i="18"/>
  <c r="D40" i="18"/>
  <c r="D41" i="18"/>
  <c r="D42" i="18"/>
  <c r="A39" i="18"/>
  <c r="A40" i="18"/>
  <c r="A41" i="18"/>
  <c r="A42" i="18"/>
  <c r="A36" i="18"/>
  <c r="D20" i="133"/>
  <c r="H72" i="18" s="1"/>
  <c r="J5" i="131"/>
  <c r="J6" i="131"/>
  <c r="J7" i="131"/>
  <c r="J8" i="131"/>
  <c r="J9" i="131"/>
  <c r="J10" i="131"/>
  <c r="J11" i="131"/>
  <c r="J12" i="131"/>
  <c r="J13" i="131"/>
  <c r="J14" i="131"/>
  <c r="J15" i="131"/>
  <c r="J16" i="131"/>
  <c r="J17" i="131"/>
  <c r="J18" i="131"/>
  <c r="J19" i="131"/>
  <c r="J20" i="131"/>
  <c r="J21" i="131"/>
  <c r="J22" i="131"/>
  <c r="J23" i="131"/>
  <c r="J24" i="131"/>
  <c r="N33" i="133"/>
  <c r="N34" i="133"/>
  <c r="N35" i="133"/>
  <c r="N36" i="133"/>
  <c r="M29" i="133"/>
  <c r="N33" i="132"/>
  <c r="N34" i="132"/>
  <c r="N35" i="132"/>
  <c r="N36" i="132"/>
  <c r="M29" i="132"/>
  <c r="P15" i="121"/>
  <c r="G39" i="18" s="1"/>
  <c r="P16" i="121"/>
  <c r="G40" i="18" s="1"/>
  <c r="P17" i="121"/>
  <c r="G41" i="18" s="1"/>
  <c r="P18" i="121"/>
  <c r="G42" i="18" s="1"/>
  <c r="E17" i="133"/>
  <c r="I69" i="18" s="1"/>
  <c r="E18" i="133"/>
  <c r="I70" i="18" s="1"/>
  <c r="E19" i="133"/>
  <c r="I71" i="18" s="1"/>
  <c r="E16" i="133"/>
  <c r="I68" i="18" s="1"/>
  <c r="S26" i="56"/>
  <c r="S27" i="56"/>
  <c r="S28" i="56"/>
  <c r="S29" i="56"/>
  <c r="S30" i="56"/>
  <c r="S31" i="56"/>
  <c r="S32" i="56"/>
  <c r="S33" i="56"/>
  <c r="S34" i="56"/>
  <c r="S25" i="56"/>
  <c r="I30" i="162" l="1"/>
  <c r="B17" i="162"/>
  <c r="C67" i="162"/>
  <c r="D67" i="162" s="1"/>
  <c r="I70" i="133"/>
  <c r="I57" i="133"/>
  <c r="I59" i="133"/>
  <c r="I56" i="133"/>
  <c r="I61" i="133"/>
  <c r="I55" i="133"/>
  <c r="I67" i="133"/>
  <c r="I51" i="132"/>
  <c r="I63" i="131"/>
  <c r="I67" i="131"/>
  <c r="I59" i="131"/>
  <c r="I69" i="131"/>
  <c r="I68" i="131"/>
  <c r="I61" i="131"/>
  <c r="I70" i="131"/>
  <c r="I60" i="131"/>
  <c r="I53" i="131"/>
  <c r="I54" i="131"/>
  <c r="I56" i="131"/>
  <c r="I51" i="131"/>
  <c r="I64" i="131"/>
  <c r="I52" i="131"/>
  <c r="I62" i="131"/>
  <c r="D30" i="162"/>
  <c r="C68" i="162"/>
  <c r="D68" i="162" s="1"/>
  <c r="C57" i="162"/>
  <c r="D57" i="162" s="1"/>
  <c r="C60" i="162"/>
  <c r="D60" i="162" s="1"/>
  <c r="C52" i="162"/>
  <c r="D52" i="162" s="1"/>
  <c r="B71" i="162"/>
  <c r="C56" i="162"/>
  <c r="D56" i="162" s="1"/>
  <c r="L92" i="119"/>
  <c r="E27" i="163"/>
  <c r="C62" i="162"/>
  <c r="D62" i="162" s="1"/>
  <c r="C70" i="162"/>
  <c r="D70" i="162" s="1"/>
  <c r="C53" i="162"/>
  <c r="D53" i="162" s="1"/>
  <c r="C61" i="162"/>
  <c r="D61" i="162" s="1"/>
  <c r="C64" i="162"/>
  <c r="D64" i="162" s="1"/>
  <c r="C54" i="162"/>
  <c r="D54" i="162" s="1"/>
  <c r="C55" i="162"/>
  <c r="D55" i="162" s="1"/>
  <c r="C66" i="162"/>
  <c r="D66" i="162" s="1"/>
  <c r="C63" i="162"/>
  <c r="D63" i="162" s="1"/>
  <c r="C58" i="162"/>
  <c r="D58" i="162" s="1"/>
  <c r="C69" i="162"/>
  <c r="D69" i="162" s="1"/>
  <c r="C65" i="162"/>
  <c r="D65" i="162" s="1"/>
  <c r="I44" i="162"/>
  <c r="I40" i="162"/>
  <c r="I47" i="162"/>
  <c r="I33" i="162"/>
  <c r="I39" i="162"/>
  <c r="I46" i="162"/>
  <c r="I31" i="162"/>
  <c r="I41" i="162"/>
  <c r="I38" i="162"/>
  <c r="C43" i="162"/>
  <c r="D43" i="162" s="1"/>
  <c r="C37" i="162"/>
  <c r="D37" i="162" s="1"/>
  <c r="C34" i="162"/>
  <c r="D34" i="162" s="1"/>
  <c r="C46" i="162"/>
  <c r="D46" i="162" s="1"/>
  <c r="C41" i="162"/>
  <c r="D41" i="162" s="1"/>
  <c r="C50" i="162"/>
  <c r="D50" i="162" s="1"/>
  <c r="C45" i="162"/>
  <c r="D45" i="162" s="1"/>
  <c r="C40" i="162"/>
  <c r="D40" i="162" s="1"/>
  <c r="C36" i="162"/>
  <c r="D36" i="162" s="1"/>
  <c r="C33" i="162"/>
  <c r="D33" i="162" s="1"/>
  <c r="C49" i="162"/>
  <c r="D49" i="162" s="1"/>
  <c r="C44" i="162"/>
  <c r="D44" i="162" s="1"/>
  <c r="C39" i="162"/>
  <c r="D39" i="162" s="1"/>
  <c r="C32" i="162"/>
  <c r="D32" i="162" s="1"/>
  <c r="C48" i="162"/>
  <c r="D48" i="162" s="1"/>
  <c r="C35" i="162"/>
  <c r="D35" i="162" s="1"/>
  <c r="C38" i="162"/>
  <c r="D38" i="162" s="1"/>
  <c r="C31" i="162"/>
  <c r="D31" i="162" s="1"/>
  <c r="C47" i="162"/>
  <c r="D47" i="162" s="1"/>
  <c r="C42" i="162"/>
  <c r="D42" i="162" s="1"/>
  <c r="I32" i="162"/>
  <c r="I43" i="162"/>
  <c r="I45" i="162"/>
  <c r="I36" i="162"/>
  <c r="I49" i="162"/>
  <c r="I50" i="162"/>
  <c r="E20" i="133"/>
  <c r="I72" i="18" s="1"/>
  <c r="F39" i="18"/>
  <c r="F40" i="18"/>
  <c r="F41" i="18"/>
  <c r="F42" i="18"/>
  <c r="B39" i="18"/>
  <c r="B40" i="18"/>
  <c r="B41" i="18"/>
  <c r="B42" i="18"/>
  <c r="O46" i="127"/>
  <c r="O25" i="119"/>
  <c r="D71" i="162" l="1"/>
  <c r="B22" i="162" s="1"/>
  <c r="N71" i="119"/>
  <c r="I71" i="162"/>
  <c r="C27" i="121" s="1"/>
  <c r="C56" i="18" s="1"/>
  <c r="E31" i="127"/>
  <c r="D31" i="127"/>
  <c r="C31" i="127"/>
  <c r="B31" i="127"/>
  <c r="C31" i="119"/>
  <c r="D31" i="119"/>
  <c r="E31" i="119"/>
  <c r="B31" i="119"/>
  <c r="B21" i="162" l="1"/>
  <c r="Q15" i="119"/>
  <c r="Q15" i="127"/>
  <c r="F27" i="121" l="1"/>
  <c r="J56" i="18" l="1"/>
  <c r="H4" i="132"/>
  <c r="J4" i="131"/>
  <c r="J26" i="131" l="1"/>
  <c r="I4" i="162" l="1"/>
  <c r="I26" i="162" s="1"/>
  <c r="H26" i="162"/>
  <c r="H38" i="18"/>
  <c r="K19" i="121"/>
  <c r="B43" i="18" s="1"/>
  <c r="J38" i="18"/>
  <c r="K38" i="18"/>
  <c r="B38" i="18"/>
  <c r="D38" i="18"/>
  <c r="E38" i="18"/>
  <c r="F38" i="18"/>
  <c r="G38" i="18"/>
  <c r="A38" i="18"/>
  <c r="B34" i="18"/>
  <c r="C35" i="18"/>
  <c r="B36" i="18"/>
  <c r="E61" i="18" s="1"/>
  <c r="A35" i="18"/>
  <c r="A34" i="18"/>
  <c r="D61" i="18" l="1"/>
  <c r="B61" i="18"/>
  <c r="C61" i="18"/>
  <c r="P19" i="121"/>
  <c r="G43" i="18" s="1"/>
  <c r="N37" i="131"/>
  <c r="N37" i="133" l="1"/>
  <c r="N37" i="132"/>
  <c r="B3" i="121" l="1"/>
  <c r="L5" i="121"/>
  <c r="L6" i="121"/>
  <c r="L4" i="121"/>
  <c r="O69" i="127"/>
  <c r="O70" i="127"/>
  <c r="O68" i="127"/>
  <c r="B6" i="121" l="1"/>
  <c r="K11" i="121"/>
  <c r="H12" i="18"/>
  <c r="I12" i="18"/>
  <c r="K12" i="18"/>
  <c r="H13" i="18"/>
  <c r="I13" i="18"/>
  <c r="K13" i="18"/>
  <c r="H14" i="18"/>
  <c r="I14" i="18"/>
  <c r="K14" i="18"/>
  <c r="H15" i="18"/>
  <c r="I15" i="18"/>
  <c r="K15" i="18"/>
  <c r="H16" i="18"/>
  <c r="I16" i="18"/>
  <c r="K16" i="18"/>
  <c r="H17" i="18"/>
  <c r="I17" i="18"/>
  <c r="K17" i="18"/>
  <c r="H18" i="18"/>
  <c r="I18" i="18"/>
  <c r="K18" i="18"/>
  <c r="H19" i="18"/>
  <c r="I19" i="18"/>
  <c r="K19" i="18"/>
  <c r="H20" i="18"/>
  <c r="I20" i="18"/>
  <c r="K20" i="18"/>
  <c r="H21" i="18"/>
  <c r="I21" i="18"/>
  <c r="K21" i="18"/>
  <c r="H22" i="18"/>
  <c r="I22" i="18"/>
  <c r="K22" i="18"/>
  <c r="H23" i="18"/>
  <c r="I23" i="18"/>
  <c r="K23" i="18"/>
  <c r="H24" i="18"/>
  <c r="I24" i="18"/>
  <c r="K24" i="18"/>
  <c r="H25" i="18"/>
  <c r="I25" i="18"/>
  <c r="K25" i="18"/>
  <c r="H26" i="18"/>
  <c r="I26" i="18"/>
  <c r="K26" i="18"/>
  <c r="H27" i="18"/>
  <c r="I27" i="18"/>
  <c r="K27" i="18"/>
  <c r="H28" i="18"/>
  <c r="I28" i="18"/>
  <c r="K28" i="18"/>
  <c r="H29" i="18"/>
  <c r="I29" i="18"/>
  <c r="K29" i="18"/>
  <c r="H30" i="18"/>
  <c r="I30" i="18"/>
  <c r="K30" i="18"/>
  <c r="H31" i="18"/>
  <c r="I31" i="18"/>
  <c r="K31" i="18"/>
  <c r="M11" i="121" l="1"/>
  <c r="D35" i="18" s="1"/>
  <c r="B35" i="18"/>
  <c r="D17" i="18" l="1"/>
  <c r="D18" i="18"/>
  <c r="D19" i="18"/>
  <c r="E16" i="18"/>
  <c r="D16" i="18"/>
  <c r="F9" i="18"/>
  <c r="E9" i="18"/>
  <c r="G67" i="127"/>
  <c r="G68" i="127"/>
  <c r="G66" i="127"/>
  <c r="G67" i="119"/>
  <c r="G68" i="119"/>
  <c r="G66" i="119"/>
  <c r="B86" i="18" l="1"/>
  <c r="B85" i="18"/>
  <c r="B84" i="18"/>
  <c r="B83" i="18"/>
  <c r="B82" i="18"/>
  <c r="B81" i="18"/>
  <c r="B80" i="18"/>
  <c r="B79" i="18"/>
  <c r="B78" i="18"/>
  <c r="B77" i="18"/>
  <c r="B76" i="18"/>
  <c r="B75" i="18"/>
  <c r="B74" i="18"/>
  <c r="B73" i="18"/>
  <c r="B72" i="18"/>
  <c r="B71" i="18"/>
  <c r="B70" i="18"/>
  <c r="B69" i="18"/>
  <c r="B68" i="18"/>
  <c r="B67" i="18"/>
  <c r="C86" i="18"/>
  <c r="G24" i="132"/>
  <c r="G23" i="132"/>
  <c r="C84" i="18"/>
  <c r="G22" i="132"/>
  <c r="G21" i="132"/>
  <c r="G20" i="132"/>
  <c r="C81" i="18"/>
  <c r="G19" i="132"/>
  <c r="G18" i="132"/>
  <c r="G17" i="132"/>
  <c r="G16" i="132"/>
  <c r="C77" i="18"/>
  <c r="G15" i="132"/>
  <c r="G14" i="132"/>
  <c r="G13" i="132"/>
  <c r="G12" i="132"/>
  <c r="G11" i="132"/>
  <c r="G10" i="132"/>
  <c r="G9" i="132"/>
  <c r="C70" i="18"/>
  <c r="G8" i="132"/>
  <c r="G7" i="132"/>
  <c r="G6" i="132"/>
  <c r="G5" i="132"/>
  <c r="G4" i="132"/>
  <c r="I6" i="132" l="1"/>
  <c r="I10" i="132"/>
  <c r="I19" i="132"/>
  <c r="I5" i="132"/>
  <c r="I17" i="132"/>
  <c r="I21" i="132"/>
  <c r="I12" i="132"/>
  <c r="I23" i="132"/>
  <c r="C85" i="18"/>
  <c r="C73" i="18"/>
  <c r="C74" i="18"/>
  <c r="I16" i="132"/>
  <c r="C78" i="18"/>
  <c r="C82" i="18"/>
  <c r="C67" i="18"/>
  <c r="C71" i="18"/>
  <c r="I13" i="132"/>
  <c r="C75" i="18"/>
  <c r="C79" i="18"/>
  <c r="C83" i="18"/>
  <c r="I7" i="132"/>
  <c r="C69" i="18"/>
  <c r="C68" i="18"/>
  <c r="C72" i="18"/>
  <c r="I14" i="132"/>
  <c r="C76" i="18"/>
  <c r="C80" i="18"/>
  <c r="I11" i="132"/>
  <c r="I15" i="132"/>
  <c r="I22" i="132"/>
  <c r="I8" i="132"/>
  <c r="I9" i="132"/>
  <c r="I20" i="132"/>
  <c r="I24" i="132"/>
  <c r="I18" i="132"/>
  <c r="G24" i="133"/>
  <c r="D86" i="18"/>
  <c r="G5" i="133"/>
  <c r="D67" i="18"/>
  <c r="G6" i="133"/>
  <c r="G7" i="133"/>
  <c r="D69" i="18"/>
  <c r="G8" i="133"/>
  <c r="D70" i="18"/>
  <c r="G9" i="133"/>
  <c r="D71" i="18"/>
  <c r="G10" i="133"/>
  <c r="D72" i="18"/>
  <c r="G11" i="133"/>
  <c r="D73" i="18"/>
  <c r="G12" i="133"/>
  <c r="D74" i="18"/>
  <c r="G13" i="133"/>
  <c r="D75" i="18"/>
  <c r="G14" i="133"/>
  <c r="G15" i="133"/>
  <c r="D77" i="18"/>
  <c r="G16" i="133"/>
  <c r="D78" i="18"/>
  <c r="G17" i="133"/>
  <c r="D79" i="18"/>
  <c r="G18" i="133"/>
  <c r="D80" i="18"/>
  <c r="G19" i="133"/>
  <c r="D81" i="18"/>
  <c r="G20" i="133"/>
  <c r="D82" i="18"/>
  <c r="G21" i="133"/>
  <c r="D83" i="18"/>
  <c r="G22" i="133"/>
  <c r="G23" i="133"/>
  <c r="D85" i="18"/>
  <c r="G4" i="133"/>
  <c r="I5" i="133" l="1"/>
  <c r="I9" i="133"/>
  <c r="I21" i="133"/>
  <c r="I17" i="133"/>
  <c r="I18" i="133"/>
  <c r="I13" i="133"/>
  <c r="I24" i="133"/>
  <c r="I16" i="133"/>
  <c r="I15" i="133"/>
  <c r="I11" i="133"/>
  <c r="I7" i="133"/>
  <c r="I12" i="133"/>
  <c r="I19" i="133"/>
  <c r="I22" i="133"/>
  <c r="D84" i="18"/>
  <c r="I14" i="133"/>
  <c r="D76" i="18"/>
  <c r="I6" i="133"/>
  <c r="D68" i="18"/>
  <c r="I8" i="133"/>
  <c r="I23" i="133"/>
  <c r="I10" i="133"/>
  <c r="I20" i="133"/>
  <c r="J31" i="131"/>
  <c r="J38" i="131" l="1"/>
  <c r="J36" i="131"/>
  <c r="J46" i="131"/>
  <c r="J44" i="131"/>
  <c r="J45" i="131"/>
  <c r="J37" i="131"/>
  <c r="J43" i="131"/>
  <c r="J35" i="131"/>
  <c r="J50" i="131"/>
  <c r="J42" i="131"/>
  <c r="J34" i="131"/>
  <c r="J49" i="131"/>
  <c r="J41" i="131"/>
  <c r="J33" i="131"/>
  <c r="J48" i="131"/>
  <c r="J40" i="131"/>
  <c r="J32" i="131"/>
  <c r="J47" i="131"/>
  <c r="J39" i="131"/>
  <c r="G23" i="131"/>
  <c r="K23" i="131" s="1"/>
  <c r="G24" i="131"/>
  <c r="K24" i="131" s="1"/>
  <c r="G5" i="131"/>
  <c r="K5" i="131" s="1"/>
  <c r="G6" i="131"/>
  <c r="K6" i="131" s="1"/>
  <c r="G7" i="131"/>
  <c r="K7" i="131" s="1"/>
  <c r="G8" i="131"/>
  <c r="K8" i="131" s="1"/>
  <c r="G9" i="131"/>
  <c r="K9" i="131" s="1"/>
  <c r="G10" i="131"/>
  <c r="K10" i="131" s="1"/>
  <c r="G11" i="131"/>
  <c r="K11" i="131" s="1"/>
  <c r="G12" i="131"/>
  <c r="K12" i="131" s="1"/>
  <c r="G13" i="131"/>
  <c r="K13" i="131" s="1"/>
  <c r="G14" i="131"/>
  <c r="K14" i="131" s="1"/>
  <c r="G15" i="131"/>
  <c r="K15" i="131" s="1"/>
  <c r="G16" i="131"/>
  <c r="K16" i="131" s="1"/>
  <c r="G17" i="131"/>
  <c r="K17" i="131" s="1"/>
  <c r="G18" i="131"/>
  <c r="K18" i="131" s="1"/>
  <c r="G19" i="131"/>
  <c r="K19" i="131" s="1"/>
  <c r="G20" i="131"/>
  <c r="K20" i="131" s="1"/>
  <c r="G21" i="131"/>
  <c r="K21" i="131" s="1"/>
  <c r="G22" i="131"/>
  <c r="K22" i="131" s="1"/>
  <c r="G4" i="131"/>
  <c r="A66" i="18" l="1"/>
  <c r="K4" i="131"/>
  <c r="K26" i="131" s="1"/>
  <c r="I18" i="131"/>
  <c r="A80" i="18"/>
  <c r="I10" i="131"/>
  <c r="A72" i="18"/>
  <c r="I16" i="131"/>
  <c r="A78" i="18"/>
  <c r="I15" i="131"/>
  <c r="A77" i="18"/>
  <c r="I17" i="131"/>
  <c r="A79" i="18"/>
  <c r="I9" i="131"/>
  <c r="A71" i="18"/>
  <c r="I8" i="131"/>
  <c r="A70" i="18"/>
  <c r="I7" i="131"/>
  <c r="A69" i="18"/>
  <c r="I22" i="131"/>
  <c r="A84" i="18"/>
  <c r="I6" i="131"/>
  <c r="A68" i="18"/>
  <c r="I5" i="131"/>
  <c r="A67" i="18"/>
  <c r="I20" i="131"/>
  <c r="A82" i="18"/>
  <c r="I12" i="131"/>
  <c r="A74" i="18"/>
  <c r="I24" i="131"/>
  <c r="A86" i="18"/>
  <c r="I14" i="131"/>
  <c r="A76" i="18"/>
  <c r="I21" i="131"/>
  <c r="A83" i="18"/>
  <c r="I13" i="131"/>
  <c r="A75" i="18"/>
  <c r="I19" i="131"/>
  <c r="A81" i="18"/>
  <c r="I11" i="131"/>
  <c r="A73" i="18"/>
  <c r="I23" i="131"/>
  <c r="A85" i="18"/>
  <c r="E16" i="127"/>
  <c r="D16" i="127"/>
  <c r="C16" i="127"/>
  <c r="B16" i="127"/>
  <c r="N44" i="127"/>
  <c r="P44" i="127" s="1"/>
  <c r="L30" i="18" s="1"/>
  <c r="N45" i="127"/>
  <c r="P45" i="127" s="1"/>
  <c r="L31" i="18" s="1"/>
  <c r="N26" i="127"/>
  <c r="P26" i="127" s="1"/>
  <c r="L12" i="18" s="1"/>
  <c r="N27" i="127"/>
  <c r="P27" i="127" s="1"/>
  <c r="L13" i="18" s="1"/>
  <c r="N28" i="127"/>
  <c r="P28" i="127" s="1"/>
  <c r="L14" i="18" s="1"/>
  <c r="N29" i="127"/>
  <c r="P29" i="127" s="1"/>
  <c r="L15" i="18" s="1"/>
  <c r="N30" i="127"/>
  <c r="P30" i="127" s="1"/>
  <c r="L16" i="18" s="1"/>
  <c r="N31" i="127"/>
  <c r="P31" i="127" s="1"/>
  <c r="L17" i="18" s="1"/>
  <c r="N32" i="127"/>
  <c r="P32" i="127" s="1"/>
  <c r="L18" i="18" s="1"/>
  <c r="N33" i="127"/>
  <c r="P33" i="127" s="1"/>
  <c r="L19" i="18" s="1"/>
  <c r="N34" i="127"/>
  <c r="P34" i="127" s="1"/>
  <c r="L20" i="18" s="1"/>
  <c r="N35" i="127"/>
  <c r="P35" i="127" s="1"/>
  <c r="L21" i="18" s="1"/>
  <c r="N36" i="127"/>
  <c r="P36" i="127" s="1"/>
  <c r="L22" i="18" s="1"/>
  <c r="N37" i="127"/>
  <c r="P37" i="127" s="1"/>
  <c r="L23" i="18" s="1"/>
  <c r="N38" i="127"/>
  <c r="P38" i="127" s="1"/>
  <c r="L24" i="18" s="1"/>
  <c r="N39" i="127"/>
  <c r="P39" i="127" s="1"/>
  <c r="L25" i="18" s="1"/>
  <c r="N40" i="127"/>
  <c r="P40" i="127" s="1"/>
  <c r="L26" i="18" s="1"/>
  <c r="N41" i="127"/>
  <c r="P41" i="127" s="1"/>
  <c r="L27" i="18" s="1"/>
  <c r="N42" i="127"/>
  <c r="P42" i="127" s="1"/>
  <c r="N43" i="127"/>
  <c r="P43" i="127" s="1"/>
  <c r="L29" i="18" s="1"/>
  <c r="N25" i="127"/>
  <c r="L28" i="18" l="1"/>
  <c r="P26" i="119"/>
  <c r="J12" i="18" s="1"/>
  <c r="P27" i="119"/>
  <c r="J13" i="18" s="1"/>
  <c r="P28" i="119"/>
  <c r="J14" i="18" s="1"/>
  <c r="P29" i="119"/>
  <c r="J15" i="18" s="1"/>
  <c r="P30" i="119"/>
  <c r="J16" i="18" s="1"/>
  <c r="P31" i="119"/>
  <c r="J17" i="18" s="1"/>
  <c r="P32" i="119"/>
  <c r="J18" i="18" s="1"/>
  <c r="P33" i="119"/>
  <c r="J19" i="18" s="1"/>
  <c r="P34" i="119"/>
  <c r="J20" i="18" s="1"/>
  <c r="P35" i="119"/>
  <c r="J21" i="18" s="1"/>
  <c r="P36" i="119"/>
  <c r="J22" i="18" s="1"/>
  <c r="P37" i="119"/>
  <c r="J23" i="18" s="1"/>
  <c r="P38" i="119"/>
  <c r="J24" i="18" s="1"/>
  <c r="P39" i="119"/>
  <c r="J25" i="18" s="1"/>
  <c r="P40" i="119"/>
  <c r="J26" i="18" s="1"/>
  <c r="P41" i="119"/>
  <c r="J27" i="18" s="1"/>
  <c r="P42" i="119"/>
  <c r="J28" i="18" s="1"/>
  <c r="P43" i="119"/>
  <c r="J29" i="18" s="1"/>
  <c r="P44" i="119"/>
  <c r="J30" i="18" s="1"/>
  <c r="P45" i="119"/>
  <c r="J31" i="18" s="1"/>
  <c r="G10" i="121"/>
  <c r="E18" i="18" s="1"/>
  <c r="D54" i="18" s="1"/>
  <c r="G11" i="121"/>
  <c r="E19" i="18" s="1"/>
  <c r="D55" i="18" s="1"/>
  <c r="G9" i="121"/>
  <c r="G13" i="121" l="1"/>
  <c r="E21" i="18" s="1"/>
  <c r="E17" i="18"/>
  <c r="D53" i="18" s="1"/>
  <c r="D57" i="18" s="1"/>
  <c r="B50" i="133" l="1"/>
  <c r="J50" i="133"/>
  <c r="A60" i="18"/>
  <c r="I50" i="133" l="1"/>
  <c r="C52" i="18"/>
  <c r="B26" i="121"/>
  <c r="B55" i="18" s="1"/>
  <c r="B25" i="121"/>
  <c r="B54" i="18" s="1"/>
  <c r="B24" i="121"/>
  <c r="B53" i="18" s="1"/>
  <c r="L52" i="18"/>
  <c r="K52" i="18"/>
  <c r="J52" i="18"/>
  <c r="I52" i="18"/>
  <c r="H52" i="18"/>
  <c r="G52" i="18"/>
  <c r="E52" i="18"/>
  <c r="A53" i="18"/>
  <c r="A54" i="18"/>
  <c r="A55" i="18"/>
  <c r="A52" i="18"/>
  <c r="F27" i="136"/>
  <c r="D27" i="136"/>
  <c r="E23" i="136" s="1"/>
  <c r="A26" i="136"/>
  <c r="A25" i="136"/>
  <c r="A24" i="136"/>
  <c r="A23" i="136"/>
  <c r="A22" i="136"/>
  <c r="A21" i="136"/>
  <c r="A20" i="136"/>
  <c r="A19" i="136"/>
  <c r="A18" i="136"/>
  <c r="A17" i="136"/>
  <c r="A16" i="136"/>
  <c r="A15" i="136"/>
  <c r="A14" i="136"/>
  <c r="A13" i="136"/>
  <c r="A12" i="136"/>
  <c r="A11" i="136"/>
  <c r="A10" i="136"/>
  <c r="A9" i="136"/>
  <c r="A8" i="136"/>
  <c r="A7" i="136"/>
  <c r="A6" i="136"/>
  <c r="A5" i="136"/>
  <c r="A4" i="136"/>
  <c r="F27" i="135"/>
  <c r="D27" i="135"/>
  <c r="E23" i="135" s="1"/>
  <c r="A26" i="135"/>
  <c r="A25" i="135"/>
  <c r="A24" i="135"/>
  <c r="A23" i="135"/>
  <c r="A22" i="135"/>
  <c r="A21" i="135"/>
  <c r="A20" i="135"/>
  <c r="A19" i="135"/>
  <c r="A18" i="135"/>
  <c r="A17" i="135"/>
  <c r="A16" i="135"/>
  <c r="A15" i="135"/>
  <c r="A14" i="135"/>
  <c r="A13" i="135"/>
  <c r="A12" i="135"/>
  <c r="A11" i="135"/>
  <c r="A10" i="135"/>
  <c r="A9" i="135"/>
  <c r="A8" i="135"/>
  <c r="A7" i="135"/>
  <c r="A6" i="135"/>
  <c r="A5" i="135"/>
  <c r="A4" i="135"/>
  <c r="F27" i="134"/>
  <c r="D27" i="134"/>
  <c r="E23" i="134" s="1"/>
  <c r="A26" i="134"/>
  <c r="A25" i="134"/>
  <c r="A24" i="134"/>
  <c r="A23" i="134"/>
  <c r="A22" i="134"/>
  <c r="A21" i="134"/>
  <c r="A20" i="134"/>
  <c r="A19" i="134"/>
  <c r="A18" i="134"/>
  <c r="A17" i="134"/>
  <c r="A16" i="134"/>
  <c r="A15" i="134"/>
  <c r="A14" i="134"/>
  <c r="A13" i="134"/>
  <c r="A12" i="134"/>
  <c r="A11" i="134"/>
  <c r="A10" i="134"/>
  <c r="A9" i="134"/>
  <c r="A8" i="134"/>
  <c r="A7" i="134"/>
  <c r="A6" i="134"/>
  <c r="A5" i="134"/>
  <c r="A4" i="134"/>
  <c r="E8" i="135" l="1"/>
  <c r="E16" i="135"/>
  <c r="E4" i="135"/>
  <c r="E13" i="134"/>
  <c r="E9" i="134"/>
  <c r="E21" i="134"/>
  <c r="E17" i="134"/>
  <c r="E5" i="134"/>
  <c r="E25" i="134"/>
  <c r="E11" i="135"/>
  <c r="E7" i="135"/>
  <c r="E24" i="135"/>
  <c r="E12" i="135"/>
  <c r="E20" i="135"/>
  <c r="E22" i="136"/>
  <c r="E5" i="136"/>
  <c r="E17" i="136"/>
  <c r="E14" i="136"/>
  <c r="E19" i="136"/>
  <c r="E9" i="136"/>
  <c r="E13" i="136"/>
  <c r="E6" i="136"/>
  <c r="E18" i="136"/>
  <c r="E15" i="136"/>
  <c r="E24" i="136"/>
  <c r="E21" i="136"/>
  <c r="E10" i="136"/>
  <c r="E7" i="136"/>
  <c r="E11" i="136"/>
  <c r="E4" i="136"/>
  <c r="E8" i="136"/>
  <c r="E12" i="136"/>
  <c r="E16" i="136"/>
  <c r="E20" i="136"/>
  <c r="E25" i="136"/>
  <c r="E26" i="136"/>
  <c r="E5" i="135"/>
  <c r="E9" i="135"/>
  <c r="E13" i="135"/>
  <c r="E17" i="135"/>
  <c r="E21" i="135"/>
  <c r="E25" i="135"/>
  <c r="E6" i="135"/>
  <c r="E10" i="135"/>
  <c r="E14" i="135"/>
  <c r="E18" i="135"/>
  <c r="E22" i="135"/>
  <c r="E26" i="135"/>
  <c r="E15" i="135"/>
  <c r="E19" i="135"/>
  <c r="E4" i="134"/>
  <c r="E8" i="134"/>
  <c r="E12" i="134"/>
  <c r="E16" i="134"/>
  <c r="E20" i="134"/>
  <c r="E24" i="134"/>
  <c r="E6" i="134"/>
  <c r="E10" i="134"/>
  <c r="E14" i="134"/>
  <c r="E18" i="134"/>
  <c r="E22" i="134"/>
  <c r="E26" i="134"/>
  <c r="E7" i="134"/>
  <c r="E11" i="134"/>
  <c r="E15" i="134"/>
  <c r="E19" i="134"/>
  <c r="J48" i="133"/>
  <c r="E12" i="133"/>
  <c r="D12" i="133"/>
  <c r="C12" i="133"/>
  <c r="B12" i="133"/>
  <c r="A12" i="133"/>
  <c r="E11" i="133"/>
  <c r="D11" i="133"/>
  <c r="C11" i="133"/>
  <c r="B11" i="133"/>
  <c r="A11" i="133"/>
  <c r="E10" i="133"/>
  <c r="D10" i="133"/>
  <c r="C10" i="133"/>
  <c r="B10" i="133"/>
  <c r="A10" i="133"/>
  <c r="E9" i="133"/>
  <c r="D9" i="133"/>
  <c r="C9" i="133"/>
  <c r="B9" i="133"/>
  <c r="A9" i="133"/>
  <c r="B13" i="133"/>
  <c r="B15" i="133" s="1"/>
  <c r="N1" i="133"/>
  <c r="E12" i="132"/>
  <c r="D12" i="132"/>
  <c r="C12" i="132"/>
  <c r="B12" i="132"/>
  <c r="A12" i="132"/>
  <c r="E11" i="132"/>
  <c r="D11" i="132"/>
  <c r="C11" i="132"/>
  <c r="B11" i="132"/>
  <c r="A11" i="132"/>
  <c r="E10" i="132"/>
  <c r="D10" i="132"/>
  <c r="C10" i="132"/>
  <c r="B10" i="132"/>
  <c r="A10" i="132"/>
  <c r="E9" i="132"/>
  <c r="D9" i="132"/>
  <c r="C9" i="132"/>
  <c r="B9" i="132"/>
  <c r="A9" i="132"/>
  <c r="B13" i="132"/>
  <c r="B15" i="132" s="1"/>
  <c r="N1" i="132"/>
  <c r="E12" i="131"/>
  <c r="D12" i="131"/>
  <c r="C12" i="131"/>
  <c r="B12" i="131"/>
  <c r="A12" i="131"/>
  <c r="E11" i="131"/>
  <c r="D11" i="131"/>
  <c r="C11" i="131"/>
  <c r="B11" i="131"/>
  <c r="A11" i="131"/>
  <c r="E10" i="131"/>
  <c r="D10" i="131"/>
  <c r="C10" i="131"/>
  <c r="B10" i="131"/>
  <c r="A10" i="131"/>
  <c r="E9" i="131"/>
  <c r="D9" i="131"/>
  <c r="C9" i="131"/>
  <c r="B9" i="131"/>
  <c r="A9" i="131"/>
  <c r="B15" i="131"/>
  <c r="B49" i="132" l="1"/>
  <c r="B24" i="132"/>
  <c r="C51" i="132" s="1"/>
  <c r="D51" i="132" s="1"/>
  <c r="J43" i="133"/>
  <c r="J42" i="133"/>
  <c r="J46" i="133"/>
  <c r="B49" i="133"/>
  <c r="J49" i="133"/>
  <c r="I49" i="132"/>
  <c r="B34" i="131"/>
  <c r="B36" i="131"/>
  <c r="E27" i="135"/>
  <c r="E27" i="136"/>
  <c r="E27" i="134"/>
  <c r="J36" i="133"/>
  <c r="B44" i="133"/>
  <c r="J39" i="133"/>
  <c r="J40" i="133"/>
  <c r="J32" i="133"/>
  <c r="B41" i="133"/>
  <c r="B33" i="133"/>
  <c r="B35" i="133"/>
  <c r="J35" i="133"/>
  <c r="B36" i="133"/>
  <c r="B46" i="133"/>
  <c r="B48" i="133"/>
  <c r="J37" i="133"/>
  <c r="B45" i="133"/>
  <c r="B32" i="133"/>
  <c r="B38" i="133"/>
  <c r="J45" i="133"/>
  <c r="J30" i="131"/>
  <c r="B42" i="131"/>
  <c r="B31" i="131"/>
  <c r="B24" i="131"/>
  <c r="B33" i="131"/>
  <c r="B30" i="133"/>
  <c r="B17" i="133" s="1"/>
  <c r="J38" i="133"/>
  <c r="J41" i="133"/>
  <c r="B47" i="133"/>
  <c r="J30" i="133"/>
  <c r="J33" i="133"/>
  <c r="B39" i="133"/>
  <c r="B42" i="133"/>
  <c r="B24" i="133"/>
  <c r="B31" i="133"/>
  <c r="B34" i="133"/>
  <c r="J44" i="133"/>
  <c r="J47" i="133"/>
  <c r="J31" i="133"/>
  <c r="J34" i="133"/>
  <c r="B37" i="133"/>
  <c r="B40" i="133"/>
  <c r="B43" i="133"/>
  <c r="B31" i="132"/>
  <c r="B34" i="132"/>
  <c r="B36" i="132"/>
  <c r="J36" i="132"/>
  <c r="B41" i="132"/>
  <c r="B46" i="132"/>
  <c r="B48" i="131"/>
  <c r="J41" i="132"/>
  <c r="J43" i="132"/>
  <c r="J45" i="132"/>
  <c r="J48" i="132"/>
  <c r="J38" i="132"/>
  <c r="B50" i="132"/>
  <c r="J31" i="132"/>
  <c r="B39" i="132"/>
  <c r="B32" i="132"/>
  <c r="J46" i="132"/>
  <c r="J39" i="132"/>
  <c r="J32" i="132"/>
  <c r="B35" i="132"/>
  <c r="B40" i="132"/>
  <c r="B42" i="132"/>
  <c r="J49" i="132"/>
  <c r="B47" i="132"/>
  <c r="B30" i="132"/>
  <c r="B17" i="132" s="1"/>
  <c r="B33" i="132"/>
  <c r="J37" i="132"/>
  <c r="J42" i="132"/>
  <c r="J47" i="132"/>
  <c r="B37" i="132"/>
  <c r="B44" i="132"/>
  <c r="J44" i="132"/>
  <c r="J34" i="132"/>
  <c r="B45" i="132"/>
  <c r="J30" i="132"/>
  <c r="J33" i="132"/>
  <c r="J35" i="132"/>
  <c r="B38" i="132"/>
  <c r="J40" i="132"/>
  <c r="B43" i="132"/>
  <c r="B48" i="132"/>
  <c r="J50" i="132"/>
  <c r="B37" i="131"/>
  <c r="B46" i="131"/>
  <c r="B49" i="131"/>
  <c r="B43" i="131"/>
  <c r="B38" i="131"/>
  <c r="B41" i="131"/>
  <c r="B44" i="131"/>
  <c r="B50" i="131"/>
  <c r="B40" i="131"/>
  <c r="B32" i="131"/>
  <c r="B35" i="131"/>
  <c r="B47" i="131"/>
  <c r="B30" i="131"/>
  <c r="B17" i="131" s="1"/>
  <c r="B39" i="131"/>
  <c r="B45" i="131"/>
  <c r="C55" i="133" l="1"/>
  <c r="D55" i="133" s="1"/>
  <c r="C68" i="133"/>
  <c r="D68" i="133" s="1"/>
  <c r="C56" i="133"/>
  <c r="D56" i="133" s="1"/>
  <c r="C66" i="133"/>
  <c r="D66" i="133" s="1"/>
  <c r="C70" i="133"/>
  <c r="D70" i="133" s="1"/>
  <c r="C58" i="133"/>
  <c r="D58" i="133" s="1"/>
  <c r="C60" i="133"/>
  <c r="D60" i="133" s="1"/>
  <c r="C62" i="133"/>
  <c r="D62" i="133" s="1"/>
  <c r="C65" i="133"/>
  <c r="D65" i="133" s="1"/>
  <c r="C64" i="133"/>
  <c r="D64" i="133" s="1"/>
  <c r="C54" i="133"/>
  <c r="D54" i="133" s="1"/>
  <c r="C63" i="133"/>
  <c r="D63" i="133" s="1"/>
  <c r="C52" i="133"/>
  <c r="D52" i="133" s="1"/>
  <c r="C51" i="133"/>
  <c r="D51" i="133" s="1"/>
  <c r="C69" i="133"/>
  <c r="D69" i="133" s="1"/>
  <c r="C53" i="133"/>
  <c r="D53" i="133" s="1"/>
  <c r="C57" i="133"/>
  <c r="D57" i="133" s="1"/>
  <c r="C59" i="133"/>
  <c r="D59" i="133" s="1"/>
  <c r="C61" i="133"/>
  <c r="D61" i="133" s="1"/>
  <c r="C67" i="133"/>
  <c r="D67" i="133" s="1"/>
  <c r="D30" i="133"/>
  <c r="B71" i="133"/>
  <c r="C60" i="132"/>
  <c r="D60" i="132" s="1"/>
  <c r="C65" i="132"/>
  <c r="D65" i="132" s="1"/>
  <c r="C52" i="132"/>
  <c r="D52" i="132" s="1"/>
  <c r="C57" i="132"/>
  <c r="D57" i="132" s="1"/>
  <c r="C58" i="132"/>
  <c r="D58" i="132" s="1"/>
  <c r="C64" i="132"/>
  <c r="D64" i="132" s="1"/>
  <c r="C66" i="132"/>
  <c r="D66" i="132" s="1"/>
  <c r="C68" i="132"/>
  <c r="D68" i="132" s="1"/>
  <c r="C56" i="132"/>
  <c r="D56" i="132" s="1"/>
  <c r="C54" i="132"/>
  <c r="D54" i="132" s="1"/>
  <c r="C53" i="132"/>
  <c r="D53" i="132" s="1"/>
  <c r="C61" i="132"/>
  <c r="D61" i="132" s="1"/>
  <c r="C69" i="132"/>
  <c r="D69" i="132" s="1"/>
  <c r="C62" i="132"/>
  <c r="D62" i="132" s="1"/>
  <c r="C59" i="132"/>
  <c r="D59" i="132" s="1"/>
  <c r="C55" i="132"/>
  <c r="D55" i="132" s="1"/>
  <c r="C70" i="132"/>
  <c r="D70" i="132" s="1"/>
  <c r="C67" i="132"/>
  <c r="D67" i="132" s="1"/>
  <c r="C63" i="132"/>
  <c r="D63" i="132" s="1"/>
  <c r="B71" i="132"/>
  <c r="C58" i="131"/>
  <c r="D58" i="131" s="1"/>
  <c r="C62" i="131"/>
  <c r="D62" i="131" s="1"/>
  <c r="C66" i="131"/>
  <c r="D66" i="131" s="1"/>
  <c r="C54" i="131"/>
  <c r="D54" i="131" s="1"/>
  <c r="C70" i="131"/>
  <c r="D70" i="131" s="1"/>
  <c r="C57" i="131"/>
  <c r="D57" i="131" s="1"/>
  <c r="C55" i="131"/>
  <c r="D55" i="131" s="1"/>
  <c r="C65" i="131"/>
  <c r="D65" i="131" s="1"/>
  <c r="C63" i="131"/>
  <c r="D63" i="131" s="1"/>
  <c r="C64" i="131"/>
  <c r="D64" i="131" s="1"/>
  <c r="C67" i="131"/>
  <c r="D67" i="131" s="1"/>
  <c r="C52" i="131"/>
  <c r="D52" i="131" s="1"/>
  <c r="C59" i="131"/>
  <c r="D59" i="131" s="1"/>
  <c r="C69" i="131"/>
  <c r="D69" i="131" s="1"/>
  <c r="C68" i="131"/>
  <c r="D68" i="131" s="1"/>
  <c r="C61" i="131"/>
  <c r="D61" i="131" s="1"/>
  <c r="C60" i="131"/>
  <c r="D60" i="131" s="1"/>
  <c r="C53" i="131"/>
  <c r="D53" i="131" s="1"/>
  <c r="C56" i="131"/>
  <c r="D56" i="131" s="1"/>
  <c r="C51" i="131"/>
  <c r="D51" i="131" s="1"/>
  <c r="B71" i="131"/>
  <c r="C50" i="133"/>
  <c r="I35" i="133"/>
  <c r="I42" i="133"/>
  <c r="I39" i="133"/>
  <c r="I45" i="133"/>
  <c r="I41" i="133"/>
  <c r="I48" i="133"/>
  <c r="I30" i="133"/>
  <c r="I46" i="133"/>
  <c r="I49" i="133"/>
  <c r="I33" i="133"/>
  <c r="I44" i="133"/>
  <c r="I34" i="133"/>
  <c r="I40" i="133"/>
  <c r="I31" i="133"/>
  <c r="I32" i="133"/>
  <c r="I43" i="133"/>
  <c r="I47" i="133"/>
  <c r="I36" i="133"/>
  <c r="I37" i="133"/>
  <c r="I38" i="133"/>
  <c r="I33" i="132"/>
  <c r="I35" i="132"/>
  <c r="I48" i="132"/>
  <c r="I30" i="132"/>
  <c r="I34" i="132"/>
  <c r="I43" i="132"/>
  <c r="I47" i="132"/>
  <c r="I32" i="132"/>
  <c r="I31" i="132"/>
  <c r="I44" i="132"/>
  <c r="I39" i="132"/>
  <c r="I46" i="132"/>
  <c r="I36" i="132"/>
  <c r="I40" i="132"/>
  <c r="I41" i="132"/>
  <c r="I47" i="131"/>
  <c r="I37" i="131"/>
  <c r="I43" i="131"/>
  <c r="I45" i="131"/>
  <c r="I49" i="131"/>
  <c r="I33" i="131"/>
  <c r="I35" i="131"/>
  <c r="I44" i="131"/>
  <c r="I46" i="131"/>
  <c r="I32" i="131"/>
  <c r="I41" i="131"/>
  <c r="I31" i="131"/>
  <c r="I36" i="131"/>
  <c r="I40" i="131"/>
  <c r="I38" i="131"/>
  <c r="I48" i="131"/>
  <c r="I42" i="131"/>
  <c r="I34" i="131"/>
  <c r="D30" i="132"/>
  <c r="I45" i="132"/>
  <c r="I38" i="132"/>
  <c r="I37" i="132"/>
  <c r="I50" i="132"/>
  <c r="I42" i="132"/>
  <c r="I30" i="131"/>
  <c r="D30" i="131"/>
  <c r="I39" i="131"/>
  <c r="I50" i="131"/>
  <c r="M15" i="119"/>
  <c r="M15" i="127" s="1"/>
  <c r="G54" i="18"/>
  <c r="G55" i="18"/>
  <c r="H72" i="127"/>
  <c r="L72" i="127" s="1"/>
  <c r="H83" i="127"/>
  <c r="H82" i="127"/>
  <c r="L82" i="127" s="1"/>
  <c r="H81" i="127"/>
  <c r="H80" i="127"/>
  <c r="L80" i="127" s="1"/>
  <c r="H79" i="127"/>
  <c r="H78" i="127"/>
  <c r="L78" i="127" s="1"/>
  <c r="H77" i="127"/>
  <c r="H76" i="127"/>
  <c r="L76" i="127" s="1"/>
  <c r="H75" i="127"/>
  <c r="H74" i="127"/>
  <c r="L74" i="127" s="1"/>
  <c r="H73" i="127"/>
  <c r="H71" i="127"/>
  <c r="E61" i="127"/>
  <c r="E55" i="127"/>
  <c r="D55" i="127"/>
  <c r="D61" i="127" s="1"/>
  <c r="C55" i="127"/>
  <c r="C61" i="127" s="1"/>
  <c r="B55" i="127"/>
  <c r="B61" i="127" s="1"/>
  <c r="K73" i="119"/>
  <c r="K74" i="119"/>
  <c r="K76" i="119"/>
  <c r="K77" i="119"/>
  <c r="K78" i="119"/>
  <c r="K79" i="119"/>
  <c r="K80" i="119"/>
  <c r="K81" i="119"/>
  <c r="K82" i="119"/>
  <c r="K83" i="119"/>
  <c r="C61" i="119"/>
  <c r="B61" i="119"/>
  <c r="C55" i="119"/>
  <c r="D55" i="119"/>
  <c r="D61" i="119" s="1"/>
  <c r="E55" i="119"/>
  <c r="E61" i="119" s="1"/>
  <c r="B55" i="119"/>
  <c r="I71" i="133" l="1"/>
  <c r="I71" i="132"/>
  <c r="I71" i="131"/>
  <c r="J73" i="127"/>
  <c r="L73" i="127"/>
  <c r="J75" i="127"/>
  <c r="L75" i="127"/>
  <c r="J77" i="127"/>
  <c r="L77" i="127"/>
  <c r="J79" i="127"/>
  <c r="L79" i="127"/>
  <c r="J81" i="127"/>
  <c r="L81" i="127"/>
  <c r="J83" i="127"/>
  <c r="L83" i="127"/>
  <c r="D50" i="133"/>
  <c r="K80" i="127"/>
  <c r="K82" i="127"/>
  <c r="K76" i="127"/>
  <c r="K74" i="127"/>
  <c r="K72" i="127"/>
  <c r="K78" i="127"/>
  <c r="K72" i="119"/>
  <c r="J76" i="119"/>
  <c r="K75" i="119"/>
  <c r="K83" i="127"/>
  <c r="I82" i="127"/>
  <c r="H84" i="127"/>
  <c r="I73" i="127"/>
  <c r="I75" i="127"/>
  <c r="I77" i="127"/>
  <c r="I79" i="127"/>
  <c r="I81" i="127"/>
  <c r="I83" i="127"/>
  <c r="K73" i="127"/>
  <c r="K75" i="127"/>
  <c r="K77" i="127"/>
  <c r="K79" i="127"/>
  <c r="K81" i="127"/>
  <c r="I72" i="127"/>
  <c r="I74" i="127"/>
  <c r="I76" i="127"/>
  <c r="I78" i="127"/>
  <c r="I80" i="127"/>
  <c r="J72" i="127"/>
  <c r="J74" i="127"/>
  <c r="J76" i="127"/>
  <c r="J78" i="127"/>
  <c r="J80" i="127"/>
  <c r="J82" i="127"/>
  <c r="J78" i="119"/>
  <c r="J82" i="119"/>
  <c r="J80" i="119"/>
  <c r="J79" i="119"/>
  <c r="J77" i="119"/>
  <c r="J83" i="119"/>
  <c r="J75" i="119"/>
  <c r="J74" i="119"/>
  <c r="J81" i="119"/>
  <c r="J73" i="119"/>
  <c r="J72" i="119"/>
  <c r="F32" i="130"/>
  <c r="D31" i="130"/>
  <c r="F31" i="130" s="1"/>
  <c r="D30" i="130"/>
  <c r="F30" i="130" s="1"/>
  <c r="D29" i="130"/>
  <c r="F29" i="130" s="1"/>
  <c r="D28" i="130"/>
  <c r="F28" i="130" s="1"/>
  <c r="D27" i="130"/>
  <c r="F27" i="130" s="1"/>
  <c r="D26" i="130"/>
  <c r="F26" i="130" s="1"/>
  <c r="D25" i="130"/>
  <c r="F25" i="130" s="1"/>
  <c r="D24" i="130"/>
  <c r="F24" i="130" s="1"/>
  <c r="D23" i="130"/>
  <c r="F23" i="130" s="1"/>
  <c r="D22" i="130"/>
  <c r="F22" i="130" s="1"/>
  <c r="D21" i="130"/>
  <c r="F21" i="130" s="1"/>
  <c r="D20" i="130"/>
  <c r="F20" i="130" s="1"/>
  <c r="D19" i="130"/>
  <c r="F19" i="130" s="1"/>
  <c r="D18" i="130"/>
  <c r="F18" i="130" s="1"/>
  <c r="D17" i="130"/>
  <c r="F17" i="130" s="1"/>
  <c r="D16" i="130"/>
  <c r="F16" i="130" s="1"/>
  <c r="D15" i="130"/>
  <c r="F15" i="130" s="1"/>
  <c r="D14" i="130"/>
  <c r="F14" i="130" s="1"/>
  <c r="D13" i="130"/>
  <c r="F13" i="130" s="1"/>
  <c r="D12" i="130"/>
  <c r="F12" i="130" s="1"/>
  <c r="D11" i="130"/>
  <c r="F11" i="130" s="1"/>
  <c r="D10" i="130"/>
  <c r="F10" i="130" s="1"/>
  <c r="K9" i="130"/>
  <c r="D9" i="130"/>
  <c r="F9" i="130" s="1"/>
  <c r="K8" i="130"/>
  <c r="D8" i="130"/>
  <c r="F8" i="130" s="1"/>
  <c r="K7" i="130"/>
  <c r="D7" i="130"/>
  <c r="F7" i="130" s="1"/>
  <c r="F6" i="130"/>
  <c r="F5" i="130"/>
  <c r="L84" i="127" l="1"/>
  <c r="N71" i="127" s="1"/>
  <c r="J92" i="119"/>
  <c r="K92" i="119"/>
  <c r="N70" i="119" s="1"/>
  <c r="B21" i="133"/>
  <c r="C26" i="121"/>
  <c r="C55" i="18" s="1"/>
  <c r="B21" i="132"/>
  <c r="C25" i="121"/>
  <c r="C54" i="18" s="1"/>
  <c r="B21" i="131"/>
  <c r="C24" i="121"/>
  <c r="C53" i="18" s="1"/>
  <c r="K84" i="127"/>
  <c r="N70" i="127" s="1"/>
  <c r="J84" i="127"/>
  <c r="N69" i="127" s="1"/>
  <c r="I84" i="127"/>
  <c r="N68" i="127" s="1"/>
  <c r="P68" i="127" s="1"/>
  <c r="F33" i="130"/>
  <c r="G19" i="130" s="1"/>
  <c r="K7" i="121" l="1"/>
  <c r="E56" i="18" s="1"/>
  <c r="F56" i="18" s="1"/>
  <c r="P71" i="127"/>
  <c r="Q71" i="127" s="1"/>
  <c r="P70" i="127"/>
  <c r="Q70" i="127" s="1"/>
  <c r="P69" i="127"/>
  <c r="K6" i="121"/>
  <c r="N69" i="119"/>
  <c r="K5" i="121"/>
  <c r="G29" i="130"/>
  <c r="G14" i="130"/>
  <c r="G30" i="130"/>
  <c r="G11" i="130"/>
  <c r="G6" i="130"/>
  <c r="G10" i="130"/>
  <c r="G12" i="130"/>
  <c r="G28" i="130"/>
  <c r="G7" i="130"/>
  <c r="G15" i="130"/>
  <c r="G24" i="130"/>
  <c r="G21" i="130"/>
  <c r="G26" i="130"/>
  <c r="G8" i="130"/>
  <c r="G18" i="130"/>
  <c r="G23" i="130"/>
  <c r="G17" i="130"/>
  <c r="G27" i="130"/>
  <c r="G25" i="130"/>
  <c r="G5" i="130"/>
  <c r="G16" i="130"/>
  <c r="G22" i="130"/>
  <c r="G32" i="130"/>
  <c r="G20" i="130"/>
  <c r="G31" i="130"/>
  <c r="G9" i="130"/>
  <c r="G13" i="130"/>
  <c r="L15" i="127" l="1"/>
  <c r="J15" i="127"/>
  <c r="P72" i="127"/>
  <c r="K15" i="127"/>
  <c r="E55" i="18"/>
  <c r="F55" i="18" s="1"/>
  <c r="E54" i="18"/>
  <c r="F54" i="18" s="1"/>
  <c r="I15" i="127"/>
  <c r="Q69" i="127"/>
  <c r="G33" i="130"/>
  <c r="Q68" i="127" l="1"/>
  <c r="Q72" i="127"/>
  <c r="F17" i="127"/>
  <c r="B21" i="127" s="1"/>
  <c r="K11" i="18"/>
  <c r="K32" i="18" s="1"/>
  <c r="L10" i="18"/>
  <c r="K10" i="18"/>
  <c r="A12" i="18"/>
  <c r="B12" i="18"/>
  <c r="H15" i="121"/>
  <c r="G15" i="121"/>
  <c r="H34" i="127"/>
  <c r="H33" i="127"/>
  <c r="H32" i="127"/>
  <c r="H31" i="127"/>
  <c r="H30" i="127"/>
  <c r="H29" i="127"/>
  <c r="H28" i="127"/>
  <c r="H27" i="127"/>
  <c r="H26" i="127"/>
  <c r="H25" i="127"/>
  <c r="K24" i="127"/>
  <c r="J24" i="127"/>
  <c r="I24" i="127"/>
  <c r="H24" i="127"/>
  <c r="F24" i="127"/>
  <c r="E24" i="127"/>
  <c r="D24" i="127"/>
  <c r="C24" i="127"/>
  <c r="B24" i="127"/>
  <c r="E17" i="127"/>
  <c r="D17" i="127"/>
  <c r="C17" i="127"/>
  <c r="B17" i="127"/>
  <c r="P13" i="127"/>
  <c r="O13" i="127"/>
  <c r="N13" i="127"/>
  <c r="H13" i="127"/>
  <c r="M13" i="127" s="1"/>
  <c r="P12" i="127"/>
  <c r="O12" i="127"/>
  <c r="N12" i="127"/>
  <c r="H12" i="127"/>
  <c r="M12" i="127" s="1"/>
  <c r="P11" i="127"/>
  <c r="O11" i="127"/>
  <c r="N11" i="127"/>
  <c r="H11" i="127"/>
  <c r="M11" i="127" s="1"/>
  <c r="P10" i="127"/>
  <c r="O10" i="127"/>
  <c r="N10" i="127"/>
  <c r="H10" i="127"/>
  <c r="M10" i="127" s="1"/>
  <c r="P9" i="127"/>
  <c r="O9" i="127"/>
  <c r="N9" i="127"/>
  <c r="H9" i="127"/>
  <c r="M9" i="127" s="1"/>
  <c r="P8" i="127"/>
  <c r="O8" i="127"/>
  <c r="N8" i="127"/>
  <c r="H8" i="127"/>
  <c r="M8" i="127" s="1"/>
  <c r="P7" i="127"/>
  <c r="O7" i="127"/>
  <c r="N7" i="127"/>
  <c r="H7" i="127"/>
  <c r="M7" i="127" s="1"/>
  <c r="P6" i="127"/>
  <c r="O6" i="127"/>
  <c r="N6" i="127"/>
  <c r="H6" i="127"/>
  <c r="M6" i="127" s="1"/>
  <c r="P5" i="127"/>
  <c r="O5" i="127"/>
  <c r="N5" i="127"/>
  <c r="H5" i="127"/>
  <c r="M5" i="127" s="1"/>
  <c r="P4" i="127"/>
  <c r="O4" i="127"/>
  <c r="N4" i="127"/>
  <c r="H4" i="127"/>
  <c r="M4" i="127" s="1"/>
  <c r="P3" i="127"/>
  <c r="O3" i="127"/>
  <c r="N3" i="127"/>
  <c r="J10" i="127" l="1"/>
  <c r="I10" i="127"/>
  <c r="I31" i="127" s="1"/>
  <c r="K9" i="127"/>
  <c r="K30" i="127" s="1"/>
  <c r="J9" i="127"/>
  <c r="J30" i="127" s="1"/>
  <c r="I9" i="127"/>
  <c r="I30" i="127" s="1"/>
  <c r="K8" i="127"/>
  <c r="K29" i="127" s="1"/>
  <c r="J8" i="127"/>
  <c r="J29" i="127" s="1"/>
  <c r="I8" i="127"/>
  <c r="I29" i="127" s="1"/>
  <c r="K7" i="127"/>
  <c r="K28" i="127" s="1"/>
  <c r="J7" i="127"/>
  <c r="J28" i="127" s="1"/>
  <c r="I7" i="127"/>
  <c r="I28" i="127" s="1"/>
  <c r="K6" i="127"/>
  <c r="K27" i="127" s="1"/>
  <c r="J6" i="127"/>
  <c r="J27" i="127" s="1"/>
  <c r="I6" i="127"/>
  <c r="I27" i="127" s="1"/>
  <c r="K13" i="127"/>
  <c r="K34" i="127" s="1"/>
  <c r="K5" i="127"/>
  <c r="K26" i="127" s="1"/>
  <c r="J13" i="127"/>
  <c r="J34" i="127" s="1"/>
  <c r="J5" i="127"/>
  <c r="J26" i="127" s="1"/>
  <c r="I13" i="127"/>
  <c r="I34" i="127" s="1"/>
  <c r="I5" i="127"/>
  <c r="I26" i="127" s="1"/>
  <c r="K12" i="127"/>
  <c r="K33" i="127" s="1"/>
  <c r="K4" i="127"/>
  <c r="K25" i="127" s="1"/>
  <c r="J12" i="127"/>
  <c r="J33" i="127" s="1"/>
  <c r="J4" i="127"/>
  <c r="J25" i="127" s="1"/>
  <c r="I12" i="127"/>
  <c r="I4" i="127"/>
  <c r="I25" i="127" s="1"/>
  <c r="K11" i="127"/>
  <c r="K32" i="127" s="1"/>
  <c r="J11" i="127"/>
  <c r="J32" i="127" s="1"/>
  <c r="I11" i="127"/>
  <c r="K10" i="127"/>
  <c r="K31" i="127" s="1"/>
  <c r="B37" i="127"/>
  <c r="B63" i="127"/>
  <c r="B64" i="127"/>
  <c r="B62" i="127"/>
  <c r="D25" i="127"/>
  <c r="D63" i="127"/>
  <c r="D62" i="127"/>
  <c r="D64" i="127"/>
  <c r="C25" i="127"/>
  <c r="C63" i="127"/>
  <c r="C62" i="127"/>
  <c r="C64" i="127"/>
  <c r="E25" i="127"/>
  <c r="E64" i="127"/>
  <c r="E62" i="127"/>
  <c r="E63" i="127"/>
  <c r="I74" i="119"/>
  <c r="I72" i="119"/>
  <c r="I77" i="119"/>
  <c r="I73" i="119"/>
  <c r="I76" i="119"/>
  <c r="I80" i="119"/>
  <c r="I83" i="119"/>
  <c r="I79" i="119"/>
  <c r="I82" i="119"/>
  <c r="I78" i="119"/>
  <c r="I75" i="119"/>
  <c r="I81" i="119"/>
  <c r="B25" i="127"/>
  <c r="I33" i="127"/>
  <c r="I32" i="127"/>
  <c r="J31" i="127"/>
  <c r="F25" i="127"/>
  <c r="D21" i="127"/>
  <c r="P25" i="127"/>
  <c r="B32" i="127" l="1"/>
  <c r="E32" i="127"/>
  <c r="D32" i="127"/>
  <c r="C32" i="127"/>
  <c r="I92" i="119"/>
  <c r="L11" i="18"/>
  <c r="L32" i="18" s="1"/>
  <c r="P46" i="127"/>
  <c r="D66" i="18"/>
  <c r="D87" i="18" s="1"/>
  <c r="I4" i="133"/>
  <c r="I26" i="133" s="1"/>
  <c r="H26" i="133"/>
  <c r="B66" i="18"/>
  <c r="B87" i="18" s="1"/>
  <c r="I4" i="131"/>
  <c r="I26" i="131" s="1"/>
  <c r="H26" i="131"/>
  <c r="C66" i="18"/>
  <c r="C87" i="18" s="1"/>
  <c r="I4" i="132"/>
  <c r="I26" i="132" s="1"/>
  <c r="H26" i="132"/>
  <c r="E65" i="127"/>
  <c r="B65" i="127"/>
  <c r="C65" i="127"/>
  <c r="D65" i="127"/>
  <c r="L29" i="127"/>
  <c r="L31" i="127"/>
  <c r="L27" i="127"/>
  <c r="K39" i="127"/>
  <c r="L30" i="127"/>
  <c r="I39" i="127"/>
  <c r="L25" i="127"/>
  <c r="L32" i="127"/>
  <c r="L26" i="127"/>
  <c r="L33" i="127"/>
  <c r="L34" i="127"/>
  <c r="L28" i="127"/>
  <c r="J39" i="127"/>
  <c r="E3" i="34"/>
  <c r="E66" i="127" l="1"/>
  <c r="E33" i="127"/>
  <c r="D66" i="127"/>
  <c r="D33" i="127"/>
  <c r="C66" i="127"/>
  <c r="C33" i="127"/>
  <c r="B66" i="127"/>
  <c r="B33" i="127"/>
  <c r="B35" i="127" s="1"/>
  <c r="B36" i="127" s="1"/>
  <c r="B39" i="127" s="1"/>
  <c r="H16" i="121" s="1"/>
  <c r="C38" i="133"/>
  <c r="C46" i="133"/>
  <c r="C31" i="133"/>
  <c r="C39" i="133"/>
  <c r="C47" i="133"/>
  <c r="C43" i="133"/>
  <c r="C44" i="133"/>
  <c r="C32" i="133"/>
  <c r="C40" i="133"/>
  <c r="C48" i="133"/>
  <c r="C37" i="133"/>
  <c r="C33" i="133"/>
  <c r="C41" i="133"/>
  <c r="C49" i="133"/>
  <c r="C36" i="133"/>
  <c r="C34" i="133"/>
  <c r="C42" i="133"/>
  <c r="C35" i="133"/>
  <c r="C45" i="133"/>
  <c r="C31" i="132"/>
  <c r="C39" i="132"/>
  <c r="C47" i="132"/>
  <c r="C32" i="132"/>
  <c r="C40" i="132"/>
  <c r="C48" i="132"/>
  <c r="C33" i="132"/>
  <c r="C41" i="132"/>
  <c r="C49" i="132"/>
  <c r="C34" i="132"/>
  <c r="C42" i="132"/>
  <c r="C38" i="132"/>
  <c r="C50" i="132"/>
  <c r="C35" i="132"/>
  <c r="C43" i="132"/>
  <c r="C44" i="132"/>
  <c r="C37" i="132"/>
  <c r="C36" i="132"/>
  <c r="C45" i="132"/>
  <c r="C46" i="132"/>
  <c r="C38" i="131"/>
  <c r="C46" i="131"/>
  <c r="C39" i="131"/>
  <c r="C47" i="131"/>
  <c r="C32" i="131"/>
  <c r="C40" i="131"/>
  <c r="C48" i="131"/>
  <c r="C33" i="131"/>
  <c r="C49" i="131"/>
  <c r="C35" i="131"/>
  <c r="C41" i="131"/>
  <c r="C34" i="131"/>
  <c r="C42" i="131"/>
  <c r="C50" i="131"/>
  <c r="C43" i="131"/>
  <c r="C36" i="131"/>
  <c r="C44" i="131"/>
  <c r="C37" i="131"/>
  <c r="C45" i="131"/>
  <c r="C31" i="131"/>
  <c r="N68" i="119"/>
  <c r="P68" i="119" s="1"/>
  <c r="P71" i="119" s="1"/>
  <c r="K4" i="121"/>
  <c r="E26" i="127"/>
  <c r="E27" i="127" s="1"/>
  <c r="D26" i="127"/>
  <c r="D27" i="127" s="1"/>
  <c r="C26" i="127"/>
  <c r="C27" i="127" s="1"/>
  <c r="B26" i="127"/>
  <c r="B27" i="127" s="1"/>
  <c r="F26" i="127"/>
  <c r="F27" i="127" s="1"/>
  <c r="L39" i="127"/>
  <c r="E1" i="127" s="1"/>
  <c r="Q71" i="119" l="1"/>
  <c r="L15" i="119"/>
  <c r="M7" i="121"/>
  <c r="P70" i="119"/>
  <c r="P69" i="119"/>
  <c r="F21" i="127"/>
  <c r="K1" i="127" s="1"/>
  <c r="H18" i="121" s="1"/>
  <c r="D49" i="133"/>
  <c r="D34" i="133"/>
  <c r="D32" i="133"/>
  <c r="D36" i="133"/>
  <c r="D44" i="133"/>
  <c r="D45" i="133"/>
  <c r="D41" i="133"/>
  <c r="D47" i="133"/>
  <c r="D39" i="133"/>
  <c r="D35" i="133"/>
  <c r="D37" i="133"/>
  <c r="D31" i="133"/>
  <c r="D33" i="133"/>
  <c r="D48" i="133"/>
  <c r="D46" i="133"/>
  <c r="D43" i="133"/>
  <c r="D42" i="133"/>
  <c r="D40" i="133"/>
  <c r="D38" i="133"/>
  <c r="D35" i="132"/>
  <c r="D40" i="132"/>
  <c r="D45" i="132"/>
  <c r="D50" i="132"/>
  <c r="D49" i="132"/>
  <c r="D32" i="132"/>
  <c r="D44" i="132"/>
  <c r="D38" i="132"/>
  <c r="D41" i="132"/>
  <c r="D36" i="132"/>
  <c r="D33" i="132"/>
  <c r="D47" i="132"/>
  <c r="D42" i="132"/>
  <c r="D39" i="132"/>
  <c r="D46" i="132"/>
  <c r="D37" i="132"/>
  <c r="D43" i="132"/>
  <c r="D34" i="132"/>
  <c r="D48" i="132"/>
  <c r="D31" i="132"/>
  <c r="D31" i="131"/>
  <c r="D33" i="131"/>
  <c r="D34" i="131"/>
  <c r="D39" i="131"/>
  <c r="D32" i="131"/>
  <c r="D50" i="131"/>
  <c r="D47" i="131"/>
  <c r="D41" i="131"/>
  <c r="D36" i="131"/>
  <c r="D48" i="131"/>
  <c r="D46" i="131"/>
  <c r="D37" i="131"/>
  <c r="D49" i="131"/>
  <c r="D42" i="131"/>
  <c r="D44" i="131"/>
  <c r="D45" i="131"/>
  <c r="D43" i="131"/>
  <c r="D35" i="131"/>
  <c r="D40" i="131"/>
  <c r="D38" i="131"/>
  <c r="E53" i="18"/>
  <c r="E57" i="18" s="1"/>
  <c r="F57" i="18" s="1"/>
  <c r="D71" i="133" l="1"/>
  <c r="D71" i="132"/>
  <c r="D71" i="131"/>
  <c r="N7" i="121"/>
  <c r="D27" i="121"/>
  <c r="P72" i="119"/>
  <c r="J15" i="119"/>
  <c r="Q69" i="119"/>
  <c r="M5" i="121"/>
  <c r="Q70" i="119"/>
  <c r="M6" i="121"/>
  <c r="K15" i="119"/>
  <c r="F53" i="18"/>
  <c r="R48" i="19" l="1"/>
  <c r="Q48" i="19"/>
  <c r="S48" i="19"/>
  <c r="P48" i="19"/>
  <c r="T48" i="19"/>
  <c r="H56" i="18"/>
  <c r="E27" i="121"/>
  <c r="I56" i="18" s="1"/>
  <c r="G27" i="121"/>
  <c r="S71" i="119" s="1"/>
  <c r="N6" i="121"/>
  <c r="D26" i="121"/>
  <c r="D25" i="121"/>
  <c r="N5" i="121"/>
  <c r="B22" i="133"/>
  <c r="P15" i="119" s="1"/>
  <c r="B22" i="132"/>
  <c r="O15" i="119" s="1"/>
  <c r="B22" i="131"/>
  <c r="N15" i="119" s="1"/>
  <c r="I10" i="18"/>
  <c r="J10" i="18"/>
  <c r="H11" i="18"/>
  <c r="H10" i="18"/>
  <c r="F24" i="18"/>
  <c r="D24" i="18"/>
  <c r="B9" i="18"/>
  <c r="C9" i="18"/>
  <c r="D9" i="18"/>
  <c r="A11" i="18"/>
  <c r="A10" i="18"/>
  <c r="K56" i="18" l="1"/>
  <c r="Q47" i="19"/>
  <c r="S47" i="19"/>
  <c r="P47" i="19"/>
  <c r="T47" i="19"/>
  <c r="R47" i="19"/>
  <c r="H55" i="18"/>
  <c r="E26" i="121"/>
  <c r="Q46" i="19"/>
  <c r="T46" i="19"/>
  <c r="H54" i="18"/>
  <c r="R46" i="19"/>
  <c r="S46" i="19"/>
  <c r="P46" i="19"/>
  <c r="E25" i="121"/>
  <c r="P15" i="127"/>
  <c r="O15" i="127"/>
  <c r="F26" i="121"/>
  <c r="F24" i="119"/>
  <c r="C24" i="119"/>
  <c r="D24" i="119"/>
  <c r="E24" i="119"/>
  <c r="B24" i="119"/>
  <c r="N5" i="119"/>
  <c r="O5" i="119"/>
  <c r="P5" i="119"/>
  <c r="N6" i="119"/>
  <c r="O6" i="119"/>
  <c r="P6" i="119"/>
  <c r="N7" i="119"/>
  <c r="O7" i="119"/>
  <c r="P7" i="119"/>
  <c r="N8" i="119"/>
  <c r="O8" i="119"/>
  <c r="P8" i="119"/>
  <c r="N9" i="119"/>
  <c r="O9" i="119"/>
  <c r="P9" i="119"/>
  <c r="N10" i="119"/>
  <c r="O10" i="119"/>
  <c r="P10" i="119"/>
  <c r="N11" i="119"/>
  <c r="O11" i="119"/>
  <c r="P11" i="119"/>
  <c r="N12" i="119"/>
  <c r="O12" i="119"/>
  <c r="P12" i="119"/>
  <c r="N13" i="119"/>
  <c r="O13" i="119"/>
  <c r="P13" i="119"/>
  <c r="N4" i="119"/>
  <c r="O4" i="119"/>
  <c r="P4" i="119"/>
  <c r="H34" i="119"/>
  <c r="H33" i="119"/>
  <c r="H32" i="119"/>
  <c r="H31" i="119"/>
  <c r="H30" i="119"/>
  <c r="H29" i="119"/>
  <c r="H28" i="119"/>
  <c r="H27" i="119"/>
  <c r="H26" i="119"/>
  <c r="H25" i="119"/>
  <c r="F17" i="119"/>
  <c r="C17" i="119"/>
  <c r="B17" i="119"/>
  <c r="B20" i="119" s="1"/>
  <c r="K24" i="119"/>
  <c r="J24" i="119"/>
  <c r="I24" i="119"/>
  <c r="H24" i="119"/>
  <c r="H13" i="119"/>
  <c r="M13" i="119" s="1"/>
  <c r="H12" i="119"/>
  <c r="M12" i="119" s="1"/>
  <c r="H11" i="119"/>
  <c r="M11" i="119" s="1"/>
  <c r="H10" i="119"/>
  <c r="M10" i="119" s="1"/>
  <c r="H9" i="119"/>
  <c r="M9" i="119" s="1"/>
  <c r="H8" i="119"/>
  <c r="M8" i="119" s="1"/>
  <c r="H7" i="119"/>
  <c r="M7" i="119" s="1"/>
  <c r="H6" i="119"/>
  <c r="M6" i="119" s="1"/>
  <c r="H5" i="119"/>
  <c r="M5" i="119" s="1"/>
  <c r="H4" i="119"/>
  <c r="M4" i="119" s="1"/>
  <c r="P3" i="119"/>
  <c r="O3" i="119"/>
  <c r="N3" i="119"/>
  <c r="F62" i="119" l="1"/>
  <c r="F64" i="119"/>
  <c r="F63" i="119"/>
  <c r="D20" i="119"/>
  <c r="E38" i="119"/>
  <c r="I54" i="18"/>
  <c r="I55" i="18"/>
  <c r="F25" i="121"/>
  <c r="J55" i="18"/>
  <c r="G26" i="121"/>
  <c r="S70" i="119" s="1"/>
  <c r="C25" i="119"/>
  <c r="C63" i="119"/>
  <c r="C62" i="119"/>
  <c r="C64" i="119"/>
  <c r="B64" i="119"/>
  <c r="B62" i="119"/>
  <c r="B63" i="119"/>
  <c r="B25" i="119"/>
  <c r="F25" i="119"/>
  <c r="B21" i="119"/>
  <c r="B38" i="119" s="1"/>
  <c r="E17" i="119"/>
  <c r="D17" i="119"/>
  <c r="F65" i="119" l="1"/>
  <c r="F33" i="119" s="1"/>
  <c r="F32" i="119"/>
  <c r="F66" i="119"/>
  <c r="G25" i="121"/>
  <c r="S69" i="119" s="1"/>
  <c r="I12" i="119"/>
  <c r="I33" i="119" s="1"/>
  <c r="K6" i="119"/>
  <c r="K27" i="119" s="1"/>
  <c r="K11" i="119"/>
  <c r="K32" i="119" s="1"/>
  <c r="J12" i="119"/>
  <c r="J33" i="119" s="1"/>
  <c r="J6" i="119"/>
  <c r="J27" i="119" s="1"/>
  <c r="I10" i="119"/>
  <c r="I31" i="119" s="1"/>
  <c r="K12" i="119"/>
  <c r="K33" i="119" s="1"/>
  <c r="J11" i="119"/>
  <c r="J32" i="119" s="1"/>
  <c r="J8" i="119"/>
  <c r="J29" i="119" s="1"/>
  <c r="I11" i="119"/>
  <c r="I32" i="119" s="1"/>
  <c r="I9" i="119"/>
  <c r="I30" i="119" s="1"/>
  <c r="I8" i="119"/>
  <c r="I29" i="119" s="1"/>
  <c r="I6" i="119"/>
  <c r="I27" i="119" s="1"/>
  <c r="J10" i="119"/>
  <c r="J31" i="119" s="1"/>
  <c r="I13" i="119"/>
  <c r="I34" i="119" s="1"/>
  <c r="K8" i="119"/>
  <c r="K29" i="119" s="1"/>
  <c r="K7" i="119"/>
  <c r="K28" i="119" s="1"/>
  <c r="I5" i="119"/>
  <c r="I26" i="119" s="1"/>
  <c r="I7" i="119"/>
  <c r="I28" i="119" s="1"/>
  <c r="J9" i="119"/>
  <c r="J30" i="119" s="1"/>
  <c r="J5" i="119"/>
  <c r="J26" i="119" s="1"/>
  <c r="K10" i="119"/>
  <c r="K31" i="119" s="1"/>
  <c r="K9" i="119"/>
  <c r="K30" i="119" s="1"/>
  <c r="J13" i="119"/>
  <c r="J34" i="119" s="1"/>
  <c r="J7" i="119"/>
  <c r="J28" i="119" s="1"/>
  <c r="C32" i="119"/>
  <c r="B32" i="119"/>
  <c r="J54" i="18"/>
  <c r="F24" i="121"/>
  <c r="N15" i="127"/>
  <c r="N1" i="127" s="1"/>
  <c r="K55" i="18"/>
  <c r="C65" i="119"/>
  <c r="D25" i="119"/>
  <c r="D63" i="119"/>
  <c r="D62" i="119"/>
  <c r="D64" i="119"/>
  <c r="E25" i="119"/>
  <c r="E63" i="119"/>
  <c r="E62" i="119"/>
  <c r="E64" i="119"/>
  <c r="B65" i="119"/>
  <c r="D21" i="119"/>
  <c r="K5" i="119"/>
  <c r="K26" i="119" s="1"/>
  <c r="K4" i="119"/>
  <c r="K25" i="119" s="1"/>
  <c r="J4" i="119"/>
  <c r="J25" i="119" s="1"/>
  <c r="I4" i="119"/>
  <c r="I25" i="119" s="1"/>
  <c r="K13" i="119"/>
  <c r="K34" i="119" s="1"/>
  <c r="K54" i="18" l="1"/>
  <c r="E32" i="119"/>
  <c r="D32" i="119"/>
  <c r="C66" i="119"/>
  <c r="C33" i="119"/>
  <c r="B66" i="119"/>
  <c r="B33" i="119"/>
  <c r="J53" i="18"/>
  <c r="E65" i="119"/>
  <c r="D65" i="119"/>
  <c r="L29" i="119"/>
  <c r="L25" i="119"/>
  <c r="K39" i="119"/>
  <c r="L32" i="119"/>
  <c r="L33" i="119"/>
  <c r="L34" i="119"/>
  <c r="L31" i="119"/>
  <c r="L27" i="119"/>
  <c r="L26" i="119"/>
  <c r="I39" i="119"/>
  <c r="L30" i="119"/>
  <c r="J39" i="119"/>
  <c r="L28" i="119"/>
  <c r="E66" i="119" l="1"/>
  <c r="E33" i="119"/>
  <c r="D66" i="119"/>
  <c r="D33" i="119"/>
  <c r="B36" i="119" s="1"/>
  <c r="B37" i="119" s="1"/>
  <c r="B40" i="119" s="1"/>
  <c r="L39" i="119"/>
  <c r="E1" i="119" s="1"/>
  <c r="E36" i="119" l="1"/>
  <c r="E37" i="119" s="1"/>
  <c r="E40" i="119" s="1"/>
  <c r="G16" i="121"/>
  <c r="B12" i="121" s="1"/>
  <c r="Q44" i="19" l="1"/>
  <c r="R44" i="19"/>
  <c r="T44" i="19"/>
  <c r="S44" i="19"/>
  <c r="P44" i="19"/>
  <c r="B26" i="18"/>
  <c r="B34" i="56" l="1"/>
  <c r="C34" i="56"/>
  <c r="D34" i="56"/>
  <c r="E34" i="56"/>
  <c r="F34" i="56"/>
  <c r="Q34" i="56"/>
  <c r="O35" i="56"/>
  <c r="E3" i="111" l="1"/>
  <c r="AA151" i="111"/>
  <c r="AB151" i="111" s="1"/>
  <c r="AA150" i="111"/>
  <c r="AB150" i="111" s="1"/>
  <c r="AA149" i="111"/>
  <c r="AB149" i="111" s="1"/>
  <c r="AA148" i="111"/>
  <c r="AB148" i="111" s="1"/>
  <c r="AA147" i="111"/>
  <c r="AB147" i="111" s="1"/>
  <c r="AA146" i="111"/>
  <c r="AB146" i="111" s="1"/>
  <c r="AA145" i="111"/>
  <c r="AB145" i="111" s="1"/>
  <c r="AA144" i="111"/>
  <c r="AB144" i="111" s="1"/>
  <c r="AA143" i="111"/>
  <c r="AB143" i="111" s="1"/>
  <c r="AA142" i="111"/>
  <c r="AB142" i="111" s="1"/>
  <c r="AA141" i="111"/>
  <c r="AB141" i="111" s="1"/>
  <c r="AA140" i="111"/>
  <c r="AB140" i="111" s="1"/>
  <c r="AA139" i="111"/>
  <c r="AB139" i="111" s="1"/>
  <c r="AA138" i="111"/>
  <c r="AB138" i="111" s="1"/>
  <c r="AA137" i="111"/>
  <c r="AB137" i="111" s="1"/>
  <c r="AA136" i="111"/>
  <c r="AB136" i="111" s="1"/>
  <c r="AA135" i="111"/>
  <c r="AB135" i="111" s="1"/>
  <c r="AA134" i="111"/>
  <c r="AB134" i="111" s="1"/>
  <c r="AB133" i="111"/>
  <c r="AA133" i="111"/>
  <c r="AA132" i="111"/>
  <c r="AB132" i="111" s="1"/>
  <c r="AA131" i="111"/>
  <c r="AB131" i="111" s="1"/>
  <c r="AA130" i="111"/>
  <c r="AA129" i="111"/>
  <c r="AB129" i="111" s="1"/>
  <c r="AA128" i="111"/>
  <c r="AB128" i="111" s="1"/>
  <c r="AA127" i="111"/>
  <c r="AB127" i="111" s="1"/>
  <c r="AA126" i="111"/>
  <c r="AA125" i="111"/>
  <c r="AB125" i="111" s="1"/>
  <c r="AA124" i="111"/>
  <c r="AB124" i="111" s="1"/>
  <c r="AA123" i="111"/>
  <c r="AB123" i="111" s="1"/>
  <c r="AA122" i="111"/>
  <c r="AA121" i="111"/>
  <c r="AB121" i="111" s="1"/>
  <c r="AA120" i="111"/>
  <c r="AB120" i="111" s="1"/>
  <c r="AA119" i="111"/>
  <c r="AB119" i="111" s="1"/>
  <c r="AA118" i="111"/>
  <c r="AA117" i="111"/>
  <c r="AB117" i="111" s="1"/>
  <c r="AA116" i="111"/>
  <c r="AB116" i="111" s="1"/>
  <c r="AA115" i="111"/>
  <c r="AA114" i="111"/>
  <c r="AB114" i="111" s="1"/>
  <c r="AA113" i="111"/>
  <c r="AB113" i="111" s="1"/>
  <c r="AA112" i="111"/>
  <c r="AB112" i="111" s="1"/>
  <c r="AA111" i="111"/>
  <c r="AA110" i="111"/>
  <c r="AB110" i="111" s="1"/>
  <c r="AA109" i="111"/>
  <c r="AB109" i="111" s="1"/>
  <c r="AA108" i="111"/>
  <c r="AB108" i="111" s="1"/>
  <c r="AA107" i="111"/>
  <c r="AB107" i="111" s="1"/>
  <c r="AA106" i="111"/>
  <c r="AB106" i="111" s="1"/>
  <c r="AA105" i="111"/>
  <c r="AB105" i="111" s="1"/>
  <c r="AA104" i="111"/>
  <c r="AB104" i="111" s="1"/>
  <c r="AA103" i="111"/>
  <c r="AB103" i="111" s="1"/>
  <c r="AA102" i="111"/>
  <c r="AB102" i="111" s="1"/>
  <c r="AA101" i="111"/>
  <c r="AB101" i="111" s="1"/>
  <c r="AA100" i="111"/>
  <c r="AB100" i="111" s="1"/>
  <c r="AA99" i="111"/>
  <c r="AB99" i="111" s="1"/>
  <c r="AA98" i="111"/>
  <c r="AB98" i="111" s="1"/>
  <c r="AA97" i="111"/>
  <c r="AB97" i="111" s="1"/>
  <c r="AA96" i="111"/>
  <c r="AB96" i="111" s="1"/>
  <c r="AA95" i="111"/>
  <c r="AB95" i="111" s="1"/>
  <c r="AA94" i="111"/>
  <c r="AB94" i="111" s="1"/>
  <c r="AA93" i="111"/>
  <c r="AB93" i="111" s="1"/>
  <c r="AA92" i="111"/>
  <c r="AB92" i="111" s="1"/>
  <c r="AA91" i="111"/>
  <c r="AB91" i="111" s="1"/>
  <c r="AA90" i="111"/>
  <c r="AB90" i="111" s="1"/>
  <c r="AA89" i="111"/>
  <c r="AB89" i="111" s="1"/>
  <c r="AA88" i="111"/>
  <c r="AB88" i="111" s="1"/>
  <c r="AA87" i="111"/>
  <c r="AB87" i="111" s="1"/>
  <c r="AA86" i="111"/>
  <c r="AB86" i="111" s="1"/>
  <c r="AA85" i="111"/>
  <c r="AB85" i="111" s="1"/>
  <c r="AA84" i="111"/>
  <c r="AB84" i="111" s="1"/>
  <c r="AA83" i="111"/>
  <c r="AB83" i="111" s="1"/>
  <c r="AA82" i="111"/>
  <c r="AB82" i="111" s="1"/>
  <c r="AA81" i="111"/>
  <c r="AB81" i="111" s="1"/>
  <c r="AA80" i="111"/>
  <c r="AB80" i="111" s="1"/>
  <c r="AA79" i="111"/>
  <c r="AB79" i="111" s="1"/>
  <c r="AA78" i="111"/>
  <c r="AB78" i="111" s="1"/>
  <c r="AA77" i="111"/>
  <c r="AB77" i="111" s="1"/>
  <c r="AA76" i="111"/>
  <c r="AB76" i="111" s="1"/>
  <c r="AA75" i="111"/>
  <c r="AB75" i="111" s="1"/>
  <c r="AA74" i="111"/>
  <c r="AB74" i="111" s="1"/>
  <c r="AA73" i="111"/>
  <c r="AB73" i="111" s="1"/>
  <c r="AA72" i="111"/>
  <c r="AB72" i="111" s="1"/>
  <c r="AA71" i="111"/>
  <c r="AB71" i="111" s="1"/>
  <c r="AA70" i="111"/>
  <c r="AB70" i="111" s="1"/>
  <c r="AA69" i="111"/>
  <c r="AB69" i="111" s="1"/>
  <c r="AA68" i="111"/>
  <c r="AB68" i="111" s="1"/>
  <c r="AA67" i="111"/>
  <c r="AB67" i="111" s="1"/>
  <c r="AA66" i="111"/>
  <c r="AB66" i="111" s="1"/>
  <c r="AA65" i="111"/>
  <c r="AB65" i="111" s="1"/>
  <c r="AA64" i="111"/>
  <c r="AB64" i="111" s="1"/>
  <c r="AA63" i="111"/>
  <c r="AB63" i="111" s="1"/>
  <c r="AA62" i="111"/>
  <c r="AB62" i="111" s="1"/>
  <c r="AA61" i="111"/>
  <c r="AB61" i="111" s="1"/>
  <c r="AA60" i="111"/>
  <c r="AB60" i="111" s="1"/>
  <c r="AA59" i="111"/>
  <c r="AB59" i="111" s="1"/>
  <c r="AA58" i="111"/>
  <c r="AB58" i="111" s="1"/>
  <c r="AA57" i="111"/>
  <c r="AB57" i="111" s="1"/>
  <c r="AA56" i="111"/>
  <c r="AB56" i="111" s="1"/>
  <c r="AA55" i="111"/>
  <c r="AB55" i="111" s="1"/>
  <c r="AA54" i="111"/>
  <c r="AA53" i="111"/>
  <c r="AB53" i="111" s="1"/>
  <c r="AA52" i="111"/>
  <c r="AB52" i="111" s="1"/>
  <c r="AA51" i="111"/>
  <c r="AB51" i="111" s="1"/>
  <c r="AA50" i="111"/>
  <c r="AA49" i="111"/>
  <c r="AB49" i="111" s="1"/>
  <c r="AA48" i="111"/>
  <c r="AB48" i="111" s="1"/>
  <c r="AA47" i="111"/>
  <c r="AB47" i="111" s="1"/>
  <c r="AA46" i="111"/>
  <c r="AB46" i="111" s="1"/>
  <c r="AA45" i="111"/>
  <c r="AB45" i="111" s="1"/>
  <c r="AA44" i="111"/>
  <c r="AB44" i="111" s="1"/>
  <c r="AA43" i="111"/>
  <c r="AB43" i="111" s="1"/>
  <c r="AA42" i="111"/>
  <c r="AB42" i="111" s="1"/>
  <c r="AA41" i="111"/>
  <c r="AB41" i="111" s="1"/>
  <c r="AA40" i="111"/>
  <c r="AB40" i="111" s="1"/>
  <c r="AA39" i="111"/>
  <c r="AB39" i="111" s="1"/>
  <c r="AA38" i="111"/>
  <c r="AB38" i="111" s="1"/>
  <c r="AB37" i="111"/>
  <c r="AA37" i="111"/>
  <c r="AA36" i="111"/>
  <c r="AB36" i="111" s="1"/>
  <c r="AA35" i="111"/>
  <c r="AB35" i="111" s="1"/>
  <c r="AA34" i="111"/>
  <c r="AB34" i="111" s="1"/>
  <c r="AA33" i="111"/>
  <c r="AB33" i="111" s="1"/>
  <c r="AA32" i="111"/>
  <c r="AB32" i="111" s="1"/>
  <c r="AA31" i="111"/>
  <c r="AB31" i="111" s="1"/>
  <c r="AA30" i="111"/>
  <c r="AB30" i="111" s="1"/>
  <c r="AA29" i="111"/>
  <c r="AB29" i="111" s="1"/>
  <c r="AA28" i="111"/>
  <c r="AB28" i="111" s="1"/>
  <c r="AA27" i="111"/>
  <c r="AB27" i="111" s="1"/>
  <c r="AA26" i="111"/>
  <c r="AB26" i="111" s="1"/>
  <c r="AA25" i="111"/>
  <c r="AB25" i="111" s="1"/>
  <c r="AA24" i="111"/>
  <c r="AB24" i="111" s="1"/>
  <c r="AA23" i="111"/>
  <c r="AB23" i="111" s="1"/>
  <c r="AA22" i="111"/>
  <c r="AB22" i="111" s="1"/>
  <c r="AA21" i="111"/>
  <c r="AB21" i="111" s="1"/>
  <c r="AA20" i="111"/>
  <c r="AB20" i="111" s="1"/>
  <c r="AA19" i="111"/>
  <c r="AB19" i="111" s="1"/>
  <c r="AA18" i="111"/>
  <c r="AA17" i="111"/>
  <c r="AB17" i="111" s="1"/>
  <c r="AA16" i="111"/>
  <c r="AB16" i="111" s="1"/>
  <c r="AA15" i="111"/>
  <c r="AB15" i="111" s="1"/>
  <c r="AA14" i="111"/>
  <c r="AB14" i="111" s="1"/>
  <c r="AA13" i="111"/>
  <c r="AB13" i="111" s="1"/>
  <c r="AA12" i="111"/>
  <c r="AB12" i="111" s="1"/>
  <c r="AA11" i="111"/>
  <c r="AB11" i="111" s="1"/>
  <c r="AA10" i="111"/>
  <c r="AB10" i="111" s="1"/>
  <c r="AA9" i="111"/>
  <c r="AB9" i="111" s="1"/>
  <c r="AA8" i="111"/>
  <c r="AB8" i="111" s="1"/>
  <c r="AA7" i="111"/>
  <c r="AB7" i="111" s="1"/>
  <c r="AA6" i="111"/>
  <c r="AB6" i="111" s="1"/>
  <c r="AA5" i="111"/>
  <c r="AB5" i="111" s="1"/>
  <c r="AA4" i="111"/>
  <c r="AB4" i="111" s="1"/>
  <c r="AA3" i="111"/>
  <c r="AB3" i="111" s="1"/>
  <c r="AA2" i="111"/>
  <c r="AB2" i="111" s="1"/>
  <c r="AA1" i="111"/>
  <c r="AB1" i="111" s="1"/>
  <c r="B4" i="111" l="1"/>
  <c r="B5" i="111"/>
  <c r="AB111" i="111"/>
  <c r="AB115" i="111"/>
  <c r="AB18" i="111"/>
  <c r="AB50" i="111"/>
  <c r="AB54" i="111"/>
  <c r="AB118" i="111"/>
  <c r="AB122" i="111"/>
  <c r="AB126" i="111"/>
  <c r="AB130" i="111"/>
  <c r="B18" i="18" l="1"/>
  <c r="B19" i="18"/>
  <c r="B20" i="18"/>
  <c r="B21" i="18"/>
  <c r="B22" i="18"/>
  <c r="B23" i="18"/>
  <c r="B24" i="18"/>
  <c r="B25" i="18"/>
  <c r="B17" i="18"/>
  <c r="H4" i="18"/>
  <c r="H3" i="18"/>
  <c r="B27" i="18" l="1"/>
  <c r="Q26" i="56" l="1"/>
  <c r="Q27" i="56"/>
  <c r="Q28" i="56"/>
  <c r="Q29" i="56"/>
  <c r="Q30" i="56"/>
  <c r="Q31" i="56"/>
  <c r="Q32" i="56"/>
  <c r="Q33" i="56"/>
  <c r="Q25" i="56"/>
  <c r="Q35" i="56" l="1"/>
  <c r="E1" i="56" s="1"/>
  <c r="F3" i="121" s="1"/>
  <c r="E10" i="18" l="1"/>
  <c r="B26" i="56"/>
  <c r="C26" i="56"/>
  <c r="D26" i="56"/>
  <c r="E26" i="56"/>
  <c r="F26" i="56"/>
  <c r="B27" i="56"/>
  <c r="C27" i="56"/>
  <c r="D27" i="56"/>
  <c r="E27" i="56"/>
  <c r="F27" i="56"/>
  <c r="B28" i="56"/>
  <c r="C28" i="56"/>
  <c r="D28" i="56"/>
  <c r="E28" i="56"/>
  <c r="F28" i="56"/>
  <c r="B29" i="56"/>
  <c r="C29" i="56"/>
  <c r="D29" i="56"/>
  <c r="E29" i="56"/>
  <c r="F29" i="56"/>
  <c r="B30" i="56"/>
  <c r="C30" i="56"/>
  <c r="D30" i="56"/>
  <c r="E30" i="56"/>
  <c r="F30" i="56"/>
  <c r="B31" i="56"/>
  <c r="C31" i="56"/>
  <c r="D31" i="56"/>
  <c r="E31" i="56"/>
  <c r="F31" i="56"/>
  <c r="B32" i="56"/>
  <c r="C32" i="56"/>
  <c r="D32" i="56"/>
  <c r="E32" i="56"/>
  <c r="F32" i="56"/>
  <c r="B33" i="56"/>
  <c r="C33" i="56"/>
  <c r="D33" i="56"/>
  <c r="E33" i="56"/>
  <c r="F33" i="56"/>
  <c r="C25" i="56"/>
  <c r="D25" i="56"/>
  <c r="E25" i="56"/>
  <c r="F25" i="56"/>
  <c r="B25" i="56"/>
  <c r="B37" i="56"/>
  <c r="C37" i="56"/>
  <c r="D37" i="56"/>
  <c r="E37" i="56"/>
  <c r="F37" i="56"/>
  <c r="C17" i="56"/>
  <c r="D17" i="56"/>
  <c r="E17" i="56"/>
  <c r="F17" i="56"/>
  <c r="B17" i="56"/>
  <c r="A26" i="56"/>
  <c r="A52" i="56" s="1"/>
  <c r="A27" i="56"/>
  <c r="A53" i="56" s="1"/>
  <c r="A28" i="56"/>
  <c r="A54" i="56" s="1"/>
  <c r="A29" i="56"/>
  <c r="A55" i="56" s="1"/>
  <c r="A30" i="56"/>
  <c r="A56" i="56" s="1"/>
  <c r="A31" i="56"/>
  <c r="A57" i="56" s="1"/>
  <c r="A32" i="56"/>
  <c r="A58" i="56" s="1"/>
  <c r="A33" i="56"/>
  <c r="A59" i="56" s="1"/>
  <c r="A34" i="56"/>
  <c r="A60" i="56" s="1"/>
  <c r="A37" i="56"/>
  <c r="A25" i="56"/>
  <c r="A51" i="56" s="1"/>
  <c r="E38" i="56" l="1"/>
  <c r="F38" i="56"/>
  <c r="D38" i="56"/>
  <c r="A36" i="43"/>
  <c r="A37" i="43"/>
  <c r="A38" i="43"/>
  <c r="A39" i="43"/>
  <c r="A40" i="43"/>
  <c r="A41" i="43"/>
  <c r="A42" i="43"/>
  <c r="A43" i="43"/>
  <c r="A44" i="43"/>
  <c r="A45" i="43"/>
  <c r="A46" i="43"/>
  <c r="A47" i="43"/>
  <c r="A48" i="43"/>
  <c r="A49" i="43"/>
  <c r="A50" i="43"/>
  <c r="A51" i="43"/>
  <c r="A52" i="43"/>
  <c r="A53" i="43"/>
  <c r="A54" i="43"/>
  <c r="A55" i="43"/>
  <c r="A56" i="43"/>
  <c r="A57" i="43"/>
  <c r="A58" i="43"/>
  <c r="D59" i="43"/>
  <c r="E3" i="18" s="1"/>
  <c r="F59" i="43"/>
  <c r="E36" i="43" l="1"/>
  <c r="E57" i="43"/>
  <c r="E55" i="43"/>
  <c r="E53" i="43"/>
  <c r="E51" i="43"/>
  <c r="E49" i="43"/>
  <c r="E47" i="43"/>
  <c r="E45" i="43"/>
  <c r="E43" i="43"/>
  <c r="E41" i="43"/>
  <c r="E39" i="43"/>
  <c r="E37" i="43"/>
  <c r="E58" i="43"/>
  <c r="E56" i="43"/>
  <c r="E54" i="43"/>
  <c r="E52" i="43"/>
  <c r="E50" i="43"/>
  <c r="E48" i="43"/>
  <c r="E46" i="43"/>
  <c r="E44" i="43"/>
  <c r="E42" i="43"/>
  <c r="E40" i="43"/>
  <c r="E38" i="43"/>
  <c r="E59" i="43" l="1"/>
  <c r="H34" i="56" l="1"/>
  <c r="N34" i="56" s="1"/>
  <c r="A26" i="18" s="1"/>
  <c r="H33" i="56"/>
  <c r="N33" i="56" s="1"/>
  <c r="A25" i="18" s="1"/>
  <c r="H30" i="56"/>
  <c r="N30" i="56" s="1"/>
  <c r="A22" i="18" s="1"/>
  <c r="H29" i="56"/>
  <c r="N29" i="56" s="1"/>
  <c r="A21" i="18" s="1"/>
  <c r="H28" i="56"/>
  <c r="N28" i="56" s="1"/>
  <c r="A20" i="18" s="1"/>
  <c r="H27" i="56"/>
  <c r="N27" i="56" s="1"/>
  <c r="A19" i="18" s="1"/>
  <c r="H26" i="56"/>
  <c r="N26" i="56" s="1"/>
  <c r="A18" i="18" s="1"/>
  <c r="H25" i="56"/>
  <c r="N25" i="56" s="1"/>
  <c r="A17" i="18" s="1"/>
  <c r="K24" i="56"/>
  <c r="J24" i="56"/>
  <c r="I24" i="56"/>
  <c r="H24" i="56"/>
  <c r="H12" i="56"/>
  <c r="M12" i="56" s="1"/>
  <c r="H11" i="56"/>
  <c r="M11" i="56" s="1"/>
  <c r="H10" i="56"/>
  <c r="M10" i="56" s="1"/>
  <c r="H8" i="56"/>
  <c r="M8" i="56" s="1"/>
  <c r="H7" i="56"/>
  <c r="M7" i="56" s="1"/>
  <c r="H6" i="56"/>
  <c r="M6" i="56" s="1"/>
  <c r="H4" i="56"/>
  <c r="M4" i="56" s="1"/>
  <c r="P3" i="56"/>
  <c r="O3" i="56"/>
  <c r="N3" i="56"/>
  <c r="H17" i="121" l="1"/>
  <c r="H1" i="127"/>
  <c r="C5" i="121" s="1"/>
  <c r="F5" i="121"/>
  <c r="H31" i="56"/>
  <c r="N31" i="56" s="1"/>
  <c r="A23" i="18" s="1"/>
  <c r="H32" i="56"/>
  <c r="N32" i="56" s="1"/>
  <c r="A24" i="18" s="1"/>
  <c r="C38" i="56"/>
  <c r="H9" i="56"/>
  <c r="M9" i="56" s="1"/>
  <c r="B38" i="56"/>
  <c r="H5" i="56"/>
  <c r="M5" i="56" s="1"/>
  <c r="H13" i="56"/>
  <c r="M13" i="56" s="1"/>
  <c r="G5" i="121" l="1"/>
  <c r="F12" i="18" s="1"/>
  <c r="E12" i="18"/>
  <c r="D5" i="121"/>
  <c r="D12" i="18" s="1"/>
  <c r="C12" i="18"/>
  <c r="I13" i="56"/>
  <c r="I9" i="56"/>
  <c r="I30" i="56" s="1"/>
  <c r="K9" i="56"/>
  <c r="K30" i="56" s="1"/>
  <c r="J9" i="56"/>
  <c r="J30" i="56" s="1"/>
  <c r="J8" i="56"/>
  <c r="J29" i="56" s="1"/>
  <c r="K8" i="56"/>
  <c r="K29" i="56" s="1"/>
  <c r="K12" i="56"/>
  <c r="K33" i="56" s="1"/>
  <c r="I12" i="56"/>
  <c r="I33" i="56" s="1"/>
  <c r="J7" i="56"/>
  <c r="J28" i="56" s="1"/>
  <c r="I7" i="56"/>
  <c r="I28" i="56" s="1"/>
  <c r="K7" i="56"/>
  <c r="K28" i="56" s="1"/>
  <c r="J11" i="56"/>
  <c r="J32" i="56" s="1"/>
  <c r="K11" i="56"/>
  <c r="K32" i="56" s="1"/>
  <c r="I6" i="56"/>
  <c r="I27" i="56" s="1"/>
  <c r="J6" i="56"/>
  <c r="J27" i="56" s="1"/>
  <c r="I5" i="56"/>
  <c r="I26" i="56" s="1"/>
  <c r="I8" i="56"/>
  <c r="I29" i="56" s="1"/>
  <c r="K6" i="56"/>
  <c r="K27" i="56" s="1"/>
  <c r="K10" i="56"/>
  <c r="K31" i="56" s="1"/>
  <c r="J12" i="56"/>
  <c r="J33" i="56" s="1"/>
  <c r="I10" i="56"/>
  <c r="I31" i="56" s="1"/>
  <c r="I11" i="56"/>
  <c r="I32" i="56" s="1"/>
  <c r="J10" i="56"/>
  <c r="J31" i="56" s="1"/>
  <c r="J5" i="56"/>
  <c r="J26" i="56" s="1"/>
  <c r="J13" i="56"/>
  <c r="J34" i="56" s="1"/>
  <c r="K5" i="56"/>
  <c r="K26" i="56" s="1"/>
  <c r="K13" i="56"/>
  <c r="K34" i="56" s="1"/>
  <c r="K4" i="56"/>
  <c r="K25" i="56" s="1"/>
  <c r="I4" i="56"/>
  <c r="I25" i="56" s="1"/>
  <c r="J4" i="56"/>
  <c r="J25" i="56" s="1"/>
  <c r="L26" i="56" l="1"/>
  <c r="L32" i="56"/>
  <c r="L30" i="56"/>
  <c r="L27" i="56"/>
  <c r="L29" i="56"/>
  <c r="L31" i="56"/>
  <c r="L28" i="56"/>
  <c r="L33" i="56"/>
  <c r="F27" i="43" l="1"/>
  <c r="D27" i="43"/>
  <c r="E4" i="18" s="1"/>
  <c r="A26" i="43"/>
  <c r="A25" i="43"/>
  <c r="A24" i="43"/>
  <c r="A23" i="43"/>
  <c r="A22" i="43"/>
  <c r="A21" i="43"/>
  <c r="A20" i="43"/>
  <c r="A19" i="43"/>
  <c r="A18" i="43"/>
  <c r="A17" i="43"/>
  <c r="A16" i="43"/>
  <c r="A15" i="43"/>
  <c r="A14" i="43"/>
  <c r="A13" i="43"/>
  <c r="A12" i="43"/>
  <c r="A11" i="43"/>
  <c r="A10" i="43"/>
  <c r="A9" i="43"/>
  <c r="A8" i="43"/>
  <c r="A7" i="43"/>
  <c r="A6" i="43"/>
  <c r="A5" i="43"/>
  <c r="A4" i="43"/>
  <c r="S42" i="19" l="1"/>
  <c r="Q42" i="19"/>
  <c r="R42" i="19"/>
  <c r="P42" i="19"/>
  <c r="T42" i="19"/>
  <c r="E4" i="43"/>
  <c r="E19" i="43"/>
  <c r="E7" i="43"/>
  <c r="E26" i="43"/>
  <c r="E22" i="43"/>
  <c r="E18" i="43"/>
  <c r="E14" i="43"/>
  <c r="E10" i="43"/>
  <c r="E6" i="43"/>
  <c r="E23" i="43"/>
  <c r="E11" i="43"/>
  <c r="E25" i="43"/>
  <c r="E21" i="43"/>
  <c r="E17" i="43"/>
  <c r="E13" i="43"/>
  <c r="E9" i="43"/>
  <c r="E5" i="43"/>
  <c r="E15" i="43"/>
  <c r="E24" i="43"/>
  <c r="E20" i="43"/>
  <c r="E16" i="43"/>
  <c r="E12" i="43"/>
  <c r="E8" i="43"/>
  <c r="E27" i="43" l="1"/>
  <c r="AA151" i="34" l="1"/>
  <c r="AA150" i="34"/>
  <c r="AA149" i="34"/>
  <c r="AA148" i="34"/>
  <c r="AA147" i="34"/>
  <c r="AA146" i="34"/>
  <c r="AA145" i="34"/>
  <c r="AA144" i="34"/>
  <c r="AA143" i="34"/>
  <c r="AA142" i="34"/>
  <c r="AA141" i="34"/>
  <c r="AA140" i="34"/>
  <c r="AA139" i="34"/>
  <c r="AA138" i="34"/>
  <c r="AA137" i="34"/>
  <c r="AA136" i="34"/>
  <c r="AA135" i="34"/>
  <c r="AA134" i="34"/>
  <c r="AA133" i="34"/>
  <c r="AA132" i="34"/>
  <c r="AA131" i="34"/>
  <c r="AA130" i="34"/>
  <c r="AA129" i="34"/>
  <c r="AA128" i="34"/>
  <c r="AA127" i="34"/>
  <c r="AA126" i="34"/>
  <c r="AA125" i="34"/>
  <c r="AA124" i="34"/>
  <c r="AA123" i="34"/>
  <c r="AA122" i="34"/>
  <c r="AA121" i="34"/>
  <c r="AA120" i="34"/>
  <c r="AA119" i="34"/>
  <c r="AA118" i="34"/>
  <c r="AA117" i="34"/>
  <c r="AA116" i="34"/>
  <c r="AA115" i="34"/>
  <c r="AA114" i="34"/>
  <c r="AA113" i="34"/>
  <c r="AA112" i="34"/>
  <c r="AA111" i="34"/>
  <c r="AA110" i="34"/>
  <c r="AA109" i="34"/>
  <c r="AA108" i="34"/>
  <c r="AA107" i="34"/>
  <c r="AA106" i="34"/>
  <c r="AA105" i="34"/>
  <c r="AA104" i="34"/>
  <c r="AA103" i="34"/>
  <c r="AA102" i="34"/>
  <c r="AA101" i="34"/>
  <c r="AA100" i="34"/>
  <c r="AA99" i="34"/>
  <c r="AA98" i="34"/>
  <c r="AA97" i="34"/>
  <c r="AA96" i="34"/>
  <c r="AA95" i="34"/>
  <c r="AA94" i="34"/>
  <c r="AA93" i="34"/>
  <c r="AA92" i="34"/>
  <c r="AA91" i="34"/>
  <c r="AA90" i="34"/>
  <c r="AA89" i="34"/>
  <c r="AA88" i="34"/>
  <c r="AA87" i="34"/>
  <c r="AA86" i="34"/>
  <c r="AA85" i="34"/>
  <c r="AA84" i="34"/>
  <c r="AA83" i="34"/>
  <c r="AA82" i="34"/>
  <c r="AA81" i="34"/>
  <c r="AA80" i="34"/>
  <c r="AA79" i="34"/>
  <c r="AA78" i="34"/>
  <c r="AA77" i="34"/>
  <c r="AA76" i="34"/>
  <c r="AA75" i="34"/>
  <c r="AA74" i="34"/>
  <c r="AA73" i="34"/>
  <c r="AA72" i="34"/>
  <c r="AA71" i="34"/>
  <c r="AA70" i="34"/>
  <c r="AA69" i="34"/>
  <c r="AA68" i="34"/>
  <c r="AA67" i="34"/>
  <c r="AA66" i="34"/>
  <c r="AA65" i="34"/>
  <c r="AA64" i="34"/>
  <c r="AA63" i="34"/>
  <c r="AA62" i="34"/>
  <c r="AA61" i="34"/>
  <c r="AA60" i="34"/>
  <c r="AA59" i="34"/>
  <c r="AA58" i="34"/>
  <c r="AA57" i="34"/>
  <c r="AA56" i="34"/>
  <c r="AA55" i="34"/>
  <c r="AA54" i="34"/>
  <c r="AA53" i="34"/>
  <c r="AA52" i="34"/>
  <c r="AA51" i="34"/>
  <c r="AA50" i="34"/>
  <c r="AA49" i="34"/>
  <c r="AA48" i="34"/>
  <c r="AA47" i="34"/>
  <c r="AA46" i="34"/>
  <c r="AA45" i="34"/>
  <c r="AA44" i="34"/>
  <c r="AA43" i="34"/>
  <c r="AA42" i="34"/>
  <c r="AA41" i="34"/>
  <c r="AA40" i="34"/>
  <c r="AA39" i="34"/>
  <c r="AA38" i="34"/>
  <c r="AA37" i="34"/>
  <c r="AA36" i="34"/>
  <c r="AA35" i="34"/>
  <c r="AA34" i="34"/>
  <c r="AA33" i="34"/>
  <c r="AA32" i="34"/>
  <c r="AA31" i="34"/>
  <c r="AA30" i="34"/>
  <c r="AA29" i="34"/>
  <c r="AA28" i="34"/>
  <c r="AA27" i="34"/>
  <c r="AA26" i="34"/>
  <c r="AA25" i="34"/>
  <c r="AA24" i="34"/>
  <c r="AA23" i="34"/>
  <c r="AA22" i="34"/>
  <c r="AA21" i="34"/>
  <c r="AA20" i="34"/>
  <c r="AA19" i="34"/>
  <c r="AA18" i="34"/>
  <c r="AA17" i="34"/>
  <c r="AA16" i="34"/>
  <c r="AA15" i="34"/>
  <c r="AA14" i="34"/>
  <c r="AA13" i="34"/>
  <c r="AA12" i="34"/>
  <c r="AA11" i="34"/>
  <c r="AA10" i="34"/>
  <c r="AA9" i="34"/>
  <c r="AA8" i="34"/>
  <c r="AA7" i="34"/>
  <c r="AA6" i="34"/>
  <c r="AA5" i="34"/>
  <c r="AA4" i="34"/>
  <c r="AA3" i="34"/>
  <c r="AA2" i="34"/>
  <c r="AA1" i="34"/>
  <c r="F16" i="10" l="1"/>
  <c r="E16" i="10"/>
  <c r="C16" i="10"/>
  <c r="D16" i="10"/>
  <c r="B16" i="10" l="1"/>
  <c r="I34" i="56" l="1"/>
  <c r="I39" i="56" l="1"/>
  <c r="J39" i="56" l="1"/>
  <c r="L25" i="56"/>
  <c r="L34" i="56"/>
  <c r="L39" i="56" l="1"/>
  <c r="K39" i="56"/>
  <c r="H1" i="56" l="1"/>
  <c r="C3" i="121" s="1"/>
  <c r="C10" i="18" l="1"/>
  <c r="B11" i="18" l="1"/>
  <c r="B13" i="18" l="1"/>
  <c r="B10" i="18"/>
  <c r="G3" i="121"/>
  <c r="F10" i="18" s="1"/>
  <c r="D3" i="121"/>
  <c r="D10" i="18" l="1"/>
  <c r="G53" i="18" l="1"/>
  <c r="I15" i="119" l="1"/>
  <c r="N1" i="119" s="1"/>
  <c r="M4" i="121"/>
  <c r="Q68" i="119"/>
  <c r="Q72" i="119"/>
  <c r="M8" i="121" l="1"/>
  <c r="N8" i="121" s="1"/>
  <c r="R16" i="121"/>
  <c r="I40" i="18" s="1"/>
  <c r="R17" i="121"/>
  <c r="I41" i="18" s="1"/>
  <c r="R15" i="121"/>
  <c r="I39" i="18" s="1"/>
  <c r="R18" i="121"/>
  <c r="D24" i="121"/>
  <c r="D28" i="121" s="1"/>
  <c r="H27" i="121" s="1"/>
  <c r="L56" i="18" s="1"/>
  <c r="N4" i="121"/>
  <c r="I42" i="18" l="1"/>
  <c r="I43" i="18" s="1"/>
  <c r="H7" i="18"/>
  <c r="S18" i="121"/>
  <c r="J42" i="18" s="1"/>
  <c r="T18" i="121"/>
  <c r="T17" i="121"/>
  <c r="S17" i="121"/>
  <c r="J41" i="18" s="1"/>
  <c r="T15" i="121"/>
  <c r="S15" i="121"/>
  <c r="J39" i="18" s="1"/>
  <c r="R19" i="121"/>
  <c r="T19" i="121" s="1"/>
  <c r="S16" i="121"/>
  <c r="J40" i="18" s="1"/>
  <c r="T16" i="121"/>
  <c r="Q45" i="19"/>
  <c r="R45" i="19"/>
  <c r="S45" i="19"/>
  <c r="T45" i="19"/>
  <c r="P45" i="19"/>
  <c r="H53" i="18"/>
  <c r="G24" i="121"/>
  <c r="S68" i="119" s="1"/>
  <c r="E24" i="121"/>
  <c r="H57" i="18"/>
  <c r="B47" i="18" s="1"/>
  <c r="G28" i="121" l="1"/>
  <c r="S72" i="119" s="1"/>
  <c r="K42" i="18"/>
  <c r="P52" i="19"/>
  <c r="Q52" i="19"/>
  <c r="R52" i="19"/>
  <c r="S52" i="19"/>
  <c r="T52" i="19"/>
  <c r="K41" i="18"/>
  <c r="P51" i="19"/>
  <c r="S51" i="19"/>
  <c r="Q51" i="19"/>
  <c r="R51" i="19"/>
  <c r="T51" i="19"/>
  <c r="K40" i="18"/>
  <c r="P50" i="19"/>
  <c r="Q50" i="19"/>
  <c r="R50" i="19"/>
  <c r="S50" i="19"/>
  <c r="T50" i="19"/>
  <c r="K39" i="18"/>
  <c r="P49" i="19"/>
  <c r="Q49" i="19"/>
  <c r="S49" i="19"/>
  <c r="T49" i="19"/>
  <c r="R49" i="19"/>
  <c r="K43" i="18"/>
  <c r="S19" i="121"/>
  <c r="J43" i="18" s="1"/>
  <c r="D47" i="18"/>
  <c r="E4" i="34" s="1"/>
  <c r="I53" i="18"/>
  <c r="K53" i="18"/>
  <c r="E28" i="121"/>
  <c r="B9" i="121"/>
  <c r="H25" i="121"/>
  <c r="L54" i="18" s="1"/>
  <c r="H26" i="121"/>
  <c r="L55" i="18" s="1"/>
  <c r="H24" i="121"/>
  <c r="L53" i="18" l="1"/>
  <c r="H28" i="121"/>
  <c r="B19" i="121"/>
  <c r="I57" i="18"/>
  <c r="B18" i="121"/>
  <c r="K57" i="18"/>
  <c r="B49" i="18" s="1"/>
  <c r="D9" i="121"/>
  <c r="B5" i="18" l="1"/>
  <c r="B6" i="18"/>
  <c r="B8" i="121"/>
  <c r="B10" i="121" s="1"/>
  <c r="L57" i="18"/>
  <c r="B48" i="18" s="1"/>
  <c r="AB83" i="34" l="1"/>
  <c r="AB113" i="34"/>
  <c r="AB68" i="34"/>
  <c r="AB120" i="34"/>
  <c r="AB141" i="34"/>
  <c r="AB34" i="34"/>
  <c r="AB128" i="34"/>
  <c r="AB93" i="34"/>
  <c r="AB7" i="34"/>
  <c r="AB39" i="34"/>
  <c r="AB2" i="34"/>
  <c r="AB42" i="34"/>
  <c r="AB126" i="34"/>
  <c r="AB49" i="34"/>
  <c r="AB38" i="34"/>
  <c r="AB70" i="34"/>
  <c r="AB105" i="34"/>
  <c r="AB69" i="34"/>
  <c r="AB18" i="34"/>
  <c r="AB138" i="34"/>
  <c r="AB87" i="34"/>
  <c r="AB96" i="34"/>
  <c r="AB100" i="34"/>
  <c r="AB51" i="34"/>
  <c r="AB94" i="34"/>
  <c r="AB55" i="34"/>
  <c r="AB66" i="34"/>
  <c r="AB131" i="34"/>
  <c r="AB124" i="34"/>
  <c r="AB85" i="34"/>
  <c r="AB119" i="34"/>
  <c r="AB148" i="34"/>
  <c r="AB21" i="34"/>
  <c r="AB79" i="34"/>
  <c r="AB73" i="34"/>
  <c r="AB22" i="34"/>
  <c r="AB6" i="34"/>
  <c r="AB109" i="34"/>
  <c r="B5" i="34"/>
  <c r="AB123" i="34"/>
  <c r="AB30" i="34"/>
  <c r="AB133" i="34"/>
  <c r="AB35" i="34"/>
  <c r="AB72" i="34"/>
  <c r="AB92" i="34"/>
  <c r="AB106" i="34"/>
  <c r="AB46" i="34"/>
  <c r="AB32" i="34"/>
  <c r="AB4" i="34"/>
  <c r="AB5" i="34"/>
  <c r="AB112" i="34"/>
  <c r="AB137" i="34"/>
  <c r="AB86" i="34"/>
  <c r="AB54" i="34"/>
  <c r="AB33" i="34"/>
  <c r="AB140" i="34"/>
  <c r="AB47" i="34"/>
  <c r="AB121" i="34"/>
  <c r="AB135" i="34"/>
  <c r="AB24" i="34"/>
  <c r="AB102" i="34"/>
  <c r="AB91" i="34"/>
  <c r="AB48" i="34"/>
  <c r="AB16" i="34"/>
  <c r="AB84" i="34"/>
  <c r="AB61" i="34"/>
  <c r="AB95" i="34"/>
  <c r="AB50" i="34"/>
  <c r="AB80" i="34"/>
  <c r="AB116" i="34"/>
  <c r="AB28" i="34"/>
  <c r="AB59" i="34"/>
  <c r="AB136" i="34"/>
  <c r="AB132" i="34"/>
  <c r="AB14" i="34"/>
  <c r="AB29" i="34"/>
  <c r="AB23" i="34"/>
  <c r="AB150" i="34"/>
  <c r="AB76" i="34"/>
  <c r="AB98" i="34"/>
  <c r="AB65" i="34"/>
  <c r="AB19" i="34"/>
  <c r="AB53" i="34"/>
  <c r="AB110" i="34"/>
  <c r="AB11" i="34"/>
  <c r="AB12" i="34"/>
  <c r="AB129" i="34"/>
  <c r="AB26" i="34"/>
  <c r="AB52" i="34"/>
  <c r="AB114" i="34"/>
  <c r="AB115" i="34"/>
  <c r="AB43" i="34"/>
  <c r="AB15" i="34"/>
  <c r="AB1" i="34"/>
  <c r="AB125" i="34"/>
  <c r="AB81" i="34"/>
  <c r="AB130" i="34"/>
  <c r="AB127" i="34"/>
  <c r="AB10" i="34"/>
  <c r="AB17" i="34"/>
  <c r="AB117" i="34"/>
  <c r="AB82" i="34"/>
  <c r="AB13" i="34"/>
  <c r="AB37" i="34"/>
  <c r="AB27" i="34"/>
  <c r="AB139" i="34"/>
  <c r="AB78" i="34"/>
  <c r="AB144" i="34"/>
  <c r="AB75" i="34"/>
  <c r="B4" i="34"/>
  <c r="AB149" i="34"/>
  <c r="AB36" i="34"/>
  <c r="AB122" i="34"/>
  <c r="AB103" i="34"/>
  <c r="AB111" i="34"/>
  <c r="AB134" i="34"/>
  <c r="AB63" i="34"/>
  <c r="AB151" i="34"/>
  <c r="AB57" i="34"/>
  <c r="AB71" i="34"/>
  <c r="AB3" i="34"/>
  <c r="AB20" i="34"/>
  <c r="AB101" i="34"/>
  <c r="AB9" i="34"/>
  <c r="AB41" i="34"/>
  <c r="AB118" i="34"/>
  <c r="AB31" i="34"/>
  <c r="AB88" i="34"/>
  <c r="AB147" i="34"/>
  <c r="AB145" i="34"/>
  <c r="AB25" i="34"/>
  <c r="AB8" i="34"/>
  <c r="AB89" i="34"/>
  <c r="AB99" i="34"/>
  <c r="AB40" i="34"/>
  <c r="AB67" i="34"/>
  <c r="AB97" i="34"/>
  <c r="AB142" i="34"/>
  <c r="AB64" i="34"/>
  <c r="AB56" i="34"/>
  <c r="AB74" i="34"/>
  <c r="AB108" i="34"/>
  <c r="AB143" i="34"/>
  <c r="AB90" i="34"/>
  <c r="AB44" i="34"/>
  <c r="AB146" i="34"/>
  <c r="AB62" i="34"/>
  <c r="AB77" i="34"/>
  <c r="AB60" i="34"/>
  <c r="AB104" i="34"/>
  <c r="AB58" i="34"/>
  <c r="AB45" i="34"/>
  <c r="AB107" i="34"/>
  <c r="J7" i="18" l="1"/>
  <c r="I11" i="18"/>
  <c r="I32" i="18" s="1"/>
  <c r="O46" i="119"/>
  <c r="P25" i="119"/>
  <c r="P46" i="119" s="1"/>
  <c r="E26" i="119" l="1"/>
  <c r="E27" i="119" s="1"/>
  <c r="B26" i="119"/>
  <c r="B27" i="119" s="1"/>
  <c r="F26" i="119"/>
  <c r="F27" i="119" s="1"/>
  <c r="C26" i="119"/>
  <c r="C27" i="119" s="1"/>
  <c r="D26" i="119"/>
  <c r="D27" i="119" s="1"/>
  <c r="J11" i="18"/>
  <c r="J32" i="18" s="1"/>
  <c r="F20" i="119" l="1"/>
  <c r="F21" i="119"/>
  <c r="K1" i="119" s="1"/>
  <c r="F4" i="121" s="1"/>
  <c r="G18" i="121" l="1"/>
  <c r="H1" i="119"/>
  <c r="C4" i="121" s="1"/>
  <c r="D4" i="121" s="1"/>
  <c r="B13" i="121"/>
  <c r="E25" i="18" s="1"/>
  <c r="G17" i="121"/>
  <c r="E11" i="18"/>
  <c r="G4" i="121"/>
  <c r="B14" i="121" l="1"/>
  <c r="E26" i="18" s="1"/>
  <c r="B17" i="121"/>
  <c r="C11" i="18"/>
  <c r="D6" i="121"/>
  <c r="D11" i="18"/>
  <c r="B4" i="18"/>
  <c r="F11" i="18"/>
  <c r="F13" i="18" s="1"/>
  <c r="G6" i="121"/>
  <c r="E24" i="18"/>
  <c r="D12" i="121"/>
  <c r="G24" i="18" s="1"/>
  <c r="D13" i="18" l="1"/>
  <c r="B16" i="121"/>
  <c r="B20" i="121" l="1"/>
  <c r="B3" i="18"/>
  <c r="E2" i="34" l="1"/>
  <c r="B3" i="34" s="1"/>
  <c r="B2" i="34" s="1"/>
  <c r="B7" i="18"/>
  <c r="I1" i="131" s="1"/>
  <c r="E2" i="111" l="1"/>
  <c r="B3" i="111" s="1"/>
  <c r="B2" i="111" s="1"/>
  <c r="F7" i="18"/>
  <c r="S43" i="19"/>
  <c r="Q43" i="19"/>
  <c r="P43" i="19"/>
  <c r="R43" i="19"/>
  <c r="T43" i="19"/>
  <c r="AC26" i="34"/>
  <c r="AC113" i="34"/>
  <c r="AC96" i="34"/>
  <c r="AC144" i="34"/>
  <c r="AC126" i="34"/>
  <c r="AC121" i="34"/>
  <c r="AC88" i="34"/>
  <c r="AC4" i="34"/>
  <c r="AC35" i="34"/>
  <c r="AC37" i="34"/>
  <c r="AC110" i="34"/>
  <c r="AC9" i="34"/>
  <c r="AC30" i="34"/>
  <c r="AC21" i="34"/>
  <c r="AC141" i="34"/>
  <c r="AC117" i="34"/>
  <c r="AC105" i="34"/>
  <c r="AC23" i="34"/>
  <c r="AC7" i="34"/>
  <c r="AC24" i="34"/>
  <c r="AC116" i="34"/>
  <c r="AC70" i="34"/>
  <c r="AC34" i="34"/>
  <c r="AC90" i="34"/>
  <c r="AC40" i="34"/>
  <c r="AC1" i="34"/>
  <c r="AC31" i="34"/>
  <c r="AC84" i="34"/>
  <c r="AC98" i="34"/>
  <c r="AC28" i="34"/>
  <c r="AC48" i="34"/>
  <c r="AC74" i="34"/>
  <c r="AC49" i="34"/>
  <c r="AC71" i="34"/>
  <c r="AC6" i="34"/>
  <c r="AC99" i="34"/>
  <c r="AC11" i="34"/>
  <c r="AC68" i="34"/>
  <c r="AC61" i="34"/>
  <c r="AC146" i="34"/>
  <c r="AC86" i="34"/>
  <c r="AC104" i="34"/>
  <c r="AC19" i="34"/>
  <c r="AC143" i="34"/>
  <c r="AC75" i="34"/>
  <c r="AC2" i="34"/>
  <c r="AC76" i="34"/>
  <c r="AC18" i="34"/>
  <c r="AC83" i="34"/>
  <c r="AC92" i="34"/>
  <c r="AC114" i="34"/>
  <c r="AC108" i="34"/>
  <c r="AC58" i="34"/>
  <c r="AC87" i="34"/>
  <c r="AC109" i="34"/>
  <c r="AC51" i="34"/>
  <c r="AC43" i="34"/>
  <c r="AC54" i="34"/>
  <c r="AC127" i="34"/>
  <c r="AC65" i="34"/>
  <c r="AC148" i="34"/>
  <c r="AC89" i="34"/>
  <c r="AC64" i="34"/>
  <c r="AC45" i="34"/>
  <c r="AC32" i="34"/>
  <c r="AC85" i="34"/>
  <c r="AC123" i="34"/>
  <c r="AC139" i="34"/>
  <c r="AC15" i="34"/>
  <c r="AC106" i="34"/>
  <c r="AC56" i="34"/>
  <c r="AC20" i="34"/>
  <c r="AC80" i="34"/>
  <c r="AC135" i="34"/>
  <c r="AC38" i="34"/>
  <c r="AC63" i="34"/>
  <c r="AC46" i="34"/>
  <c r="AC81" i="34"/>
  <c r="AC52" i="34"/>
  <c r="AC82" i="34"/>
  <c r="AC147" i="34"/>
  <c r="AC112" i="34"/>
  <c r="AC17" i="34"/>
  <c r="AC120" i="34"/>
  <c r="AC137" i="34"/>
  <c r="AC132" i="34"/>
  <c r="AC118" i="34"/>
  <c r="AC119" i="34"/>
  <c r="AC59" i="34"/>
  <c r="AC122" i="34"/>
  <c r="AC8" i="34"/>
  <c r="AC93" i="34"/>
  <c r="AC95" i="34"/>
  <c r="AC66" i="34"/>
  <c r="AC27" i="34"/>
  <c r="AC97" i="34"/>
  <c r="AC53" i="34"/>
  <c r="AC3" i="34"/>
  <c r="AC91" i="34"/>
  <c r="AC44" i="34"/>
  <c r="AC79" i="34"/>
  <c r="AC73" i="34"/>
  <c r="AC103" i="34"/>
  <c r="AC138" i="34"/>
  <c r="AC115" i="34"/>
  <c r="AC16" i="34"/>
  <c r="AC151" i="34"/>
  <c r="AC130" i="34"/>
  <c r="AC100" i="34"/>
  <c r="AC50" i="34"/>
  <c r="AC33" i="34"/>
  <c r="AC125" i="34"/>
  <c r="AC77" i="34"/>
  <c r="AC128" i="34"/>
  <c r="AC14" i="34"/>
  <c r="AC78" i="34"/>
  <c r="AC36" i="34"/>
  <c r="AC107" i="34"/>
  <c r="AC124" i="34"/>
  <c r="AC131" i="34"/>
  <c r="AC150" i="34"/>
  <c r="AC42" i="34"/>
  <c r="AC72" i="34"/>
  <c r="AC10" i="34"/>
  <c r="AC129" i="34"/>
  <c r="AC101" i="34"/>
  <c r="AC133" i="34"/>
  <c r="AC57" i="34"/>
  <c r="AC136" i="34"/>
  <c r="AC60" i="34"/>
  <c r="AC39" i="34"/>
  <c r="AC62" i="34"/>
  <c r="AC67" i="34"/>
  <c r="AC102" i="34"/>
  <c r="AC12" i="34"/>
  <c r="AC22" i="34"/>
  <c r="AC13" i="34"/>
  <c r="AC41" i="34"/>
  <c r="AC134" i="34"/>
  <c r="AC140" i="34"/>
  <c r="AC111" i="34"/>
  <c r="AC69" i="34"/>
  <c r="AC149" i="34"/>
  <c r="AC29" i="34"/>
  <c r="AC5" i="34"/>
  <c r="AC145" i="34"/>
  <c r="AC142" i="34"/>
  <c r="AC25" i="34"/>
  <c r="AC94" i="34"/>
  <c r="AC55" i="34"/>
  <c r="AC47" i="34"/>
  <c r="AC63" i="111" l="1"/>
  <c r="AC2" i="111"/>
  <c r="AC23" i="111"/>
  <c r="AC5" i="111"/>
  <c r="AC146" i="111"/>
  <c r="AC99" i="111"/>
  <c r="AC140" i="111"/>
  <c r="AC58" i="111"/>
  <c r="AC68" i="111"/>
  <c r="AC118" i="111"/>
  <c r="AC83" i="111"/>
  <c r="AC131" i="111"/>
  <c r="AC37" i="111"/>
  <c r="AC95" i="111"/>
  <c r="AC29" i="111"/>
  <c r="AC111" i="111"/>
  <c r="AC92" i="111"/>
  <c r="AC116" i="111"/>
  <c r="AC40" i="111"/>
  <c r="AC132" i="111"/>
  <c r="AC125" i="111"/>
  <c r="AC54" i="111"/>
  <c r="AC15" i="111"/>
  <c r="AC109" i="111"/>
  <c r="AC135" i="111"/>
  <c r="AC113" i="111"/>
  <c r="AC1" i="111"/>
  <c r="AC90" i="111"/>
  <c r="AC49" i="111"/>
  <c r="AC148" i="111"/>
  <c r="AC93" i="111"/>
  <c r="AC85" i="111"/>
  <c r="AC81" i="111"/>
  <c r="AC73" i="111"/>
  <c r="AC30" i="111"/>
  <c r="AC82" i="111"/>
  <c r="AC6" i="111"/>
  <c r="AC128" i="111"/>
  <c r="AC75" i="111"/>
  <c r="AC67" i="111"/>
  <c r="AC31" i="111"/>
  <c r="AC100" i="111"/>
  <c r="AC57" i="111"/>
  <c r="AC50" i="111"/>
  <c r="AC26" i="111"/>
  <c r="AC45" i="111"/>
  <c r="AC133" i="111"/>
  <c r="AC35" i="111"/>
  <c r="AC120" i="111"/>
  <c r="AC108" i="111"/>
  <c r="AC124" i="111"/>
  <c r="AC27" i="111"/>
  <c r="AC110" i="111"/>
  <c r="AC51" i="111"/>
  <c r="AC102" i="111"/>
  <c r="AC91" i="111"/>
  <c r="AC117" i="111"/>
  <c r="AC39" i="111"/>
  <c r="AC59" i="111"/>
  <c r="AC79" i="111"/>
  <c r="AC19" i="111"/>
  <c r="AC141" i="111"/>
  <c r="AC10" i="111"/>
  <c r="AC48" i="111"/>
  <c r="AC21" i="111"/>
  <c r="AC60" i="111"/>
  <c r="AC25" i="111"/>
  <c r="AC105" i="111"/>
  <c r="AC122" i="111"/>
  <c r="AC7" i="111"/>
  <c r="AC53" i="111"/>
  <c r="AC62" i="111"/>
  <c r="AC114" i="111"/>
  <c r="AC103" i="111"/>
  <c r="AC130" i="111"/>
  <c r="AC96" i="111"/>
  <c r="AC22" i="111"/>
  <c r="AC24" i="111"/>
  <c r="AC34" i="111"/>
  <c r="AC134" i="111"/>
  <c r="AC121" i="111"/>
  <c r="AC13" i="111"/>
  <c r="AC84" i="111"/>
  <c r="AC76" i="111"/>
  <c r="AC101" i="111"/>
  <c r="AC43" i="111"/>
  <c r="AC52" i="111"/>
  <c r="AC70" i="111"/>
  <c r="AC98" i="111"/>
  <c r="AC87" i="111"/>
  <c r="AC18" i="111"/>
  <c r="AC136" i="111"/>
  <c r="AC28" i="111"/>
  <c r="AC14" i="111"/>
  <c r="AC150" i="111"/>
  <c r="AC147" i="111"/>
  <c r="AC142" i="111"/>
  <c r="AC151" i="111"/>
  <c r="AC33" i="111"/>
  <c r="AC71" i="111"/>
  <c r="AC86" i="111"/>
  <c r="AC88" i="111"/>
  <c r="AC144" i="111"/>
  <c r="AC64" i="111"/>
  <c r="AC149" i="111"/>
  <c r="AC145" i="111"/>
  <c r="AC143" i="111"/>
  <c r="AC36" i="111"/>
  <c r="AC20" i="111"/>
  <c r="AC94" i="111"/>
  <c r="AC11" i="111"/>
  <c r="AC112" i="111"/>
  <c r="AC78" i="111"/>
  <c r="AC47" i="111"/>
  <c r="AC65" i="111"/>
  <c r="AC61" i="111"/>
  <c r="AC126" i="111"/>
  <c r="AC42" i="111"/>
  <c r="AC69" i="111"/>
  <c r="AC8" i="111"/>
  <c r="AC9" i="111"/>
  <c r="AC46" i="111"/>
  <c r="AC97" i="111"/>
  <c r="AC137" i="111"/>
  <c r="AC106" i="111"/>
  <c r="AC119" i="111"/>
  <c r="AC74" i="111"/>
  <c r="AC104" i="111"/>
  <c r="AC80" i="111"/>
  <c r="AC129" i="111"/>
  <c r="AC4" i="111"/>
  <c r="AC139" i="111"/>
  <c r="AC66" i="111"/>
  <c r="AC3" i="111"/>
  <c r="AC17" i="111"/>
  <c r="AC44" i="111"/>
  <c r="AC12" i="111"/>
  <c r="AC123" i="111"/>
  <c r="AC72" i="111"/>
  <c r="AC107" i="111"/>
  <c r="AC77" i="111"/>
  <c r="AC56" i="111"/>
  <c r="AC138" i="111"/>
  <c r="AC16" i="111"/>
  <c r="AC38" i="111"/>
  <c r="AC32" i="111"/>
  <c r="AC89" i="111"/>
  <c r="AC55" i="111"/>
  <c r="AC41" i="111"/>
  <c r="AC127" i="111"/>
  <c r="AC115" i="111"/>
</calcChain>
</file>

<file path=xl/sharedStrings.xml><?xml version="1.0" encoding="utf-8"?>
<sst xmlns="http://schemas.openxmlformats.org/spreadsheetml/2006/main" count="5820" uniqueCount="433">
  <si>
    <t>Pattern</t>
  </si>
  <si>
    <t>Reel1</t>
  </si>
  <si>
    <t>Reel2</t>
  </si>
  <si>
    <t>Reel3</t>
  </si>
  <si>
    <t>Reel4</t>
  </si>
  <si>
    <t>Reel5</t>
  </si>
  <si>
    <t>Total</t>
  </si>
  <si>
    <t>Chances</t>
  </si>
  <si>
    <t>Number of Symbol</t>
  </si>
  <si>
    <t>EV</t>
  </si>
  <si>
    <t>RTP:</t>
  </si>
  <si>
    <t>Total:</t>
  </si>
  <si>
    <t>Chance</t>
  </si>
  <si>
    <t>Game Concept</t>
  </si>
  <si>
    <t>Symbols</t>
  </si>
  <si>
    <t>Total Bet Amount/spin:</t>
  </si>
  <si>
    <t>Analysis:</t>
  </si>
  <si>
    <r>
      <t>Volatility index determines the overall "game feel". Standard online Slots has a Volatility Index of</t>
    </r>
    <r>
      <rPr>
        <b/>
        <sz val="11"/>
        <color theme="1"/>
        <rFont val="Calibri"/>
        <family val="2"/>
        <scheme val="minor"/>
      </rPr>
      <t xml:space="preserve"> 4.0 - 10.0</t>
    </r>
  </si>
  <si>
    <t>Average Win:</t>
  </si>
  <si>
    <r>
      <t xml:space="preserve">Take for example a Slot game with volatility of </t>
    </r>
    <r>
      <rPr>
        <b/>
        <sz val="11"/>
        <color theme="1"/>
        <rFont val="Calibri"/>
        <family val="2"/>
        <scheme val="minor"/>
      </rPr>
      <t>1.0</t>
    </r>
    <r>
      <rPr>
        <sz val="11"/>
        <color theme="1"/>
        <rFont val="Calibri"/>
        <family val="2"/>
        <scheme val="minor"/>
      </rPr>
      <t xml:space="preserve">, it will have the same "game feel" as someone playing </t>
    </r>
    <r>
      <rPr>
        <b/>
        <sz val="11"/>
        <color theme="1"/>
        <rFont val="Calibri"/>
        <family val="2"/>
        <scheme val="minor"/>
      </rPr>
      <t>"Baccarat"</t>
    </r>
    <r>
      <rPr>
        <sz val="11"/>
        <color theme="1"/>
        <rFont val="Calibri"/>
        <family val="2"/>
        <scheme val="minor"/>
      </rPr>
      <t xml:space="preserve"> or </t>
    </r>
    <r>
      <rPr>
        <b/>
        <sz val="11"/>
        <color theme="1"/>
        <rFont val="Calibri"/>
        <family val="2"/>
        <scheme val="minor"/>
      </rPr>
      <t>"Toss coin"</t>
    </r>
    <r>
      <rPr>
        <sz val="11"/>
        <color theme="1"/>
        <rFont val="Calibri"/>
        <family val="2"/>
        <scheme val="minor"/>
      </rPr>
      <t xml:space="preserve"> game</t>
    </r>
  </si>
  <si>
    <t>House Edge:</t>
  </si>
  <si>
    <t>Volatility Index:</t>
  </si>
  <si>
    <r>
      <t xml:space="preserve">Or a Slot game w/ Volatility close to </t>
    </r>
    <r>
      <rPr>
        <b/>
        <sz val="11"/>
        <color theme="1"/>
        <rFont val="Calibri"/>
        <family val="2"/>
        <scheme val="minor"/>
      </rPr>
      <t>"zero"</t>
    </r>
    <r>
      <rPr>
        <sz val="11"/>
        <color theme="1"/>
        <rFont val="Calibri"/>
        <family val="2"/>
        <scheme val="minor"/>
      </rPr>
      <t>, on every spin he will have the same return everytime. So even we make RTP close to 100% the game won't be good. This makes "Volatility" a critical factor in game designing</t>
    </r>
  </si>
  <si>
    <t>Volatiltiy for n spins</t>
  </si>
  <si>
    <t>No. #spins:</t>
  </si>
  <si>
    <t>Total Turnover:</t>
  </si>
  <si>
    <r>
      <t xml:space="preserve">The Horizontal axis is Player </t>
    </r>
    <r>
      <rPr>
        <b/>
        <sz val="11"/>
        <color theme="1"/>
        <rFont val="Calibri"/>
        <family val="2"/>
        <scheme val="minor"/>
      </rPr>
      <t>"Win/Loss"</t>
    </r>
    <r>
      <rPr>
        <sz val="11"/>
        <color theme="1"/>
        <rFont val="Calibri"/>
        <family val="2"/>
        <scheme val="minor"/>
      </rPr>
      <t xml:space="preserve"> after </t>
    </r>
    <r>
      <rPr>
        <b/>
        <sz val="11"/>
        <color theme="1"/>
        <rFont val="Calibri"/>
        <family val="2"/>
        <scheme val="minor"/>
      </rPr>
      <t>"n"</t>
    </r>
    <r>
      <rPr>
        <sz val="11"/>
        <color theme="1"/>
        <rFont val="Calibri"/>
        <family val="2"/>
        <scheme val="minor"/>
      </rPr>
      <t xml:space="preserve"> spins are completed. Assuming 1 unit of bet on each spin</t>
    </r>
  </si>
  <si>
    <r>
      <t>The Vertical Axis (represented by Blue dotted line) is the</t>
    </r>
    <r>
      <rPr>
        <b/>
        <sz val="11"/>
        <color theme="1"/>
        <rFont val="Calibri"/>
        <family val="2"/>
        <scheme val="minor"/>
      </rPr>
      <t xml:space="preserve"> % Distribution</t>
    </r>
    <r>
      <rPr>
        <sz val="11"/>
        <color theme="1"/>
        <rFont val="Calibri"/>
        <family val="2"/>
        <scheme val="minor"/>
      </rPr>
      <t xml:space="preserve"> or </t>
    </r>
    <r>
      <rPr>
        <b/>
        <sz val="11"/>
        <color theme="1"/>
        <rFont val="Calibri"/>
        <family val="2"/>
        <scheme val="minor"/>
      </rPr>
      <t>"volume"</t>
    </r>
    <r>
      <rPr>
        <sz val="11"/>
        <color theme="1"/>
        <rFont val="Calibri"/>
        <family val="2"/>
        <scheme val="minor"/>
      </rPr>
      <t xml:space="preserve"> of players after each of them completed </t>
    </r>
    <r>
      <rPr>
        <b/>
        <sz val="11"/>
        <color theme="1"/>
        <rFont val="Calibri"/>
        <family val="2"/>
        <scheme val="minor"/>
      </rPr>
      <t xml:space="preserve">"n" </t>
    </r>
    <r>
      <rPr>
        <sz val="11"/>
        <color theme="1"/>
        <rFont val="Calibri"/>
        <family val="2"/>
        <scheme val="minor"/>
      </rPr>
      <t>spins. We can imagine the whole area inside the curve as "Pie Chart"</t>
    </r>
  </si>
  <si>
    <t>Note:</t>
  </si>
  <si>
    <t>Red Fonts are adjustable values</t>
  </si>
  <si>
    <r>
      <t>Kindly notice the majority of players will end up at the</t>
    </r>
    <r>
      <rPr>
        <b/>
        <sz val="11"/>
        <color theme="1"/>
        <rFont val="Calibri"/>
        <family val="2"/>
        <scheme val="minor"/>
      </rPr>
      <t xml:space="preserve"> Cell: B2 </t>
    </r>
    <r>
      <rPr>
        <sz val="11"/>
        <color theme="1"/>
        <rFont val="Calibri"/>
        <family val="2"/>
        <scheme val="minor"/>
      </rPr>
      <t xml:space="preserve">units mark which is the most expected result. </t>
    </r>
    <r>
      <rPr>
        <b/>
        <sz val="11"/>
        <color theme="1"/>
        <rFont val="Calibri"/>
        <family val="2"/>
        <scheme val="minor"/>
      </rPr>
      <t xml:space="preserve"> %House Edge x Turnover = Ave. Win/Loss result</t>
    </r>
  </si>
  <si>
    <t>Win Range(Lower)</t>
  </si>
  <si>
    <t>Win Range(Upper)</t>
  </si>
  <si>
    <t>HF</t>
  </si>
  <si>
    <t>HF 100</t>
  </si>
  <si>
    <t>RTP Distribution</t>
  </si>
  <si>
    <t>W</t>
  </si>
  <si>
    <t>H1</t>
  </si>
  <si>
    <t>H2</t>
  </si>
  <si>
    <t>H3</t>
  </si>
  <si>
    <t>H4</t>
  </si>
  <si>
    <t>L1</t>
  </si>
  <si>
    <t>L2</t>
  </si>
  <si>
    <t>L3</t>
  </si>
  <si>
    <t>L4</t>
  </si>
  <si>
    <t>3Hit</t>
  </si>
  <si>
    <t>4Hit</t>
  </si>
  <si>
    <t>5Hit</t>
  </si>
  <si>
    <t>Math Payout</t>
  </si>
  <si>
    <t>"L1",</t>
  </si>
  <si>
    <t>"L2",</t>
  </si>
  <si>
    <t>"L3",</t>
  </si>
  <si>
    <t>"L4",</t>
  </si>
  <si>
    <t>"H4",</t>
  </si>
  <si>
    <t>"H3",</t>
  </si>
  <si>
    <t>"H2",</t>
  </si>
  <si>
    <t>"H1",</t>
  </si>
  <si>
    <t>"W",</t>
  </si>
  <si>
    <t>RTP</t>
  </si>
  <si>
    <t>QH</t>
  </si>
  <si>
    <t>"QH",</t>
  </si>
  <si>
    <t>Math Sheet</t>
  </si>
  <si>
    <t>No</t>
  </si>
  <si>
    <t>Yes</t>
  </si>
  <si>
    <t>FlowChart</t>
  </si>
  <si>
    <t>rn1</t>
  </si>
  <si>
    <t>rn1,</t>
  </si>
  <si>
    <t>Random Symbols</t>
  </si>
  <si>
    <t>Base Hit Rate:</t>
  </si>
  <si>
    <t>Base Win Rate:</t>
  </si>
  <si>
    <t>Full Game Hit Rate:</t>
  </si>
  <si>
    <t>Full Game Win Rate:</t>
  </si>
  <si>
    <t>Highest pay per line</t>
  </si>
  <si>
    <t>Base RTP:</t>
  </si>
  <si>
    <t>Value</t>
  </si>
  <si>
    <t>Bonus Game</t>
  </si>
  <si>
    <t>Ave. Win:</t>
  </si>
  <si>
    <t>Full Game</t>
  </si>
  <si>
    <t>Base Game</t>
  </si>
  <si>
    <t>Bonus RTP:</t>
  </si>
  <si>
    <t>or 1 in</t>
  </si>
  <si>
    <t>Diagram</t>
  </si>
  <si>
    <t xml:space="preserve">          No</t>
  </si>
  <si>
    <t>Final RTP:</t>
  </si>
  <si>
    <t>40 Lines Left - Right</t>
  </si>
  <si>
    <t>4x5 Slot Grid</t>
  </si>
  <si>
    <t>No. of Respin:</t>
  </si>
  <si>
    <t>Chance of Hit:</t>
  </si>
  <si>
    <t>Chance of no Hit:</t>
  </si>
  <si>
    <t>Prize Distribution</t>
  </si>
  <si>
    <t>Chance of no hit (20slots):</t>
  </si>
  <si>
    <t>Ave. no of Hits:</t>
  </si>
  <si>
    <t>No. of Slot:</t>
  </si>
  <si>
    <t>C</t>
  </si>
  <si>
    <t>Chance of Collect:</t>
  </si>
  <si>
    <t>QH RTP:</t>
  </si>
  <si>
    <t xml:space="preserve">  or 1  in</t>
  </si>
  <si>
    <t>Ave Win:</t>
  </si>
  <si>
    <t>Chance:</t>
  </si>
  <si>
    <t>QH Ave Win:</t>
  </si>
  <si>
    <t>Summary</t>
  </si>
  <si>
    <t>BaseA</t>
  </si>
  <si>
    <t>BaseB</t>
  </si>
  <si>
    <t>Base RTP</t>
  </si>
  <si>
    <t>Bonus Chance:</t>
  </si>
  <si>
    <t xml:space="preserve">  or  1 in </t>
  </si>
  <si>
    <t>Collect RTP:</t>
  </si>
  <si>
    <t>"C",</t>
  </si>
  <si>
    <t>Base Reelset Distribution</t>
  </si>
  <si>
    <t>QH Collect Feature</t>
  </si>
  <si>
    <t>x totalbet</t>
  </si>
  <si>
    <t>Base Collect Feature RTP:</t>
  </si>
  <si>
    <t>QH Multiplier/Symbol</t>
  </si>
  <si>
    <t>Ave. Win</t>
  </si>
  <si>
    <t>No. of Simul rounds:</t>
  </si>
  <si>
    <t>Ave. Win per bonus session:</t>
  </si>
  <si>
    <t>Ave. no. of Hits</t>
  </si>
  <si>
    <t>Max Win:</t>
  </si>
  <si>
    <t>Chance(Pulls/Hit):</t>
  </si>
  <si>
    <t>Jackpot RTP:</t>
  </si>
  <si>
    <t>No. of Symbol Hits</t>
  </si>
  <si>
    <t>No. of Hits</t>
  </si>
  <si>
    <t>Total Win</t>
  </si>
  <si>
    <t>Hit/Session</t>
  </si>
  <si>
    <t>spins</t>
  </si>
  <si>
    <t>Pulls/Hit</t>
  </si>
  <si>
    <t>BaseC</t>
  </si>
  <si>
    <t>Collect Ave Win:</t>
  </si>
  <si>
    <t xml:space="preserve">  Yes</t>
  </si>
  <si>
    <t>No. of Spins before Exhaustion</t>
  </si>
  <si>
    <t>Spin Test:</t>
  </si>
  <si>
    <t>players</t>
  </si>
  <si>
    <t>Range</t>
  </si>
  <si>
    <t>Low</t>
  </si>
  <si>
    <t>High</t>
  </si>
  <si>
    <t>Count</t>
  </si>
  <si>
    <t>Percentage</t>
  </si>
  <si>
    <t>Median:</t>
  </si>
  <si>
    <t xml:space="preserve"> &lt;</t>
  </si>
  <si>
    <t>Mode:</t>
  </si>
  <si>
    <t>Ave. no . of Spins(Middle 60%):</t>
  </si>
  <si>
    <t>QH Stacked</t>
  </si>
  <si>
    <t>3's</t>
  </si>
  <si>
    <t>2's</t>
  </si>
  <si>
    <t>1's</t>
  </si>
  <si>
    <t>QH Count</t>
  </si>
  <si>
    <t>Chance of at least 1 Bronze</t>
  </si>
  <si>
    <t>Chance of at least 1 Silver</t>
  </si>
  <si>
    <t>Chance of at least 1 Gold</t>
  </si>
  <si>
    <t>Collect Bonus Game</t>
  </si>
  <si>
    <t>Coin to Cup</t>
  </si>
  <si>
    <t>Conversion to Bonus Game</t>
  </si>
  <si>
    <t>Bonus Game Chance</t>
  </si>
  <si>
    <t>Bonus Type</t>
  </si>
  <si>
    <t>Bonus Ave Win:</t>
  </si>
  <si>
    <t>Pulls/hit</t>
  </si>
  <si>
    <t>Ave Win</t>
  </si>
  <si>
    <t>Bonus Game RTP:</t>
  </si>
  <si>
    <t>Payline RTP:</t>
  </si>
  <si>
    <t>Bonus Game:</t>
  </si>
  <si>
    <t>Bonus Game Feature Distribution</t>
  </si>
  <si>
    <t>Total Ave Win</t>
  </si>
  <si>
    <t>Coin Conversion to Bonus Game</t>
  </si>
  <si>
    <t>Bonus Ave. Win:</t>
  </si>
  <si>
    <t>Initial no. of Spins:</t>
  </si>
  <si>
    <t>$$$ QH wins</t>
  </si>
  <si>
    <t xml:space="preserve">      Yes</t>
  </si>
  <si>
    <t xml:space="preserve">  No</t>
  </si>
  <si>
    <t>Coin to Cup Pulls/hit</t>
  </si>
  <si>
    <t>Jackpot</t>
  </si>
  <si>
    <t>Multiplier</t>
  </si>
  <si>
    <t>Minimum bet 0.10</t>
  </si>
  <si>
    <t>Bonus1</t>
  </si>
  <si>
    <t>H5</t>
  </si>
  <si>
    <t>"H5",</t>
  </si>
  <si>
    <t>Bonus2</t>
  </si>
  <si>
    <t>Bonus3</t>
  </si>
  <si>
    <t>Ultra-Fireball Chance</t>
  </si>
  <si>
    <t>Ultra-Fireball EV</t>
  </si>
  <si>
    <t>Symbol hit per slot</t>
  </si>
  <si>
    <t>Bonus Game3</t>
  </si>
  <si>
    <t>BaseQH Distribution</t>
  </si>
  <si>
    <t>Chance of Coin Type in Base</t>
  </si>
  <si>
    <t>Bonus Game1</t>
  </si>
  <si>
    <t>Character Symbols -  H1, H2, H3, H4, H5</t>
  </si>
  <si>
    <t>Card Symbols - L1, L2, L3, L4</t>
  </si>
  <si>
    <t>rn1 - turns to any symbol except QH and Collect symbols</t>
  </si>
  <si>
    <t>Each QHs will generate random value from 0.5x to 50x the totalbet</t>
  </si>
  <si>
    <t>Wild - "W" replaces any symbol except QH and Collect symbols</t>
  </si>
  <si>
    <t>Bonus Game2</t>
  </si>
  <si>
    <t>3x</t>
  </si>
  <si>
    <t>Jackpot Collect Feature</t>
  </si>
  <si>
    <t xml:space="preserve">Note: </t>
  </si>
  <si>
    <t xml:space="preserve">            Yes</t>
  </si>
  <si>
    <t xml:space="preserve">        Yes</t>
  </si>
  <si>
    <t>Mini</t>
  </si>
  <si>
    <t>Maxi</t>
  </si>
  <si>
    <t>Grand</t>
  </si>
  <si>
    <t>Type</t>
  </si>
  <si>
    <t>No. of Slots</t>
  </si>
  <si>
    <t>Chance of Increment:</t>
  </si>
  <si>
    <t>Chance of Increment in BaseA:</t>
  </si>
  <si>
    <t>Average Win</t>
  </si>
  <si>
    <t>Jackpot Pulls/Hit</t>
  </si>
  <si>
    <t>Min Jackpot Win</t>
  </si>
  <si>
    <t>Max Jackpot Win</t>
  </si>
  <si>
    <t>Token %Distribution</t>
  </si>
  <si>
    <t>Jackpot Symbol Chance/New Hit:</t>
  </si>
  <si>
    <t>No. of Tokens Required</t>
  </si>
  <si>
    <t>Ave no. of Symbol hits</t>
  </si>
  <si>
    <t>Paytable</t>
  </si>
  <si>
    <t>Hit Rate</t>
  </si>
  <si>
    <t>SD</t>
  </si>
  <si>
    <t>Hit chance</t>
  </si>
  <si>
    <t>1 in X spins</t>
  </si>
  <si>
    <t>Average Win (times bet)</t>
  </si>
  <si>
    <t>Base Payline:</t>
  </si>
  <si>
    <t>Full Game:</t>
  </si>
  <si>
    <t>Max Win / Max Odds</t>
  </si>
  <si>
    <t>Max Odds</t>
  </si>
  <si>
    <t>Any Win:</t>
  </si>
  <si>
    <t>Greater Than 5x in Base Game:</t>
  </si>
  <si>
    <t>Bonus Game1:</t>
  </si>
  <si>
    <t>Bonus Game2:</t>
  </si>
  <si>
    <t>Bonus Game3:</t>
  </si>
  <si>
    <t>Base Collect Win:</t>
  </si>
  <si>
    <t>Mini:</t>
  </si>
  <si>
    <t>Midi:</t>
  </si>
  <si>
    <t>Maxi:</t>
  </si>
  <si>
    <t>Grand:</t>
  </si>
  <si>
    <t>QH Chance</t>
  </si>
  <si>
    <t>Hit:</t>
  </si>
  <si>
    <t>No Hit:</t>
  </si>
  <si>
    <t>Chance of no QH:</t>
  </si>
  <si>
    <t>Chance of QH:</t>
  </si>
  <si>
    <t>Chance of a Win:</t>
  </si>
  <si>
    <t>Increment %Distribution</t>
  </si>
  <si>
    <t>Increment Value</t>
  </si>
  <si>
    <t>Jackpot Hit Chance</t>
  </si>
  <si>
    <t>Chance/Spin</t>
  </si>
  <si>
    <t>Ave no. of Hit</t>
  </si>
  <si>
    <t>Jackpot Token Chance/Spin:</t>
  </si>
  <si>
    <t>Collect QH:</t>
  </si>
  <si>
    <t>Multiplier:</t>
  </si>
  <si>
    <t>Maximizer:</t>
  </si>
  <si>
    <t>4Fireballs:</t>
  </si>
  <si>
    <t>Ave no. of Coins to Cup</t>
  </si>
  <si>
    <t>Bonus3 Multiplier (Does not Stick)</t>
  </si>
  <si>
    <t>Feature Chance per Bonus Spin:</t>
  </si>
  <si>
    <t>Maximizer Chance per Bonus Spin:</t>
  </si>
  <si>
    <t>Feature Ave no. of hit per Bonus session:</t>
  </si>
  <si>
    <t>Maximizer Ave no. of hit per Bonus session:</t>
  </si>
  <si>
    <t>Base Collect Feature</t>
  </si>
  <si>
    <t>In Base game, if a certain jackpot type reaches its maximum value then the increment will randomly choose other jackpot type</t>
  </si>
  <si>
    <t>Bonus Game1 - w Fireball Feature</t>
  </si>
  <si>
    <t>Each Jackpot type can only be awarded one time per bonus session</t>
  </si>
  <si>
    <t>Each of the position spins independently and can award "QH", "Maximizer, "Fireball" or "blank"</t>
  </si>
  <si>
    <t>Bonus Game2 - w Collect Feature</t>
  </si>
  <si>
    <t>Similar to Bonus Game1 but Fireball feature is replaced by Collect symbol</t>
  </si>
  <si>
    <t>Award 3spins that resets on every hit (From QH, Maximizer or Fireball)</t>
  </si>
  <si>
    <t>10x</t>
  </si>
  <si>
    <t>Bonus Game3 - w Multiplier</t>
  </si>
  <si>
    <t>Similar to Bonus Game1 and Bonus Game2 but Fireball and Collect feature is replaced by Multiplier symbol</t>
  </si>
  <si>
    <t xml:space="preserve">   Yes</t>
  </si>
  <si>
    <t xml:space="preserve">Once a meter is fllled, Jackpot will then be awarded and resets back to its starting value after the Bonus session. </t>
  </si>
  <si>
    <t>Everytime BaseA is selected there is a chance a subscript is attached on a normal symbol or Wild symbol</t>
  </si>
  <si>
    <t>QH Ave Win(Collect on Reel1):</t>
  </si>
  <si>
    <t>QH Ave Win(Collect on Reel5):</t>
  </si>
  <si>
    <t>Chance of Collect(Collect on Reel1):</t>
  </si>
  <si>
    <t>Chance of Collect(Collect on Reel5):</t>
  </si>
  <si>
    <t>QH on Reel1 to 4</t>
  </si>
  <si>
    <t>QH on Reel2 to 5</t>
  </si>
  <si>
    <t>Collect Win Chance:</t>
  </si>
  <si>
    <t>Midi</t>
  </si>
  <si>
    <t>Mirrorhit:</t>
  </si>
  <si>
    <t>Chance of at least 1 Platinum</t>
  </si>
  <si>
    <t>Bonus4</t>
  </si>
  <si>
    <t>Bonus Game4</t>
  </si>
  <si>
    <t>Chance of no win:</t>
  </si>
  <si>
    <t>Bronze</t>
  </si>
  <si>
    <t>Silver</t>
  </si>
  <si>
    <t>Gold</t>
  </si>
  <si>
    <t>Platinum</t>
  </si>
  <si>
    <t>Bonus Game Token Chance:</t>
  </si>
  <si>
    <t>Bonus Game1(Including Fireball)</t>
  </si>
  <si>
    <t>Bonus Game4(Including Mirror Feature)</t>
  </si>
  <si>
    <t>Type of Coin in Base in BaseB and BaseC</t>
  </si>
  <si>
    <t>Bonus Game4:</t>
  </si>
  <si>
    <t>4 Different Lock it Link bonus game</t>
  </si>
  <si>
    <t>C - appears on BaseB and BaseC on Reel1 and Reel5 and triggers immediate win for any QHs appearing on Reels</t>
  </si>
  <si>
    <t>Collect symbol "C" appearing on reel1 and reel5 will award  multiplier win on any QHs appearing on the Reels</t>
  </si>
  <si>
    <t>The QHs have Four different types and can trigger 4 different types of Bonus game</t>
  </si>
  <si>
    <t>Only 1 Bonus game can be trigger per paid spin with the ff. order of priority Bonus1, Bonus2, Bonus3, Bonus4</t>
  </si>
  <si>
    <t>This subscript will add values to any of the Four jackpots</t>
  </si>
  <si>
    <t>During any of the 4 bonus game, a Jackpot Token can be attached on a QH symbol but not on Maximizer nor any of the 4 Bonus Feature symbol</t>
  </si>
  <si>
    <t>This token will fill one of the four Jackpot Meter</t>
  </si>
  <si>
    <t>Played on two 4x5 slot grid</t>
  </si>
  <si>
    <t>Each Slot Grid are played independently</t>
  </si>
  <si>
    <t>Maximizer will increase all the four Jackpot values for only that session</t>
  </si>
  <si>
    <t>Jackpot token can only be attached to a QH symbol but can only appear one time per spin</t>
  </si>
  <si>
    <t>"QH" and Fireball sticks while Maximizer doesn't and can only appear one time per bonus session</t>
  </si>
  <si>
    <t>Fireball QH sticks and increases value of 4 other QHs. It then transform itself to a normal QH.</t>
  </si>
  <si>
    <t>Fireball can appear up to two times per spin (One per Slot Grid) and can appear multiple times per Bonus session</t>
  </si>
  <si>
    <t>Maximizer feature cannot appear at the same time on the same Slot Grid with Fireball Feature</t>
  </si>
  <si>
    <t>Collect symbol sticks and can appear up to two times per spin (One per Slot Grid) and can appear multiple times per Bonus session</t>
  </si>
  <si>
    <t>Once appeared it will collect all QH values from its Slot Grid</t>
  </si>
  <si>
    <t>Maximizer feature cannot appear at the same time on the same Slot Grid with Collect Feature</t>
  </si>
  <si>
    <t>Multiplier can appear up to two times per spin (One per Slot Grid) and can appear multiple times per Bonus session</t>
  </si>
  <si>
    <t>Multiplier symbol does not stick</t>
  </si>
  <si>
    <t>Multiplier symbol can be 2x, 3x, 4x or 5x and will multiply immediately all QH symbols on its corresponding Slot grid</t>
  </si>
  <si>
    <t>Maximizer feature cannot appear at the same time on the same Slot Grid with Multiplier Feature</t>
  </si>
  <si>
    <t>Multiplier feature cannot be trigger if there is no QH on its Slot Grid</t>
  </si>
  <si>
    <t>Collect feature cannot be trigger if there is no QH on its Slot Grid</t>
  </si>
  <si>
    <t>Fireball feature cannot be trigger if there is no QH on its Slot Grid</t>
  </si>
  <si>
    <t>Bonus Game4 - w Mirror</t>
  </si>
  <si>
    <t>Similar to Bonus Game1, Bonus Game2 and Bonus Game3 but Fireball, Collect and Multiplier feature is replaced by Mirror symbol</t>
  </si>
  <si>
    <t>Mirror Feature can be trigger even the Slot Grid is empty</t>
  </si>
  <si>
    <t xml:space="preserve">If the Slot Grid position that is being mirrored is empty then its spin counter will reset but if it is not empty then it wont reset </t>
  </si>
  <si>
    <t xml:space="preserve">Mirror symbol sticks and generates QH values and it mirrors its value into the other Slot Grid </t>
  </si>
  <si>
    <t xml:space="preserve">If the mirrored position contains already QH , then mirrored value will just be added </t>
  </si>
  <si>
    <t>Example1</t>
  </si>
  <si>
    <t>Slot Grid1</t>
  </si>
  <si>
    <t>Slot Grid2</t>
  </si>
  <si>
    <t>5x</t>
  </si>
  <si>
    <t>Mirror - 20x</t>
  </si>
  <si>
    <t>Mirrored 20x</t>
  </si>
  <si>
    <t>Example2</t>
  </si>
  <si>
    <t>Example3</t>
  </si>
  <si>
    <t>Mirror - 15x</t>
  </si>
  <si>
    <t>Mirrored - 20x + 15x</t>
  </si>
  <si>
    <t>Mirrored - 20x + 10x</t>
  </si>
  <si>
    <t>20x</t>
  </si>
  <si>
    <t>Mirror symbol can appear up to Three times per spin (Either on Slot Grid 1 or 2) and can appear multiple times per Bonus session</t>
  </si>
  <si>
    <t>Maximizer feature cannot appear at the same time with Mirror Feature</t>
  </si>
  <si>
    <t>Changes from Old V1 94%</t>
  </si>
  <si>
    <t>1.) Maximum of only 3 Mirror Feature can appear per spin on Bonus Game4</t>
  </si>
  <si>
    <t>2.) Maximizer Feature cannot appear at the same time with Mirror Feature on Bonus Game4</t>
  </si>
  <si>
    <r>
      <t xml:space="preserve">3.) New Mirror Feature Trigger Chance for Bonus Game4. </t>
    </r>
    <r>
      <rPr>
        <sz val="11"/>
        <color rgb="FFFF0000"/>
        <rFont val="Calibri"/>
        <family val="2"/>
        <scheme val="minor"/>
      </rPr>
      <t>"MathSheet" E64</t>
    </r>
  </si>
  <si>
    <t>Changes from V1 94%</t>
  </si>
  <si>
    <r>
      <t xml:space="preserve">1.) New BaseA Reelset. </t>
    </r>
    <r>
      <rPr>
        <sz val="11"/>
        <color rgb="FFFF0000"/>
        <rFont val="Calibri"/>
        <family val="2"/>
        <scheme val="minor"/>
      </rPr>
      <t>"Row_Structure"</t>
    </r>
  </si>
  <si>
    <r>
      <t xml:space="preserve">2.) New Base %Distribution. </t>
    </r>
    <r>
      <rPr>
        <sz val="11"/>
        <color rgb="FFFF0000"/>
        <rFont val="Calibri"/>
        <family val="2"/>
        <scheme val="minor"/>
      </rPr>
      <t>"MathSheet" B10:B12</t>
    </r>
  </si>
  <si>
    <r>
      <t xml:space="preserve">3.) New Base Coin Conversion Chance to Bonus Game. </t>
    </r>
    <r>
      <rPr>
        <sz val="11"/>
        <color rgb="FFFF0000"/>
        <rFont val="Calibri"/>
        <family val="2"/>
        <scheme val="minor"/>
      </rPr>
      <t>"MathSheet" G53:G56</t>
    </r>
  </si>
  <si>
    <r>
      <t xml:space="preserve">4.) New Jackpot Increment Values. </t>
    </r>
    <r>
      <rPr>
        <sz val="11"/>
        <color rgb="FFFF0000"/>
        <rFont val="Calibri"/>
        <family val="2"/>
        <scheme val="minor"/>
      </rPr>
      <t>"MathSheet" C39:C42</t>
    </r>
  </si>
  <si>
    <t>94 Variant</t>
  </si>
  <si>
    <t>92 Variant</t>
  </si>
  <si>
    <t>Variance</t>
  </si>
  <si>
    <t>Hit Rate %</t>
  </si>
  <si>
    <t>Standard deviation</t>
  </si>
  <si>
    <t>Volatility Index Based on a 95% Level of Confidence</t>
  </si>
  <si>
    <t>How is it achieved?</t>
  </si>
  <si>
    <t>USA</t>
  </si>
  <si>
    <t>State:</t>
  </si>
  <si>
    <t>NB:</t>
  </si>
  <si>
    <t>The highest pay in the prize-first distribution or the highest paying award is to be used as the Top Award for the game</t>
  </si>
  <si>
    <t>Worst Odds (1 in X)</t>
  </si>
  <si>
    <t>The smallest odds from ALL unique awards.</t>
  </si>
  <si>
    <t>Win-Caps</t>
  </si>
  <si>
    <t>Does this game have a Win-Cap?</t>
  </si>
  <si>
    <t>NO</t>
  </si>
  <si>
    <t>Possible Answers:</t>
  </si>
  <si>
    <t xml:space="preserve">Yes </t>
  </si>
  <si>
    <t>Odds (1 in X)</t>
  </si>
  <si>
    <t>N/A</t>
  </si>
  <si>
    <t>%RTP Shaved</t>
  </si>
  <si>
    <t>How is this achieved?</t>
  </si>
  <si>
    <t>Game Math Derivation</t>
  </si>
  <si>
    <t>Is the Game Math Derived from Simulation?</t>
  </si>
  <si>
    <t>YES - PARTIAL</t>
  </si>
  <si>
    <t>Yes - Full</t>
  </si>
  <si>
    <t>SIMULATION PROGRAM PROVIDED</t>
  </si>
  <si>
    <t>Yes - Partial</t>
  </si>
  <si>
    <t>Base SD:</t>
  </si>
  <si>
    <t>Full Game SD:</t>
  </si>
  <si>
    <t>Volatility index (95%)</t>
  </si>
  <si>
    <t>Highest Advertised Win Odds (1 in X)</t>
  </si>
  <si>
    <t>Winning Grand Jackpot by filling Grand Jackpot Meter in any of the 4 Bonus Games</t>
  </si>
  <si>
    <t>Highest Advertised Win Odds (X : 1)</t>
  </si>
  <si>
    <t>Mechanics</t>
  </si>
  <si>
    <t>Variant</t>
  </si>
  <si>
    <t>Module ID</t>
  </si>
  <si>
    <t>QH - each of these symbol turns to a random win value (0.5x, 2x, 3x, 4x, up to 50x). Fills the cup and can trigger Bonus Game</t>
  </si>
  <si>
    <r>
      <rPr>
        <sz val="11"/>
        <color rgb="FFFF0000"/>
        <rFont val="Calibri"/>
        <family val="2"/>
        <scheme val="minor"/>
      </rPr>
      <t>Note:</t>
    </r>
    <r>
      <rPr>
        <sz val="11"/>
        <color theme="1"/>
        <rFont val="Calibri"/>
        <family val="2"/>
        <scheme val="minor"/>
      </rPr>
      <t xml:space="preserve"> </t>
    </r>
    <r>
      <rPr>
        <i/>
        <sz val="11"/>
        <color theme="1"/>
        <rFont val="Calibri"/>
        <family val="2"/>
        <charset val="204"/>
        <scheme val="minor"/>
      </rPr>
      <t>Slot Grid2 counter resets because the position was empty</t>
    </r>
  </si>
  <si>
    <r>
      <rPr>
        <sz val="11"/>
        <color rgb="FFFF0000"/>
        <rFont val="Calibri"/>
        <family val="2"/>
        <scheme val="minor"/>
      </rPr>
      <t>Note:</t>
    </r>
    <r>
      <rPr>
        <sz val="11"/>
        <color theme="1"/>
        <rFont val="Calibri"/>
        <family val="2"/>
        <scheme val="minor"/>
      </rPr>
      <t xml:space="preserve"> </t>
    </r>
    <r>
      <rPr>
        <i/>
        <sz val="11"/>
        <color theme="1"/>
        <rFont val="Calibri"/>
        <family val="2"/>
        <charset val="204"/>
        <scheme val="minor"/>
      </rPr>
      <t>Slot Grid2 counter does not reset because the position wasn't empty</t>
    </r>
  </si>
  <si>
    <t>V94</t>
  </si>
  <si>
    <t>Payouts in credits</t>
  </si>
  <si>
    <t>Bet multiplier</t>
  </si>
  <si>
    <t>Lines</t>
  </si>
  <si>
    <t>Bet (cents)</t>
  </si>
  <si>
    <t>← Max symbol payout</t>
  </si>
  <si>
    <t>RTP Breakdown (Theoretical)</t>
  </si>
  <si>
    <t>RTP Strategies</t>
  </si>
  <si>
    <t>Strategy/Variant</t>
  </si>
  <si>
    <t>Standard
Deviation</t>
  </si>
  <si>
    <t>Volatility Index at a 95%
Level of Confidence</t>
  </si>
  <si>
    <t>Volatility
Category</t>
  </si>
  <si>
    <t>RandomBet</t>
  </si>
  <si>
    <t>Medium</t>
  </si>
  <si>
    <t>https://gamesglobal.atlassian.net/wiki/spaces/PGM/pages/274680477/Maths+Terms+FAQ#MathsTermsFAQ-WhatisVolatility?</t>
  </si>
  <si>
    <t>MaxBet</t>
  </si>
  <si>
    <t>A Volatility less than 10 is considered Low, between 10 and 20 is considered Medium and above 20 is considered High.</t>
  </si>
  <si>
    <t>Max Win</t>
  </si>
  <si>
    <t>Max Win Chance</t>
  </si>
  <si>
    <t>Max Exposure</t>
  </si>
  <si>
    <t>credits</t>
  </si>
  <si>
    <t>Free Game Statistics</t>
  </si>
  <si>
    <t>Probability of Getting a Win w/in X Spins</t>
  </si>
  <si>
    <t>Bet settings</t>
  </si>
  <si>
    <t>General</t>
  </si>
  <si>
    <t>Greece</t>
  </si>
  <si>
    <t>Max symbol win (credits)</t>
  </si>
  <si>
    <t>Max exposure (credits)</t>
  </si>
  <si>
    <t xml:space="preserve">Bet Model </t>
  </si>
  <si>
    <t>Default coin size</t>
  </si>
  <si>
    <t>Default num coins</t>
  </si>
  <si>
    <t>Max num coins</t>
  </si>
  <si>
    <t>Min num coins</t>
  </si>
  <si>
    <t>Max coins per line</t>
  </si>
  <si>
    <t>Max bet value</t>
  </si>
  <si>
    <t>Min bet value</t>
  </si>
  <si>
    <t>Default bet value</t>
  </si>
  <si>
    <t>Coin sizes</t>
  </si>
  <si>
    <t>1,2,5,10</t>
  </si>
  <si>
    <t>1,2,5</t>
  </si>
  <si>
    <t>Base Collect:</t>
  </si>
  <si>
    <t>Jackpots:</t>
  </si>
  <si>
    <t>Minor</t>
  </si>
  <si>
    <t>Major</t>
  </si>
  <si>
    <t>Mirrored value can be added even the other slot grid is already finish and it wont reset the counter of the finished slot grid.</t>
  </si>
  <si>
    <t>New Jersey</t>
  </si>
  <si>
    <t>Michigan</t>
  </si>
  <si>
    <t>Connecticut</t>
  </si>
  <si>
    <t>Pennsylvania</t>
  </si>
  <si>
    <t>4x5  (40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</si>
</sst>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quot;£&quot;* #,##0.00_-;\-&quot;£&quot;* #,##0.00_-;_-&quot;£&quot;* &quot;-&quot;??_-;_-@_-"/>
    <numFmt numFmtId="165" formatCode="&quot;$&quot;#,##0_);[Red]\(&quot;$&quot;#,##0\)"/>
    <numFmt numFmtId="166" formatCode="_(* #,##0.00_);_(* \(#,##0.00\);_(* &quot;-&quot;??_);_(@_)"/>
    <numFmt numFmtId="167" formatCode="0.00000%"/>
    <numFmt numFmtId="168" formatCode="0.0000%"/>
    <numFmt numFmtId="169" formatCode="0.000000%"/>
    <numFmt numFmtId="170" formatCode="0.0000000%"/>
    <numFmt numFmtId="171" formatCode="0.00000"/>
    <numFmt numFmtId="172" formatCode="0.000%"/>
    <numFmt numFmtId="173" formatCode="0.000"/>
    <numFmt numFmtId="174" formatCode="_(* #,##0_);_(* \(#,##0\);_(* &quot;-&quot;??_);_(@_)"/>
    <numFmt numFmtId="175" formatCode="_-[$€-2]\ * #,##0.00_-;\-[$€-2]\ * #,##0.00_-;_-[$€-2]\ * &quot;-&quot;??_-;_-@_-"/>
    <numFmt numFmtId="176" formatCode="0.00000000%"/>
    <numFmt numFmtId="177" formatCode="0.0%"/>
    <numFmt numFmtId="178" formatCode="#,##0.0000"/>
    <numFmt numFmtId="179" formatCode="0.000000"/>
    <numFmt numFmtId="180" formatCode="0.0000"/>
    <numFmt numFmtId="181" formatCode="_-* #,##0.00\ _k_r_-;\-* #,##0.00\ _k_r_-;_-* &quot;-&quot;??\ _k_r_-;_-@_-"/>
    <numFmt numFmtId="182" formatCode="_-* #,##0\ _k_r_-;\-* #,##0\ _k_r_-;_-* &quot;-&quot;??\ _k_r_-;_-@_-"/>
    <numFmt numFmtId="183" formatCode="0.000000000%"/>
    <numFmt numFmtId="184" formatCode="0.0"/>
    <numFmt numFmtId="185" formatCode="\1&quot; in &quot;\ #"/>
    <numFmt numFmtId="186" formatCode="#&quot; : &quot;\1"/>
    <numFmt numFmtId="187" formatCode="&quot;&quot;#,##0.00"/>
  </numFmts>
  <fonts count="52" x14ac:knownFonts="1">
    <font>
      <sz val="11"/>
      <color theme="1"/>
      <name val="Calibri"/>
      <family val="2"/>
      <scheme val="minor"/>
    </font>
    <font>
      <b/>
      <sz val="11"/>
      <color theme="1"/>
      <name val="Calibri"/>
      <family val="2"/>
      <scheme val="minor"/>
    </font>
    <font>
      <b/>
      <sz val="14"/>
      <color theme="1"/>
      <name val="Calibri"/>
      <family val="2"/>
      <scheme val="minor"/>
    </font>
    <font>
      <b/>
      <i/>
      <sz val="16"/>
      <color rgb="FFFF0000"/>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
      <b/>
      <sz val="12"/>
      <color theme="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sz val="11"/>
      <name val="Calibri"/>
      <family val="2"/>
      <scheme val="minor"/>
    </font>
    <font>
      <i/>
      <sz val="11"/>
      <name val="Calibri"/>
      <family val="2"/>
      <scheme val="minor"/>
    </font>
    <font>
      <b/>
      <sz val="14"/>
      <color rgb="FFFF0000"/>
      <name val="Calibri"/>
      <family val="2"/>
      <scheme val="minor"/>
    </font>
    <font>
      <b/>
      <sz val="12"/>
      <color rgb="FFFF0000"/>
      <name val="Calibri"/>
      <family val="2"/>
      <scheme val="minor"/>
    </font>
    <font>
      <i/>
      <sz val="11"/>
      <color rgb="FFFF0000"/>
      <name val="Calibri"/>
      <family val="2"/>
      <scheme val="minor"/>
    </font>
    <font>
      <b/>
      <i/>
      <sz val="11"/>
      <name val="Calibri"/>
      <family val="2"/>
      <scheme val="minor"/>
    </font>
    <font>
      <b/>
      <sz val="11"/>
      <name val="Calibri"/>
      <family val="2"/>
      <scheme val="minor"/>
    </font>
    <font>
      <sz val="12"/>
      <color theme="1"/>
      <name val="Calibri"/>
      <family val="2"/>
      <scheme val="minor"/>
    </font>
    <font>
      <sz val="12"/>
      <color rgb="FFFF0000"/>
      <name val="Calibri"/>
      <family val="2"/>
      <scheme val="minor"/>
    </font>
    <font>
      <b/>
      <sz val="20"/>
      <color rgb="FFFF0000"/>
      <name val="Calibri"/>
      <family val="2"/>
      <scheme val="minor"/>
    </font>
    <font>
      <b/>
      <sz val="16"/>
      <color theme="1"/>
      <name val="Calibri"/>
      <family val="2"/>
      <scheme val="minor"/>
    </font>
    <font>
      <b/>
      <i/>
      <sz val="12"/>
      <color theme="1"/>
      <name val="Calibri"/>
      <family val="2"/>
      <scheme val="minor"/>
    </font>
    <font>
      <sz val="14"/>
      <color theme="1"/>
      <name val="Calibri"/>
      <family val="2"/>
      <scheme val="minor"/>
    </font>
    <font>
      <i/>
      <sz val="12"/>
      <color rgb="FFFF0000"/>
      <name val="Calibri"/>
      <family val="2"/>
      <scheme val="minor"/>
    </font>
    <font>
      <b/>
      <sz val="12"/>
      <name val="Calibri"/>
      <family val="2"/>
      <scheme val="minor"/>
    </font>
    <font>
      <i/>
      <sz val="11"/>
      <color theme="1"/>
      <name val="Calibri"/>
      <family val="2"/>
      <scheme val="minor"/>
    </font>
    <font>
      <b/>
      <i/>
      <sz val="10"/>
      <color theme="1"/>
      <name val="Calibri"/>
      <family val="2"/>
      <scheme val="minor"/>
    </font>
    <font>
      <i/>
      <sz val="10"/>
      <color theme="1"/>
      <name val="Calibri"/>
      <family val="2"/>
      <scheme val="minor"/>
    </font>
    <font>
      <i/>
      <sz val="10"/>
      <color rgb="FFFF0000"/>
      <name val="Calibri"/>
      <family val="2"/>
      <scheme val="minor"/>
    </font>
    <font>
      <sz val="14"/>
      <color rgb="FF3F3F76"/>
      <name val="Calibri"/>
      <family val="2"/>
      <scheme val="minor"/>
    </font>
    <font>
      <sz val="14"/>
      <color rgb="FF9C0006"/>
      <name val="Calibri"/>
      <family val="2"/>
      <scheme val="minor"/>
    </font>
    <font>
      <sz val="14"/>
      <color rgb="FF006100"/>
      <name val="Calibri"/>
      <family val="2"/>
      <scheme val="minor"/>
    </font>
    <font>
      <b/>
      <i/>
      <sz val="11"/>
      <color rgb="FFFF0000"/>
      <name val="Calibri"/>
      <family val="2"/>
      <scheme val="minor"/>
    </font>
    <font>
      <sz val="11"/>
      <color theme="1"/>
      <name val="Calibri"/>
      <family val="2"/>
      <charset val="204"/>
    </font>
    <font>
      <sz val="11"/>
      <name val="Calibri"/>
      <family val="2"/>
      <charset val="204"/>
    </font>
    <font>
      <b/>
      <sz val="11"/>
      <name val="Calibri"/>
      <family val="2"/>
      <charset val="204"/>
    </font>
    <font>
      <b/>
      <sz val="11"/>
      <color theme="1"/>
      <name val="Calibri"/>
      <family val="2"/>
      <charset val="204"/>
    </font>
    <font>
      <b/>
      <sz val="11"/>
      <color rgb="FFFF0000"/>
      <name val="Calibri"/>
      <family val="2"/>
      <charset val="204"/>
    </font>
    <font>
      <sz val="11"/>
      <color rgb="FFFF0000"/>
      <name val="Calibri"/>
      <family val="2"/>
      <charset val="204"/>
    </font>
    <font>
      <b/>
      <i/>
      <sz val="11"/>
      <name val="Calibri"/>
      <family val="2"/>
      <charset val="204"/>
    </font>
    <font>
      <sz val="11"/>
      <color rgb="FF9C0006"/>
      <name val="Calibri"/>
      <family val="2"/>
      <charset val="204"/>
    </font>
    <font>
      <sz val="11"/>
      <color rgb="FF006100"/>
      <name val="Calibri"/>
      <family val="2"/>
      <charset val="204"/>
    </font>
    <font>
      <b/>
      <i/>
      <sz val="11"/>
      <color theme="1"/>
      <name val="Calibri"/>
      <family val="2"/>
      <charset val="204"/>
    </font>
    <font>
      <b/>
      <sz val="11"/>
      <color rgb="FFFF0000"/>
      <name val="Calibri"/>
      <family val="2"/>
      <charset val="204"/>
      <scheme val="minor"/>
    </font>
    <font>
      <b/>
      <sz val="11"/>
      <color theme="1"/>
      <name val="Calibri"/>
      <family val="2"/>
      <charset val="204"/>
      <scheme val="minor"/>
    </font>
    <font>
      <sz val="11"/>
      <color theme="1"/>
      <name val="Calibri"/>
      <family val="2"/>
      <charset val="204"/>
      <scheme val="minor"/>
    </font>
    <font>
      <b/>
      <sz val="11"/>
      <name val="Calibri"/>
      <family val="2"/>
      <charset val="204"/>
      <scheme val="minor"/>
    </font>
    <font>
      <i/>
      <sz val="11"/>
      <color theme="1"/>
      <name val="Calibri"/>
      <family val="2"/>
      <charset val="204"/>
      <scheme val="minor"/>
    </font>
    <font>
      <sz val="11"/>
      <name val="Calibri"/>
      <family val="2"/>
      <charset val="204"/>
      <scheme val="minor"/>
    </font>
    <font>
      <sz val="11"/>
      <color theme="4"/>
      <name val="Calibri"/>
      <family val="2"/>
      <charset val="204"/>
    </font>
    <font>
      <sz val="11"/>
      <color rgb="FF292A2E"/>
      <name val="Calibri"/>
      <family val="2"/>
      <charset val="204"/>
    </font>
  </fonts>
  <fills count="2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
      <patternFill patternType="solid">
        <fgColor rgb="FF325032"/>
        <bgColor indexed="64"/>
      </patternFill>
    </fill>
    <fill>
      <patternFill patternType="solid">
        <fgColor rgb="FF641E3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640A0A"/>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F5DAE0"/>
        <bgColor indexed="64"/>
      </patternFill>
    </fill>
    <fill>
      <patternFill patternType="solid">
        <fgColor theme="5" tint="0.79998168889431442"/>
        <bgColor indexed="64"/>
      </patternFill>
    </fill>
    <fill>
      <patternFill patternType="solid">
        <fgColor theme="3"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0">
    <xf numFmtId="0" fontId="0" fillId="0" borderId="0"/>
    <xf numFmtId="9"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181" fontId="6" fillId="0" borderId="0" applyFont="0" applyFill="0" applyBorder="0" applyAlignment="0" applyProtection="0"/>
    <xf numFmtId="0" fontId="30" fillId="14" borderId="2" applyNumberFormat="0" applyAlignment="0" applyProtection="0"/>
    <xf numFmtId="0" fontId="31" fillId="13" borderId="0" applyNumberFormat="0" applyBorder="0" applyAlignment="0" applyProtection="0"/>
    <xf numFmtId="0" fontId="32" fillId="12" borderId="0" applyNumberFormat="0" applyBorder="0" applyAlignment="0" applyProtection="0"/>
    <xf numFmtId="0" fontId="6" fillId="0" borderId="0"/>
  </cellStyleXfs>
  <cellXfs count="623">
    <xf numFmtId="0" fontId="0" fillId="0" borderId="0" xfId="0"/>
    <xf numFmtId="0" fontId="1" fillId="0" borderId="0" xfId="0" applyFont="1"/>
    <xf numFmtId="0" fontId="0" fillId="0" borderId="0" xfId="0" applyAlignment="1">
      <alignment horizontal="center"/>
    </xf>
    <xf numFmtId="10" fontId="0" fillId="0" borderId="0" xfId="0" applyNumberFormat="1"/>
    <xf numFmtId="0" fontId="5" fillId="0" borderId="0" xfId="0" applyFont="1"/>
    <xf numFmtId="0" fontId="0" fillId="0" borderId="0" xfId="0" applyAlignment="1">
      <alignment horizontal="right"/>
    </xf>
    <xf numFmtId="1" fontId="0" fillId="0" borderId="0" xfId="0" applyNumberFormat="1"/>
    <xf numFmtId="9" fontId="0" fillId="0" borderId="0" xfId="0" applyNumberFormat="1"/>
    <xf numFmtId="165" fontId="0" fillId="0" borderId="0" xfId="0" applyNumberFormat="1"/>
    <xf numFmtId="0" fontId="1" fillId="0" borderId="0" xfId="0" applyFont="1" applyAlignment="1">
      <alignment horizontal="center"/>
    </xf>
    <xf numFmtId="0" fontId="2" fillId="0" borderId="0" xfId="0" applyFont="1"/>
    <xf numFmtId="0" fontId="0" fillId="0" borderId="1" xfId="0" applyBorder="1"/>
    <xf numFmtId="168" fontId="0" fillId="0" borderId="0" xfId="1" applyNumberFormat="1" applyFont="1" applyFill="1"/>
    <xf numFmtId="3" fontId="4" fillId="0" borderId="0" xfId="0" applyNumberFormat="1" applyFont="1"/>
    <xf numFmtId="169" fontId="0" fillId="0" borderId="0" xfId="0" applyNumberFormat="1"/>
    <xf numFmtId="174" fontId="0" fillId="0" borderId="0" xfId="2" applyNumberFormat="1" applyFont="1"/>
    <xf numFmtId="168" fontId="0" fillId="0" borderId="0" xfId="0" applyNumberFormat="1"/>
    <xf numFmtId="167" fontId="0" fillId="0" borderId="0" xfId="0" applyNumberFormat="1"/>
    <xf numFmtId="171" fontId="0" fillId="0" borderId="0" xfId="0" applyNumberFormat="1"/>
    <xf numFmtId="172" fontId="0" fillId="0" borderId="0" xfId="0" applyNumberFormat="1" applyAlignment="1">
      <alignment horizontal="right"/>
    </xf>
    <xf numFmtId="170" fontId="0" fillId="0" borderId="0" xfId="0" applyNumberFormat="1"/>
    <xf numFmtId="169" fontId="0" fillId="0" borderId="0" xfId="0" applyNumberFormat="1" applyAlignment="1">
      <alignment horizontal="center" vertical="center" wrapText="1"/>
    </xf>
    <xf numFmtId="166" fontId="0" fillId="0" borderId="0" xfId="2" applyFont="1"/>
    <xf numFmtId="172" fontId="0" fillId="0" borderId="0" xfId="0" applyNumberFormat="1"/>
    <xf numFmtId="0" fontId="0" fillId="4" borderId="0" xfId="0" applyFill="1"/>
    <xf numFmtId="168" fontId="0" fillId="0" borderId="0" xfId="1" applyNumberFormat="1" applyFont="1"/>
    <xf numFmtId="173" fontId="0" fillId="0" borderId="0" xfId="0" applyNumberFormat="1"/>
    <xf numFmtId="10" fontId="0" fillId="0" borderId="0" xfId="1" applyNumberFormat="1" applyFont="1" applyBorder="1"/>
    <xf numFmtId="9" fontId="0" fillId="0" borderId="0" xfId="1" applyFont="1" applyBorder="1"/>
    <xf numFmtId="10" fontId="0" fillId="0" borderId="0" xfId="1" applyNumberFormat="1" applyFont="1" applyFill="1" applyBorder="1"/>
    <xf numFmtId="0" fontId="0" fillId="0" borderId="0" xfId="1" applyNumberFormat="1" applyFont="1" applyFill="1" applyBorder="1"/>
    <xf numFmtId="10" fontId="0" fillId="0" borderId="0" xfId="0" applyNumberFormat="1" applyAlignment="1">
      <alignment horizontal="right"/>
    </xf>
    <xf numFmtId="169" fontId="8" fillId="0" borderId="0" xfId="0" applyNumberFormat="1" applyFont="1"/>
    <xf numFmtId="167" fontId="0" fillId="0" borderId="0" xfId="1" applyNumberFormat="1" applyFont="1"/>
    <xf numFmtId="0" fontId="1" fillId="0" borderId="0" xfId="0" applyFont="1" applyAlignment="1">
      <alignment horizontal="right"/>
    </xf>
    <xf numFmtId="10" fontId="8" fillId="0" borderId="0" xfId="0" applyNumberFormat="1" applyFont="1" applyAlignment="1">
      <alignment horizontal="right"/>
    </xf>
    <xf numFmtId="173" fontId="8" fillId="0" borderId="0" xfId="0" applyNumberFormat="1" applyFont="1"/>
    <xf numFmtId="167" fontId="8" fillId="0" borderId="0" xfId="1" applyNumberFormat="1" applyFont="1"/>
    <xf numFmtId="172" fontId="8" fillId="0" borderId="0" xfId="0" applyNumberFormat="1" applyFont="1"/>
    <xf numFmtId="0" fontId="8" fillId="0" borderId="0" xfId="0" applyFont="1"/>
    <xf numFmtId="10" fontId="0" fillId="0" borderId="0" xfId="1" applyNumberFormat="1" applyFont="1"/>
    <xf numFmtId="168" fontId="7" fillId="0" borderId="0" xfId="1" applyNumberFormat="1" applyFont="1"/>
    <xf numFmtId="10" fontId="2" fillId="0" borderId="0" xfId="1" applyNumberFormat="1" applyFont="1" applyBorder="1"/>
    <xf numFmtId="0" fontId="11" fillId="0" borderId="0" xfId="0" applyFont="1"/>
    <xf numFmtId="174" fontId="0" fillId="0" borderId="0" xfId="0" applyNumberFormat="1"/>
    <xf numFmtId="10" fontId="13" fillId="0" borderId="0" xfId="0" applyNumberFormat="1" applyFont="1"/>
    <xf numFmtId="9" fontId="1" fillId="0" borderId="0" xfId="0" applyNumberFormat="1" applyFont="1"/>
    <xf numFmtId="0" fontId="13" fillId="0" borderId="0" xfId="0" applyFont="1"/>
    <xf numFmtId="174" fontId="13" fillId="0" borderId="0" xfId="3" applyNumberFormat="1" applyFont="1"/>
    <xf numFmtId="0" fontId="11" fillId="0" borderId="0" xfId="0" applyFont="1" applyAlignment="1">
      <alignment horizontal="right"/>
    </xf>
    <xf numFmtId="0" fontId="9" fillId="0" borderId="0" xfId="0" applyFont="1"/>
    <xf numFmtId="0" fontId="14" fillId="0" borderId="0" xfId="0" applyFont="1"/>
    <xf numFmtId="2" fontId="0" fillId="2" borderId="1" xfId="0" applyNumberFormat="1" applyFill="1" applyBorder="1" applyAlignment="1">
      <alignment horizontal="right"/>
    </xf>
    <xf numFmtId="0" fontId="0" fillId="2" borderId="1" xfId="0" applyFill="1" applyBorder="1"/>
    <xf numFmtId="171" fontId="0" fillId="2" borderId="1" xfId="0" applyNumberFormat="1" applyFill="1" applyBorder="1"/>
    <xf numFmtId="167" fontId="0" fillId="0" borderId="0" xfId="1" applyNumberFormat="1" applyFont="1" applyFill="1" applyAlignment="1">
      <alignment horizontal="right"/>
    </xf>
    <xf numFmtId="167" fontId="0" fillId="0" borderId="0" xfId="1" applyNumberFormat="1" applyFont="1" applyFill="1"/>
    <xf numFmtId="172" fontId="3" fillId="0" borderId="0" xfId="1" applyNumberFormat="1" applyFont="1"/>
    <xf numFmtId="0" fontId="1" fillId="0" borderId="0" xfId="0" applyFont="1" applyAlignment="1">
      <alignment horizontal="left"/>
    </xf>
    <xf numFmtId="10" fontId="0" fillId="2" borderId="1" xfId="1" applyNumberFormat="1" applyFont="1" applyFill="1" applyBorder="1"/>
    <xf numFmtId="172" fontId="0" fillId="0" borderId="0" xfId="1" applyNumberFormat="1" applyFont="1"/>
    <xf numFmtId="172" fontId="0" fillId="2" borderId="1" xfId="1" applyNumberFormat="1" applyFont="1" applyFill="1" applyBorder="1"/>
    <xf numFmtId="0" fontId="1" fillId="2" borderId="1" xfId="0" applyFont="1" applyFill="1" applyBorder="1"/>
    <xf numFmtId="11" fontId="0" fillId="2" borderId="1" xfId="0" applyNumberFormat="1" applyFill="1" applyBorder="1"/>
    <xf numFmtId="0" fontId="0" fillId="0" borderId="0" xfId="3" applyNumberFormat="1" applyFont="1"/>
    <xf numFmtId="11" fontId="0" fillId="0" borderId="0" xfId="1" applyNumberFormat="1" applyFont="1"/>
    <xf numFmtId="2" fontId="0" fillId="0" borderId="0" xfId="0" applyNumberFormat="1" applyAlignment="1">
      <alignment horizontal="center"/>
    </xf>
    <xf numFmtId="0" fontId="8" fillId="0" borderId="0" xfId="1" applyNumberFormat="1" applyFont="1"/>
    <xf numFmtId="177" fontId="0" fillId="0" borderId="0" xfId="0" applyNumberFormat="1"/>
    <xf numFmtId="1" fontId="0" fillId="0" borderId="0" xfId="0" applyNumberFormat="1" applyAlignment="1">
      <alignment horizontal="center"/>
    </xf>
    <xf numFmtId="168" fontId="0" fillId="0" borderId="0" xfId="1" applyNumberFormat="1" applyFont="1" applyFill="1" applyBorder="1"/>
    <xf numFmtId="168" fontId="1" fillId="0" borderId="0" xfId="1" applyNumberFormat="1" applyFont="1"/>
    <xf numFmtId="168" fontId="0" fillId="0" borderId="1" xfId="1" applyNumberFormat="1" applyFont="1" applyBorder="1"/>
    <xf numFmtId="167" fontId="0" fillId="2" borderId="0" xfId="1" applyNumberFormat="1" applyFont="1" applyFill="1" applyAlignment="1">
      <alignment horizontal="right"/>
    </xf>
    <xf numFmtId="167" fontId="0" fillId="2" borderId="0" xfId="1" applyNumberFormat="1" applyFont="1" applyFill="1"/>
    <xf numFmtId="9" fontId="0" fillId="0" borderId="0" xfId="1" applyFont="1"/>
    <xf numFmtId="176" fontId="0" fillId="0" borderId="0" xfId="1" applyNumberFormat="1" applyFont="1"/>
    <xf numFmtId="174" fontId="7" fillId="0" borderId="0" xfId="2" applyNumberFormat="1" applyFont="1"/>
    <xf numFmtId="0" fontId="0" fillId="4" borderId="0" xfId="0" applyFill="1" applyAlignment="1">
      <alignment horizontal="left"/>
    </xf>
    <xf numFmtId="172" fontId="0" fillId="0" borderId="0" xfId="1" applyNumberFormat="1" applyFont="1" applyFill="1"/>
    <xf numFmtId="172" fontId="0" fillId="0" borderId="0" xfId="1" applyNumberFormat="1" applyFont="1" applyFill="1" applyBorder="1"/>
    <xf numFmtId="168" fontId="1" fillId="0" borderId="0" xfId="1" applyNumberFormat="1" applyFont="1" applyFill="1" applyBorder="1"/>
    <xf numFmtId="168" fontId="4" fillId="0" borderId="0" xfId="0" applyNumberFormat="1" applyFont="1"/>
    <xf numFmtId="0" fontId="0" fillId="0" borderId="0" xfId="0" applyAlignment="1">
      <alignment horizontal="left"/>
    </xf>
    <xf numFmtId="0" fontId="15" fillId="0" borderId="0" xfId="0" applyFont="1"/>
    <xf numFmtId="2" fontId="0" fillId="0" borderId="0" xfId="0" applyNumberFormat="1"/>
    <xf numFmtId="177" fontId="1" fillId="0" borderId="0" xfId="1" applyNumberFormat="1" applyFont="1" applyFill="1" applyBorder="1" applyAlignment="1">
      <alignment horizontal="right"/>
    </xf>
    <xf numFmtId="0" fontId="0" fillId="0" borderId="0" xfId="1" applyNumberFormat="1" applyFont="1"/>
    <xf numFmtId="2" fontId="0" fillId="0" borderId="0" xfId="0" applyNumberFormat="1" applyAlignment="1">
      <alignment horizontal="right"/>
    </xf>
    <xf numFmtId="177" fontId="2" fillId="0" borderId="0" xfId="1" applyNumberFormat="1" applyFont="1" applyFill="1" applyBorder="1"/>
    <xf numFmtId="10" fontId="0" fillId="0" borderId="1" xfId="1" applyNumberFormat="1" applyFont="1" applyFill="1" applyBorder="1"/>
    <xf numFmtId="172" fontId="0" fillId="0" borderId="0" xfId="1" applyNumberFormat="1" applyFont="1" applyFill="1" applyBorder="1" applyAlignment="1">
      <alignment horizontal="center"/>
    </xf>
    <xf numFmtId="10" fontId="6" fillId="0" borderId="0" xfId="1" applyNumberFormat="1" applyFont="1" applyFill="1" applyBorder="1"/>
    <xf numFmtId="174" fontId="0" fillId="0" borderId="0" xfId="2" applyNumberFormat="1" applyFont="1" applyFill="1" applyBorder="1"/>
    <xf numFmtId="168" fontId="0" fillId="0" borderId="0" xfId="1" applyNumberFormat="1" applyFont="1" applyFill="1" applyBorder="1" applyAlignment="1">
      <alignment horizontal="right"/>
    </xf>
    <xf numFmtId="0" fontId="0" fillId="7" borderId="0" xfId="0" applyFill="1" applyAlignment="1">
      <alignment horizontal="center" vertical="center"/>
    </xf>
    <xf numFmtId="0" fontId="0" fillId="8" borderId="1" xfId="0" applyFill="1" applyBorder="1" applyAlignment="1">
      <alignment horizontal="center" vertical="center"/>
    </xf>
    <xf numFmtId="0" fontId="0" fillId="7" borderId="1" xfId="0" applyFill="1" applyBorder="1" applyAlignment="1">
      <alignment horizontal="center" vertical="center"/>
    </xf>
    <xf numFmtId="11" fontId="0" fillId="0" borderId="0" xfId="0" applyNumberFormat="1"/>
    <xf numFmtId="0" fontId="0" fillId="0" borderId="0" xfId="3" applyNumberFormat="1" applyFont="1" applyFill="1" applyBorder="1"/>
    <xf numFmtId="11" fontId="0" fillId="0" borderId="0" xfId="1" applyNumberFormat="1" applyFont="1" applyFill="1" applyBorder="1"/>
    <xf numFmtId="10" fontId="1" fillId="0" borderId="0" xfId="1" applyNumberFormat="1" applyFont="1" applyFill="1" applyBorder="1"/>
    <xf numFmtId="172" fontId="11" fillId="0" borderId="1" xfId="1" applyNumberFormat="1" applyFont="1" applyFill="1" applyBorder="1"/>
    <xf numFmtId="172" fontId="11" fillId="0" borderId="0" xfId="1" applyNumberFormat="1" applyFont="1" applyFill="1" applyBorder="1"/>
    <xf numFmtId="10" fontId="11" fillId="0" borderId="0" xfId="1" applyNumberFormat="1" applyFont="1" applyFill="1" applyBorder="1"/>
    <xf numFmtId="10" fontId="12" fillId="0" borderId="1" xfId="1" applyNumberFormat="1" applyFont="1" applyFill="1" applyBorder="1" applyAlignment="1">
      <alignment horizontal="right"/>
    </xf>
    <xf numFmtId="10" fontId="11" fillId="0" borderId="1" xfId="1" applyNumberFormat="1" applyFont="1" applyFill="1" applyBorder="1"/>
    <xf numFmtId="172" fontId="0" fillId="0" borderId="1" xfId="1" applyNumberFormat="1" applyFont="1" applyBorder="1"/>
    <xf numFmtId="2" fontId="0" fillId="0" borderId="1" xfId="1" applyNumberFormat="1" applyFont="1" applyFill="1" applyBorder="1"/>
    <xf numFmtId="2" fontId="11" fillId="0" borderId="1" xfId="1" applyNumberFormat="1" applyFont="1" applyFill="1" applyBorder="1" applyAlignment="1">
      <alignment horizontal="right"/>
    </xf>
    <xf numFmtId="2" fontId="13" fillId="3" borderId="0" xfId="0" applyNumberFormat="1" applyFont="1" applyFill="1"/>
    <xf numFmtId="178" fontId="4" fillId="0" borderId="0" xfId="0" applyNumberFormat="1" applyFont="1"/>
    <xf numFmtId="10" fontId="17" fillId="0" borderId="0" xfId="1" applyNumberFormat="1" applyFont="1" applyFill="1" applyBorder="1" applyAlignment="1">
      <alignment horizontal="right"/>
    </xf>
    <xf numFmtId="10" fontId="17" fillId="0" borderId="0" xfId="1" applyNumberFormat="1" applyFont="1" applyFill="1" applyBorder="1" applyAlignment="1">
      <alignment horizontal="center"/>
    </xf>
    <xf numFmtId="168" fontId="2" fillId="0" borderId="0" xfId="1" applyNumberFormat="1" applyFont="1"/>
    <xf numFmtId="10" fontId="0" fillId="0" borderId="0" xfId="0" applyNumberFormat="1" applyAlignment="1">
      <alignment horizontal="center"/>
    </xf>
    <xf numFmtId="177" fontId="0" fillId="0" borderId="0" xfId="0" applyNumberFormat="1" applyAlignment="1">
      <alignment horizontal="center"/>
    </xf>
    <xf numFmtId="175" fontId="0" fillId="0" borderId="0" xfId="0" applyNumberFormat="1"/>
    <xf numFmtId="175" fontId="8" fillId="0" borderId="0" xfId="0" applyNumberFormat="1" applyFont="1"/>
    <xf numFmtId="172" fontId="6" fillId="0" borderId="0" xfId="1" applyNumberFormat="1" applyFont="1" applyFill="1" applyBorder="1"/>
    <xf numFmtId="10" fontId="6" fillId="0" borderId="0" xfId="1" applyNumberFormat="1" applyFont="1" applyFill="1" applyBorder="1" applyAlignment="1">
      <alignment horizontal="center"/>
    </xf>
    <xf numFmtId="10" fontId="0" fillId="0" borderId="1" xfId="1" applyNumberFormat="1" applyFont="1" applyFill="1" applyBorder="1" applyAlignment="1">
      <alignment horizontal="center"/>
    </xf>
    <xf numFmtId="177" fontId="1" fillId="0" borderId="0" xfId="0" applyNumberFormat="1" applyFont="1" applyAlignment="1">
      <alignment horizontal="center"/>
    </xf>
    <xf numFmtId="168" fontId="19" fillId="0" borderId="0" xfId="1" applyNumberFormat="1" applyFont="1" applyFill="1" applyBorder="1" applyAlignment="1">
      <alignment horizontal="center"/>
    </xf>
    <xf numFmtId="0" fontId="11" fillId="0" borderId="0" xfId="1" applyNumberFormat="1" applyFont="1"/>
    <xf numFmtId="10" fontId="1" fillId="0" borderId="0" xfId="0" applyNumberFormat="1" applyFont="1" applyAlignment="1">
      <alignment horizontal="center"/>
    </xf>
    <xf numFmtId="0" fontId="20" fillId="0" borderId="0" xfId="0" applyFont="1"/>
    <xf numFmtId="10" fontId="1" fillId="0" borderId="0" xfId="1" applyNumberFormat="1" applyFont="1" applyBorder="1"/>
    <xf numFmtId="0" fontId="5" fillId="9" borderId="0" xfId="0" applyFont="1" applyFill="1"/>
    <xf numFmtId="172" fontId="1" fillId="0" borderId="0" xfId="1" applyNumberFormat="1" applyFont="1" applyFill="1" applyBorder="1"/>
    <xf numFmtId="173" fontId="1" fillId="0" borderId="0" xfId="0" applyNumberFormat="1" applyFont="1"/>
    <xf numFmtId="1" fontId="0" fillId="3" borderId="1" xfId="0" applyNumberFormat="1" applyFill="1" applyBorder="1" applyAlignment="1">
      <alignment horizontal="right"/>
    </xf>
    <xf numFmtId="0" fontId="8" fillId="0" borderId="0" xfId="0" applyFont="1" applyAlignment="1">
      <alignment horizontal="center" vertical="center"/>
    </xf>
    <xf numFmtId="175" fontId="11" fillId="0" borderId="0" xfId="0" applyNumberFormat="1" applyFont="1"/>
    <xf numFmtId="0" fontId="17" fillId="0" borderId="0" xfId="0" applyFont="1" applyAlignment="1">
      <alignment horizontal="center"/>
    </xf>
    <xf numFmtId="0" fontId="17" fillId="0" borderId="0" xfId="0" applyFont="1" applyAlignment="1">
      <alignment horizontal="center" vertical="center"/>
    </xf>
    <xf numFmtId="176" fontId="0" fillId="0" borderId="0" xfId="0" applyNumberFormat="1"/>
    <xf numFmtId="0" fontId="17" fillId="0" borderId="0" xfId="1" applyNumberFormat="1" applyFont="1" applyFill="1" applyBorder="1"/>
    <xf numFmtId="180" fontId="0" fillId="0" borderId="0" xfId="0" applyNumberFormat="1"/>
    <xf numFmtId="0" fontId="0" fillId="4" borderId="1" xfId="0" applyFill="1" applyBorder="1"/>
    <xf numFmtId="169" fontId="0" fillId="0" borderId="0" xfId="1" applyNumberFormat="1" applyFont="1" applyFill="1" applyBorder="1"/>
    <xf numFmtId="0" fontId="18" fillId="0" borderId="0" xfId="0" applyFont="1" applyAlignment="1">
      <alignment horizontal="right"/>
    </xf>
    <xf numFmtId="10" fontId="18" fillId="0" borderId="0" xfId="0" applyNumberFormat="1" applyFont="1" applyAlignment="1">
      <alignment horizontal="right"/>
    </xf>
    <xf numFmtId="10" fontId="1" fillId="0" borderId="0" xfId="0" applyNumberFormat="1" applyFont="1"/>
    <xf numFmtId="172" fontId="11" fillId="0" borderId="1" xfId="1" applyNumberFormat="1" applyFont="1" applyFill="1" applyBorder="1" applyAlignment="1">
      <alignment horizontal="left"/>
    </xf>
    <xf numFmtId="0" fontId="0" fillId="0" borderId="1" xfId="0" applyBorder="1" applyAlignment="1">
      <alignment horizontal="left"/>
    </xf>
    <xf numFmtId="172" fontId="1" fillId="0" borderId="0" xfId="1" applyNumberFormat="1" applyFont="1" applyBorder="1"/>
    <xf numFmtId="2" fontId="0" fillId="0" borderId="1" xfId="0" applyNumberFormat="1" applyBorder="1"/>
    <xf numFmtId="10" fontId="0" fillId="0" borderId="1" xfId="1" applyNumberFormat="1" applyFont="1" applyBorder="1"/>
    <xf numFmtId="172" fontId="1" fillId="0" borderId="0" xfId="1" applyNumberFormat="1" applyFont="1" applyFill="1"/>
    <xf numFmtId="177" fontId="0" fillId="0" borderId="1" xfId="0" applyNumberFormat="1" applyBorder="1"/>
    <xf numFmtId="10" fontId="1" fillId="0" borderId="0" xfId="1" applyNumberFormat="1" applyFont="1"/>
    <xf numFmtId="10" fontId="6" fillId="0" borderId="1" xfId="1" applyNumberFormat="1" applyFont="1" applyFill="1" applyBorder="1" applyAlignment="1">
      <alignment horizontal="right"/>
    </xf>
    <xf numFmtId="172" fontId="0" fillId="0" borderId="1" xfId="1" applyNumberFormat="1" applyFont="1" applyFill="1" applyBorder="1"/>
    <xf numFmtId="0" fontId="5" fillId="10" borderId="0" xfId="0" applyFont="1" applyFill="1"/>
    <xf numFmtId="10" fontId="0" fillId="0" borderId="0" xfId="0" applyNumberFormat="1" applyAlignment="1">
      <alignment horizontal="left"/>
    </xf>
    <xf numFmtId="10" fontId="11" fillId="6" borderId="1" xfId="0" applyNumberFormat="1" applyFont="1" applyFill="1" applyBorder="1" applyAlignment="1">
      <alignment horizontal="center" vertical="center"/>
    </xf>
    <xf numFmtId="167" fontId="17" fillId="0" borderId="0" xfId="1" applyNumberFormat="1" applyFont="1" applyFill="1" applyBorder="1"/>
    <xf numFmtId="173" fontId="0" fillId="0" borderId="1" xfId="0" applyNumberFormat="1" applyBorder="1"/>
    <xf numFmtId="0" fontId="8" fillId="0" borderId="1" xfId="0" applyFont="1" applyBorder="1" applyAlignment="1">
      <alignment horizontal="center" vertical="center"/>
    </xf>
    <xf numFmtId="169" fontId="0" fillId="0" borderId="0" xfId="1" applyNumberFormat="1" applyFont="1"/>
    <xf numFmtId="169" fontId="6" fillId="0" borderId="0" xfId="1" applyNumberFormat="1" applyFont="1"/>
    <xf numFmtId="168" fontId="6" fillId="0" borderId="0" xfId="1" applyNumberFormat="1" applyFont="1"/>
    <xf numFmtId="2" fontId="0" fillId="0" borderId="1" xfId="0" applyNumberFormat="1" applyBorder="1" applyAlignment="1">
      <alignment horizontal="right"/>
    </xf>
    <xf numFmtId="0" fontId="0" fillId="0" borderId="0" xfId="1" applyNumberFormat="1" applyFont="1" applyAlignment="1">
      <alignment horizontal="right"/>
    </xf>
    <xf numFmtId="169" fontId="6" fillId="2" borderId="1" xfId="1" applyNumberFormat="1" applyFont="1" applyFill="1" applyBorder="1"/>
    <xf numFmtId="172" fontId="2" fillId="0" borderId="0" xfId="1" applyNumberFormat="1" applyFont="1"/>
    <xf numFmtId="170" fontId="0" fillId="0" borderId="0" xfId="1" applyNumberFormat="1" applyFont="1"/>
    <xf numFmtId="0" fontId="2" fillId="0" borderId="0" xfId="1" applyNumberFormat="1" applyFont="1" applyAlignment="1">
      <alignment horizontal="center"/>
    </xf>
    <xf numFmtId="166" fontId="11" fillId="0" borderId="0" xfId="2" applyFont="1" applyFill="1" applyBorder="1"/>
    <xf numFmtId="172" fontId="7" fillId="0" borderId="0" xfId="1" applyNumberFormat="1" applyFont="1"/>
    <xf numFmtId="10" fontId="2" fillId="0" borderId="0" xfId="0" applyNumberFormat="1" applyFont="1" applyAlignment="1">
      <alignment horizontal="left"/>
    </xf>
    <xf numFmtId="0" fontId="0" fillId="0" borderId="1" xfId="0" applyBorder="1" applyAlignment="1">
      <alignment horizontal="right"/>
    </xf>
    <xf numFmtId="174" fontId="0" fillId="0" borderId="0" xfId="2" applyNumberFormat="1" applyFont="1" applyFill="1" applyBorder="1" applyAlignment="1"/>
    <xf numFmtId="2" fontId="21" fillId="0" borderId="0" xfId="0" applyNumberFormat="1" applyFont="1" applyAlignment="1">
      <alignment horizontal="left"/>
    </xf>
    <xf numFmtId="2" fontId="2" fillId="0" borderId="0" xfId="0" applyNumberFormat="1" applyFont="1" applyAlignment="1">
      <alignment horizontal="left"/>
    </xf>
    <xf numFmtId="172" fontId="12" fillId="0" borderId="0" xfId="1" applyNumberFormat="1" applyFont="1" applyFill="1" applyBorder="1" applyAlignment="1">
      <alignment horizontal="center"/>
    </xf>
    <xf numFmtId="172" fontId="16" fillId="0" borderId="0" xfId="1" applyNumberFormat="1" applyFont="1" applyFill="1" applyBorder="1" applyAlignment="1">
      <alignment horizontal="center"/>
    </xf>
    <xf numFmtId="171" fontId="0" fillId="0" borderId="1" xfId="0" applyNumberFormat="1" applyBorder="1"/>
    <xf numFmtId="0" fontId="1" fillId="0" borderId="1" xfId="0" applyFont="1" applyBorder="1"/>
    <xf numFmtId="180" fontId="1" fillId="0" borderId="0" xfId="1" applyNumberFormat="1" applyFont="1" applyBorder="1"/>
    <xf numFmtId="180" fontId="0" fillId="2" borderId="1" xfId="0" applyNumberFormat="1" applyFill="1" applyBorder="1"/>
    <xf numFmtId="182" fontId="0" fillId="0" borderId="0" xfId="5" applyNumberFormat="1" applyFont="1"/>
    <xf numFmtId="172" fontId="8" fillId="4" borderId="1" xfId="1" applyNumberFormat="1" applyFont="1" applyFill="1" applyBorder="1"/>
    <xf numFmtId="0" fontId="0" fillId="4" borderId="1" xfId="4" applyNumberFormat="1" applyFont="1" applyFill="1" applyBorder="1"/>
    <xf numFmtId="0" fontId="21" fillId="0" borderId="1" xfId="0" applyFont="1" applyBorder="1"/>
    <xf numFmtId="182" fontId="13" fillId="0" borderId="1" xfId="5" applyNumberFormat="1" applyFont="1" applyBorder="1" applyAlignment="1">
      <alignment horizontal="center"/>
    </xf>
    <xf numFmtId="0" fontId="13" fillId="0" borderId="1" xfId="0" applyFont="1" applyBorder="1" applyAlignment="1">
      <alignment horizontal="center"/>
    </xf>
    <xf numFmtId="0" fontId="22" fillId="0" borderId="0" xfId="0" applyFont="1"/>
    <xf numFmtId="172" fontId="23" fillId="0" borderId="0" xfId="1" applyNumberFormat="1" applyFont="1"/>
    <xf numFmtId="10" fontId="8" fillId="0" borderId="0" xfId="1" applyNumberFormat="1" applyFont="1"/>
    <xf numFmtId="180" fontId="17" fillId="0" borderId="0" xfId="1" applyNumberFormat="1" applyFont="1" applyFill="1" applyBorder="1"/>
    <xf numFmtId="0" fontId="5" fillId="5" borderId="0" xfId="0" applyFont="1" applyFill="1"/>
    <xf numFmtId="168" fontId="0" fillId="2" borderId="1" xfId="1" applyNumberFormat="1" applyFont="1" applyFill="1" applyBorder="1"/>
    <xf numFmtId="0" fontId="8" fillId="0" borderId="0" xfId="0" applyFont="1" applyAlignment="1">
      <alignment horizontal="left"/>
    </xf>
    <xf numFmtId="0" fontId="0" fillId="0" borderId="1" xfId="1" applyNumberFormat="1" applyFont="1" applyBorder="1"/>
    <xf numFmtId="167" fontId="0" fillId="0" borderId="1" xfId="1" applyNumberFormat="1" applyFont="1" applyBorder="1"/>
    <xf numFmtId="167" fontId="8" fillId="0" borderId="1" xfId="1" applyNumberFormat="1" applyFont="1" applyBorder="1"/>
    <xf numFmtId="168" fontId="0" fillId="0" borderId="0" xfId="1" applyNumberFormat="1" applyFont="1" applyFill="1" applyBorder="1" applyAlignment="1">
      <alignment horizontal="center"/>
    </xf>
    <xf numFmtId="183" fontId="0" fillId="0" borderId="0" xfId="0" applyNumberFormat="1" applyAlignment="1">
      <alignment horizontal="center"/>
    </xf>
    <xf numFmtId="0" fontId="8" fillId="0" borderId="0" xfId="0" applyFont="1" applyAlignment="1">
      <alignment horizontal="center"/>
    </xf>
    <xf numFmtId="0" fontId="9" fillId="0" borderId="0" xfId="0" applyFont="1" applyAlignment="1">
      <alignment horizontal="left"/>
    </xf>
    <xf numFmtId="166" fontId="0" fillId="0" borderId="0" xfId="2" applyFont="1" applyFill="1" applyBorder="1"/>
    <xf numFmtId="166" fontId="0" fillId="0" borderId="1" xfId="2" applyFont="1" applyFill="1" applyBorder="1"/>
    <xf numFmtId="174" fontId="0" fillId="0" borderId="1" xfId="2" applyNumberFormat="1" applyFont="1" applyBorder="1"/>
    <xf numFmtId="172" fontId="1" fillId="0" borderId="0" xfId="1" applyNumberFormat="1" applyFont="1"/>
    <xf numFmtId="167" fontId="11" fillId="0" borderId="0" xfId="1" applyNumberFormat="1" applyFont="1" applyFill="1" applyBorder="1"/>
    <xf numFmtId="172" fontId="6" fillId="0" borderId="1" xfId="1" applyNumberFormat="1" applyFont="1" applyFill="1" applyBorder="1"/>
    <xf numFmtId="177" fontId="6" fillId="0" borderId="0" xfId="1" applyNumberFormat="1" applyFont="1" applyFill="1" applyBorder="1" applyAlignment="1">
      <alignment horizontal="center"/>
    </xf>
    <xf numFmtId="0" fontId="17" fillId="0" borderId="0" xfId="0" applyFont="1"/>
    <xf numFmtId="173" fontId="0" fillId="0" borderId="0" xfId="0" applyNumberFormat="1" applyAlignment="1">
      <alignment horizontal="left"/>
    </xf>
    <xf numFmtId="2" fontId="0" fillId="0" borderId="0" xfId="0" applyNumberFormat="1" applyAlignment="1">
      <alignment horizontal="left"/>
    </xf>
    <xf numFmtId="173" fontId="0" fillId="0" borderId="1" xfId="0" applyNumberFormat="1" applyBorder="1" applyAlignment="1">
      <alignment horizontal="center"/>
    </xf>
    <xf numFmtId="10" fontId="0" fillId="0" borderId="1" xfId="0" applyNumberFormat="1" applyBorder="1" applyAlignment="1">
      <alignment horizontal="center"/>
    </xf>
    <xf numFmtId="10" fontId="0" fillId="0" borderId="1" xfId="1" applyNumberFormat="1" applyFont="1" applyBorder="1" applyAlignment="1">
      <alignment horizontal="center"/>
    </xf>
    <xf numFmtId="168" fontId="0" fillId="0" borderId="1" xfId="1" applyNumberFormat="1" applyFont="1" applyBorder="1" applyAlignment="1">
      <alignment horizontal="center"/>
    </xf>
    <xf numFmtId="174" fontId="0" fillId="0" borderId="1" xfId="2" applyNumberFormat="1" applyFont="1" applyBorder="1" applyAlignment="1">
      <alignment horizontal="center"/>
    </xf>
    <xf numFmtId="180" fontId="0" fillId="0" borderId="1" xfId="0" applyNumberFormat="1" applyBorder="1" applyAlignment="1">
      <alignment horizontal="center"/>
    </xf>
    <xf numFmtId="168" fontId="0" fillId="0" borderId="0" xfId="1" applyNumberFormat="1" applyFont="1" applyAlignment="1">
      <alignment horizontal="center"/>
    </xf>
    <xf numFmtId="174" fontId="0" fillId="0" borderId="0" xfId="2" applyNumberFormat="1" applyFont="1" applyAlignment="1">
      <alignment horizontal="center"/>
    </xf>
    <xf numFmtId="10" fontId="0" fillId="0" borderId="0" xfId="1" applyNumberFormat="1" applyFont="1" applyAlignment="1">
      <alignment horizontal="center"/>
    </xf>
    <xf numFmtId="180" fontId="0" fillId="0" borderId="0" xfId="0" applyNumberFormat="1" applyAlignment="1">
      <alignment horizontal="center"/>
    </xf>
    <xf numFmtId="0" fontId="9" fillId="0" borderId="0" xfId="0" applyFont="1" applyAlignment="1">
      <alignment horizontal="center"/>
    </xf>
    <xf numFmtId="173" fontId="9" fillId="0" borderId="0" xfId="0" applyNumberFormat="1" applyFont="1" applyAlignment="1">
      <alignment horizontal="center"/>
    </xf>
    <xf numFmtId="172" fontId="9" fillId="0" borderId="0" xfId="1" applyNumberFormat="1" applyFont="1" applyFill="1" applyBorder="1" applyAlignment="1">
      <alignment horizontal="center"/>
    </xf>
    <xf numFmtId="172" fontId="6" fillId="0" borderId="1" xfId="1" applyNumberFormat="1" applyFont="1" applyFill="1" applyBorder="1" applyAlignment="1">
      <alignment horizontal="center"/>
    </xf>
    <xf numFmtId="2" fontId="6" fillId="0" borderId="1" xfId="1" applyNumberFormat="1" applyFont="1" applyFill="1" applyBorder="1" applyAlignment="1">
      <alignment horizontal="center"/>
    </xf>
    <xf numFmtId="10" fontId="6" fillId="0" borderId="1" xfId="1" applyNumberFormat="1" applyFont="1" applyFill="1" applyBorder="1" applyAlignment="1">
      <alignment horizontal="center"/>
    </xf>
    <xf numFmtId="172" fontId="6" fillId="0" borderId="0" xfId="1" applyNumberFormat="1" applyFont="1" applyFill="1" applyBorder="1" applyAlignment="1">
      <alignment horizontal="center"/>
    </xf>
    <xf numFmtId="2" fontId="6" fillId="0" borderId="0" xfId="1" applyNumberFormat="1" applyFont="1" applyFill="1" applyBorder="1" applyAlignment="1">
      <alignment horizontal="center"/>
    </xf>
    <xf numFmtId="173" fontId="0" fillId="0" borderId="0" xfId="0" applyNumberFormat="1" applyAlignment="1">
      <alignment horizontal="center"/>
    </xf>
    <xf numFmtId="173" fontId="0" fillId="0" borderId="0" xfId="1" applyNumberFormat="1" applyFont="1" applyFill="1" applyBorder="1"/>
    <xf numFmtId="171" fontId="0" fillId="0" borderId="0" xfId="1" applyNumberFormat="1" applyFont="1" applyFill="1" applyBorder="1"/>
    <xf numFmtId="169" fontId="1" fillId="0" borderId="0" xfId="1" applyNumberFormat="1" applyFont="1" applyFill="1" applyBorder="1"/>
    <xf numFmtId="172" fontId="0" fillId="0" borderId="0" xfId="1" applyNumberFormat="1" applyFont="1" applyFill="1" applyBorder="1" applyAlignment="1">
      <alignment horizontal="right"/>
    </xf>
    <xf numFmtId="169" fontId="9" fillId="0" borderId="0" xfId="1" applyNumberFormat="1" applyFont="1" applyFill="1" applyBorder="1"/>
    <xf numFmtId="166" fontId="24" fillId="0" borderId="1" xfId="2" applyFont="1" applyFill="1" applyBorder="1" applyAlignment="1">
      <alignment horizontal="center"/>
    </xf>
    <xf numFmtId="0" fontId="0" fillId="2" borderId="1" xfId="0" applyFill="1" applyBorder="1" applyAlignment="1">
      <alignment horizontal="center"/>
    </xf>
    <xf numFmtId="166" fontId="0" fillId="0" borderId="0" xfId="0" applyNumberFormat="1"/>
    <xf numFmtId="184" fontId="0" fillId="0" borderId="0" xfId="0" applyNumberFormat="1"/>
    <xf numFmtId="179" fontId="0" fillId="0" borderId="0" xfId="0" applyNumberFormat="1"/>
    <xf numFmtId="0" fontId="25" fillId="0" borderId="0" xfId="0" applyFont="1"/>
    <xf numFmtId="10" fontId="0" fillId="0" borderId="0" xfId="2" applyNumberFormat="1" applyFont="1" applyBorder="1"/>
    <xf numFmtId="172" fontId="0" fillId="0" borderId="0" xfId="1" applyNumberFormat="1" applyFont="1" applyBorder="1"/>
    <xf numFmtId="184" fontId="0" fillId="2" borderId="1" xfId="0" applyNumberFormat="1" applyFill="1" applyBorder="1"/>
    <xf numFmtId="167" fontId="11" fillId="0" borderId="1" xfId="1" applyNumberFormat="1" applyFont="1" applyFill="1" applyBorder="1" applyAlignment="1">
      <alignment horizontal="right"/>
    </xf>
    <xf numFmtId="10" fontId="11" fillId="0" borderId="1" xfId="1" applyNumberFormat="1" applyFont="1" applyFill="1" applyBorder="1" applyAlignment="1">
      <alignment horizontal="right"/>
    </xf>
    <xf numFmtId="0" fontId="11" fillId="0" borderId="1" xfId="0" applyFont="1" applyBorder="1"/>
    <xf numFmtId="175" fontId="11" fillId="0" borderId="1" xfId="0" applyNumberFormat="1" applyFont="1" applyBorder="1"/>
    <xf numFmtId="184" fontId="0" fillId="0" borderId="1" xfId="0" applyNumberFormat="1" applyBorder="1"/>
    <xf numFmtId="10" fontId="0" fillId="11" borderId="1" xfId="0" applyNumberFormat="1" applyFill="1" applyBorder="1"/>
    <xf numFmtId="0" fontId="0" fillId="11" borderId="1" xfId="0" applyFill="1" applyBorder="1"/>
    <xf numFmtId="0" fontId="26" fillId="0" borderId="0" xfId="0" applyFont="1"/>
    <xf numFmtId="184" fontId="0" fillId="0" borderId="1" xfId="0" applyNumberFormat="1" applyBorder="1" applyAlignment="1">
      <alignment horizontal="center"/>
    </xf>
    <xf numFmtId="172" fontId="0" fillId="0" borderId="1" xfId="0" applyNumberFormat="1" applyBorder="1" applyAlignment="1">
      <alignment horizontal="center"/>
    </xf>
    <xf numFmtId="172" fontId="0" fillId="0" borderId="0" xfId="0" applyNumberFormat="1" applyAlignment="1">
      <alignment horizontal="center"/>
    </xf>
    <xf numFmtId="1" fontId="0" fillId="0" borderId="0" xfId="1" applyNumberFormat="1" applyFont="1" applyFill="1" applyBorder="1"/>
    <xf numFmtId="2" fontId="0" fillId="0" borderId="0" xfId="1" applyNumberFormat="1" applyFont="1" applyFill="1" applyBorder="1"/>
    <xf numFmtId="172" fontId="0" fillId="0" borderId="1" xfId="1" applyNumberFormat="1" applyFont="1" applyFill="1" applyBorder="1" applyAlignment="1">
      <alignment horizontal="center"/>
    </xf>
    <xf numFmtId="173" fontId="1" fillId="0" borderId="0" xfId="1" applyNumberFormat="1" applyFont="1" applyFill="1" applyBorder="1"/>
    <xf numFmtId="0" fontId="0" fillId="0" borderId="1" xfId="0" applyBorder="1" applyAlignment="1">
      <alignment horizontal="center"/>
    </xf>
    <xf numFmtId="10" fontId="0" fillId="0" borderId="0" xfId="1" applyNumberFormat="1" applyFont="1" applyFill="1" applyBorder="1" applyAlignment="1">
      <alignment horizontal="center"/>
    </xf>
    <xf numFmtId="10" fontId="0" fillId="0" borderId="1" xfId="0" applyNumberFormat="1" applyBorder="1"/>
    <xf numFmtId="0" fontId="27" fillId="0" borderId="0" xfId="0" applyFont="1"/>
    <xf numFmtId="0" fontId="28" fillId="0" borderId="0" xfId="0" applyFont="1"/>
    <xf numFmtId="0" fontId="29" fillId="0" borderId="0" xfId="0" applyFont="1"/>
    <xf numFmtId="174" fontId="1" fillId="0" borderId="0" xfId="2" applyNumberFormat="1" applyFont="1" applyAlignment="1">
      <alignment horizontal="center"/>
    </xf>
    <xf numFmtId="0" fontId="11" fillId="0" borderId="0" xfId="0" applyFont="1" applyAlignment="1">
      <alignment horizontal="center"/>
    </xf>
    <xf numFmtId="9" fontId="0" fillId="0" borderId="1" xfId="0" applyNumberFormat="1" applyBorder="1" applyAlignment="1">
      <alignment horizontal="center"/>
    </xf>
    <xf numFmtId="0" fontId="0" fillId="0" borderId="1" xfId="2" applyNumberFormat="1" applyFont="1" applyBorder="1" applyAlignment="1">
      <alignment horizontal="center"/>
    </xf>
    <xf numFmtId="2" fontId="11" fillId="0" borderId="0" xfId="0" applyNumberFormat="1" applyFont="1" applyAlignment="1">
      <alignment horizontal="left"/>
    </xf>
    <xf numFmtId="9" fontId="11" fillId="0" borderId="0" xfId="0" applyNumberFormat="1" applyFont="1" applyAlignment="1">
      <alignment horizontal="center"/>
    </xf>
    <xf numFmtId="10" fontId="11" fillId="0" borderId="0" xfId="1" applyNumberFormat="1" applyFont="1" applyFill="1" applyBorder="1" applyAlignment="1">
      <alignment horizontal="center"/>
    </xf>
    <xf numFmtId="10" fontId="11" fillId="0" borderId="1" xfId="1" applyNumberFormat="1" applyFont="1" applyFill="1" applyBorder="1" applyAlignment="1">
      <alignment horizontal="center"/>
    </xf>
    <xf numFmtId="0" fontId="1" fillId="0" borderId="1" xfId="0" applyFont="1" applyBorder="1" applyAlignment="1">
      <alignment horizontal="center"/>
    </xf>
    <xf numFmtId="10" fontId="11" fillId="0" borderId="0" xfId="0" applyNumberFormat="1" applyFont="1" applyAlignment="1">
      <alignment horizontal="center"/>
    </xf>
    <xf numFmtId="172" fontId="14" fillId="0" borderId="0" xfId="1" applyNumberFormat="1" applyFont="1" applyFill="1" applyBorder="1" applyAlignment="1">
      <alignment horizontal="right"/>
    </xf>
    <xf numFmtId="180" fontId="0" fillId="0" borderId="1" xfId="0" applyNumberFormat="1" applyBorder="1"/>
    <xf numFmtId="0" fontId="0" fillId="2" borderId="1" xfId="1" applyNumberFormat="1" applyFont="1" applyFill="1" applyBorder="1" applyAlignment="1">
      <alignment horizontal="center"/>
    </xf>
    <xf numFmtId="0" fontId="17" fillId="0" borderId="0" xfId="0" applyFont="1" applyAlignment="1">
      <alignment horizontal="left"/>
    </xf>
    <xf numFmtId="10" fontId="7" fillId="0" borderId="0" xfId="1" applyNumberFormat="1" applyFont="1"/>
    <xf numFmtId="180" fontId="0" fillId="0" borderId="1" xfId="1" applyNumberFormat="1" applyFont="1" applyBorder="1"/>
    <xf numFmtId="177" fontId="0" fillId="0" borderId="1" xfId="0" applyNumberFormat="1" applyBorder="1" applyAlignment="1">
      <alignment horizontal="center"/>
    </xf>
    <xf numFmtId="0" fontId="11" fillId="2" borderId="1" xfId="0" applyFont="1" applyFill="1" applyBorder="1" applyAlignment="1">
      <alignment horizontal="center"/>
    </xf>
    <xf numFmtId="170" fontId="0" fillId="0" borderId="1" xfId="1" applyNumberFormat="1" applyFont="1" applyBorder="1"/>
    <xf numFmtId="9" fontId="0" fillId="0" borderId="0" xfId="0" applyNumberFormat="1" applyAlignment="1">
      <alignment horizontal="center"/>
    </xf>
    <xf numFmtId="10" fontId="0" fillId="0" borderId="0" xfId="1" applyNumberFormat="1" applyFont="1" applyBorder="1" applyAlignment="1">
      <alignment horizontal="center"/>
    </xf>
    <xf numFmtId="10" fontId="8" fillId="2" borderId="0" xfId="0" applyNumberFormat="1" applyFont="1" applyFill="1" applyAlignment="1">
      <alignment horizontal="center"/>
    </xf>
    <xf numFmtId="172" fontId="6" fillId="2" borderId="1" xfId="1" applyNumberFormat="1" applyFont="1" applyFill="1" applyBorder="1" applyAlignment="1">
      <alignment horizontal="center"/>
    </xf>
    <xf numFmtId="173" fontId="8" fillId="2" borderId="0" xfId="0" applyNumberFormat="1" applyFont="1" applyFill="1" applyAlignment="1">
      <alignment horizontal="center"/>
    </xf>
    <xf numFmtId="9" fontId="9" fillId="0" borderId="1" xfId="0" applyNumberFormat="1" applyFont="1" applyBorder="1"/>
    <xf numFmtId="174" fontId="0" fillId="0" borderId="1" xfId="2" applyNumberFormat="1" applyFont="1" applyFill="1" applyBorder="1"/>
    <xf numFmtId="170" fontId="0" fillId="0" borderId="1" xfId="1" applyNumberFormat="1" applyFont="1" applyFill="1" applyBorder="1"/>
    <xf numFmtId="2" fontId="0" fillId="0" borderId="1" xfId="0" applyNumberFormat="1" applyBorder="1" applyAlignment="1">
      <alignment horizontal="center"/>
    </xf>
    <xf numFmtId="10" fontId="33" fillId="0" borderId="1" xfId="1" applyNumberFormat="1" applyFont="1" applyFill="1" applyBorder="1" applyAlignment="1">
      <alignment horizontal="center"/>
    </xf>
    <xf numFmtId="10" fontId="33" fillId="0" borderId="1" xfId="1" applyNumberFormat="1" applyFont="1" applyBorder="1" applyAlignment="1">
      <alignment horizontal="center"/>
    </xf>
    <xf numFmtId="10" fontId="15" fillId="0" borderId="0" xfId="0" applyNumberFormat="1" applyFont="1"/>
    <xf numFmtId="2" fontId="1" fillId="0" borderId="0" xfId="0" applyNumberFormat="1" applyFont="1"/>
    <xf numFmtId="171" fontId="1" fillId="0" borderId="0" xfId="0" applyNumberFormat="1" applyFont="1"/>
    <xf numFmtId="1" fontId="0" fillId="0" borderId="0" xfId="2" applyNumberFormat="1" applyFont="1" applyBorder="1"/>
    <xf numFmtId="172" fontId="8" fillId="0" borderId="0" xfId="1" applyNumberFormat="1" applyFont="1"/>
    <xf numFmtId="167" fontId="0" fillId="0" borderId="1" xfId="0" applyNumberFormat="1" applyBorder="1"/>
    <xf numFmtId="0" fontId="5" fillId="15" borderId="0" xfId="0" applyFont="1" applyFill="1"/>
    <xf numFmtId="172" fontId="0" fillId="0" borderId="0" xfId="1" applyNumberFormat="1" applyFont="1" applyAlignment="1">
      <alignment horizontal="center"/>
    </xf>
    <xf numFmtId="172" fontId="0" fillId="0" borderId="1" xfId="0" applyNumberFormat="1" applyBorder="1"/>
    <xf numFmtId="0" fontId="0" fillId="0" borderId="3" xfId="0" applyBorder="1" applyAlignment="1">
      <alignment horizontal="right"/>
    </xf>
    <xf numFmtId="183" fontId="0" fillId="0" borderId="1" xfId="1" applyNumberFormat="1" applyFont="1" applyFill="1" applyBorder="1" applyAlignment="1">
      <alignment horizontal="center"/>
    </xf>
    <xf numFmtId="168" fontId="0" fillId="0" borderId="1" xfId="1" applyNumberFormat="1" applyFont="1" applyFill="1" applyBorder="1" applyAlignment="1">
      <alignment horizontal="center"/>
    </xf>
    <xf numFmtId="172" fontId="0" fillId="0" borderId="1" xfId="1" applyNumberFormat="1" applyFont="1" applyBorder="1" applyAlignment="1">
      <alignment horizontal="center"/>
    </xf>
    <xf numFmtId="166" fontId="0" fillId="0" borderId="1" xfId="2" applyFont="1" applyFill="1" applyBorder="1" applyAlignment="1">
      <alignment horizontal="center"/>
    </xf>
    <xf numFmtId="168" fontId="0" fillId="0" borderId="1" xfId="0" applyNumberFormat="1" applyBorder="1" applyAlignment="1">
      <alignment horizontal="center"/>
    </xf>
    <xf numFmtId="166" fontId="0" fillId="0" borderId="0" xfId="2" applyFont="1" applyFill="1" applyBorder="1" applyAlignment="1">
      <alignment horizontal="center"/>
    </xf>
    <xf numFmtId="10" fontId="11" fillId="0" borderId="1" xfId="0" applyNumberFormat="1" applyFont="1" applyBorder="1" applyAlignment="1">
      <alignment horizontal="center"/>
    </xf>
    <xf numFmtId="177" fontId="9" fillId="0" borderId="0" xfId="0" applyNumberFormat="1" applyFont="1" applyAlignment="1">
      <alignment horizontal="center"/>
    </xf>
    <xf numFmtId="2" fontId="0" fillId="0" borderId="1" xfId="1" applyNumberFormat="1" applyFont="1" applyFill="1" applyBorder="1" applyAlignment="1">
      <alignment horizontal="center"/>
    </xf>
    <xf numFmtId="0" fontId="9" fillId="0" borderId="0" xfId="0" applyFont="1" applyAlignment="1">
      <alignment horizontal="right"/>
    </xf>
    <xf numFmtId="168" fontId="1" fillId="0" borderId="0" xfId="0" applyNumberFormat="1" applyFont="1" applyAlignment="1">
      <alignment horizontal="right"/>
    </xf>
    <xf numFmtId="168" fontId="1" fillId="0" borderId="0" xfId="0" applyNumberFormat="1" applyFont="1" applyAlignment="1">
      <alignment horizontal="center"/>
    </xf>
    <xf numFmtId="173" fontId="0" fillId="0" borderId="0" xfId="0" applyNumberFormat="1" applyAlignment="1">
      <alignment horizontal="right"/>
    </xf>
    <xf numFmtId="168" fontId="9" fillId="0" borderId="0" xfId="0" applyNumberFormat="1" applyFont="1" applyAlignment="1">
      <alignment horizontal="center"/>
    </xf>
    <xf numFmtId="166" fontId="24" fillId="0" borderId="0" xfId="2" applyFont="1" applyFill="1" applyBorder="1" applyAlignment="1">
      <alignment horizontal="center"/>
    </xf>
    <xf numFmtId="10" fontId="1" fillId="0" borderId="0" xfId="1" applyNumberFormat="1" applyFont="1" applyBorder="1" applyAlignment="1">
      <alignment horizontal="center"/>
    </xf>
    <xf numFmtId="172" fontId="0" fillId="16" borderId="1" xfId="1" applyNumberFormat="1" applyFont="1" applyFill="1" applyBorder="1" applyAlignment="1">
      <alignment horizontal="center"/>
    </xf>
    <xf numFmtId="184" fontId="0" fillId="16" borderId="1" xfId="0" applyNumberFormat="1" applyFill="1" applyBorder="1"/>
    <xf numFmtId="10" fontId="0" fillId="16" borderId="1" xfId="1" applyNumberFormat="1" applyFont="1" applyFill="1" applyBorder="1"/>
    <xf numFmtId="0" fontId="0" fillId="16" borderId="1" xfId="0" applyFill="1" applyBorder="1"/>
    <xf numFmtId="172" fontId="0" fillId="16" borderId="1" xfId="1" applyNumberFormat="1" applyFont="1" applyFill="1" applyBorder="1"/>
    <xf numFmtId="173" fontId="0" fillId="16" borderId="1" xfId="0" applyNumberFormat="1" applyFill="1" applyBorder="1"/>
    <xf numFmtId="0" fontId="0" fillId="6" borderId="1" xfId="0" applyFill="1" applyBorder="1"/>
    <xf numFmtId="172" fontId="1" fillId="0" borderId="0" xfId="1" applyNumberFormat="1" applyFont="1" applyFill="1" applyBorder="1" applyAlignment="1">
      <alignment horizontal="center"/>
    </xf>
    <xf numFmtId="172" fontId="11" fillId="0" borderId="0" xfId="1" applyNumberFormat="1" applyFont="1" applyAlignment="1">
      <alignment horizontal="center"/>
    </xf>
    <xf numFmtId="0" fontId="34" fillId="0" borderId="0" xfId="0" applyFont="1"/>
    <xf numFmtId="0" fontId="35" fillId="0" borderId="16" xfId="0" applyFont="1" applyBorder="1"/>
    <xf numFmtId="10" fontId="36" fillId="0" borderId="4" xfId="0" applyNumberFormat="1" applyFont="1" applyBorder="1" applyAlignment="1">
      <alignment horizontal="center"/>
    </xf>
    <xf numFmtId="10" fontId="36" fillId="0" borderId="38" xfId="0" applyNumberFormat="1" applyFont="1" applyBorder="1" applyAlignment="1">
      <alignment horizontal="center"/>
    </xf>
    <xf numFmtId="0" fontId="36" fillId="0" borderId="6" xfId="0" applyFont="1" applyBorder="1" applyAlignment="1">
      <alignment vertical="center"/>
    </xf>
    <xf numFmtId="10" fontId="35" fillId="0" borderId="7" xfId="0" applyNumberFormat="1" applyFont="1" applyBorder="1" applyAlignment="1">
      <alignment horizontal="center"/>
    </xf>
    <xf numFmtId="10" fontId="35" fillId="0" borderId="21" xfId="0" applyNumberFormat="1" applyFont="1" applyBorder="1" applyAlignment="1">
      <alignment horizontal="center"/>
    </xf>
    <xf numFmtId="0" fontId="36" fillId="0" borderId="9" xfId="0" applyFont="1" applyBorder="1" applyAlignment="1">
      <alignment vertical="center"/>
    </xf>
    <xf numFmtId="2" fontId="35" fillId="0" borderId="10" xfId="0" applyNumberFormat="1" applyFont="1" applyBorder="1" applyAlignment="1">
      <alignment horizontal="center"/>
    </xf>
    <xf numFmtId="2" fontId="35" fillId="0" borderId="33" xfId="0" applyNumberFormat="1" applyFont="1" applyBorder="1" applyAlignment="1">
      <alignment horizontal="center"/>
    </xf>
    <xf numFmtId="10" fontId="35" fillId="0" borderId="10" xfId="1" applyNumberFormat="1" applyFont="1" applyBorder="1" applyAlignment="1">
      <alignment horizontal="center"/>
    </xf>
    <xf numFmtId="10" fontId="35" fillId="0" borderId="33" xfId="1" applyNumberFormat="1" applyFont="1" applyBorder="1" applyAlignment="1">
      <alignment horizontal="center"/>
    </xf>
    <xf numFmtId="0" fontId="36" fillId="0" borderId="11" xfId="0" applyFont="1" applyBorder="1" applyAlignment="1">
      <alignment vertical="center" wrapText="1"/>
    </xf>
    <xf numFmtId="2" fontId="35" fillId="0" borderId="12" xfId="0" applyNumberFormat="1" applyFont="1" applyBorder="1" applyAlignment="1">
      <alignment horizontal="center"/>
    </xf>
    <xf numFmtId="2" fontId="35" fillId="0" borderId="39" xfId="0" applyNumberFormat="1" applyFont="1" applyBorder="1" applyAlignment="1">
      <alignment horizontal="center"/>
    </xf>
    <xf numFmtId="0" fontId="37" fillId="11" borderId="16" xfId="0" applyFont="1" applyFill="1" applyBorder="1"/>
    <xf numFmtId="0" fontId="34" fillId="0" borderId="19" xfId="0" applyFont="1" applyBorder="1"/>
    <xf numFmtId="0" fontId="37" fillId="0" borderId="34" xfId="0" applyFont="1" applyBorder="1"/>
    <xf numFmtId="0" fontId="37" fillId="18" borderId="7" xfId="0" applyFont="1" applyFill="1" applyBorder="1" applyAlignment="1">
      <alignment horizontal="center" vertical="center"/>
    </xf>
    <xf numFmtId="0" fontId="37" fillId="18" borderId="21" xfId="0" applyFont="1" applyFill="1" applyBorder="1" applyAlignment="1">
      <alignment horizontal="center" vertical="center"/>
    </xf>
    <xf numFmtId="0" fontId="37" fillId="0" borderId="9" xfId="0" applyFont="1" applyBorder="1"/>
    <xf numFmtId="185" fontId="34" fillId="0" borderId="22" xfId="2" applyNumberFormat="1" applyFont="1" applyFill="1" applyBorder="1" applyAlignment="1">
      <alignment horizontal="center" vertical="center"/>
    </xf>
    <xf numFmtId="185" fontId="34" fillId="0" borderId="40" xfId="2" applyNumberFormat="1" applyFont="1" applyFill="1" applyBorder="1" applyAlignment="1">
      <alignment horizontal="center" vertical="center"/>
    </xf>
    <xf numFmtId="0" fontId="37" fillId="0" borderId="35" xfId="0" applyFont="1" applyBorder="1" applyAlignment="1">
      <alignment vertical="top"/>
    </xf>
    <xf numFmtId="0" fontId="37" fillId="0" borderId="6" xfId="0" applyFont="1" applyBorder="1" applyAlignment="1">
      <alignment vertical="top"/>
    </xf>
    <xf numFmtId="0" fontId="37" fillId="20" borderId="7" xfId="0" applyFont="1" applyFill="1" applyBorder="1" applyAlignment="1">
      <alignment horizontal="center" vertical="center"/>
    </xf>
    <xf numFmtId="0" fontId="37" fillId="20" borderId="21" xfId="0" applyFont="1" applyFill="1" applyBorder="1" applyAlignment="1">
      <alignment horizontal="center" vertical="center"/>
    </xf>
    <xf numFmtId="0" fontId="37" fillId="0" borderId="6" xfId="0" applyFont="1" applyBorder="1"/>
    <xf numFmtId="185" fontId="34" fillId="20" borderId="22" xfId="2" applyNumberFormat="1" applyFont="1" applyFill="1" applyBorder="1" applyAlignment="1">
      <alignment horizontal="center" vertical="center"/>
    </xf>
    <xf numFmtId="185" fontId="34" fillId="20" borderId="40" xfId="2" applyNumberFormat="1" applyFont="1" applyFill="1" applyBorder="1" applyAlignment="1">
      <alignment horizontal="center" vertical="center"/>
    </xf>
    <xf numFmtId="186" fontId="34" fillId="20" borderId="10" xfId="2" applyNumberFormat="1" applyFont="1" applyFill="1" applyBorder="1" applyAlignment="1">
      <alignment horizontal="center" vertical="center"/>
    </xf>
    <xf numFmtId="186" fontId="34" fillId="20" borderId="33" xfId="2" applyNumberFormat="1" applyFont="1" applyFill="1" applyBorder="1" applyAlignment="1">
      <alignment horizontal="center" vertical="center"/>
    </xf>
    <xf numFmtId="0" fontId="37" fillId="0" borderId="9" xfId="0" applyFont="1" applyBorder="1" applyAlignment="1">
      <alignment vertical="top"/>
    </xf>
    <xf numFmtId="0" fontId="37" fillId="22" borderId="7" xfId="0" applyFont="1" applyFill="1" applyBorder="1" applyAlignment="1">
      <alignment horizontal="center" vertical="center"/>
    </xf>
    <xf numFmtId="0" fontId="37" fillId="22" borderId="21" xfId="0" applyFont="1" applyFill="1" applyBorder="1" applyAlignment="1">
      <alignment horizontal="center" vertical="center"/>
    </xf>
    <xf numFmtId="185" fontId="34" fillId="22" borderId="22" xfId="2" applyNumberFormat="1" applyFont="1" applyFill="1" applyBorder="1" applyAlignment="1">
      <alignment horizontal="center" vertical="center"/>
    </xf>
    <xf numFmtId="185" fontId="34" fillId="22" borderId="40" xfId="2" applyNumberFormat="1" applyFont="1" applyFill="1" applyBorder="1" applyAlignment="1">
      <alignment horizontal="center" vertical="center"/>
    </xf>
    <xf numFmtId="186" fontId="34" fillId="22" borderId="22" xfId="2" applyNumberFormat="1" applyFont="1" applyFill="1" applyBorder="1" applyAlignment="1">
      <alignment horizontal="center" vertical="center"/>
    </xf>
    <xf numFmtId="186" fontId="34" fillId="22" borderId="40" xfId="2" applyNumberFormat="1" applyFont="1" applyFill="1" applyBorder="1" applyAlignment="1">
      <alignment horizontal="center" vertical="center"/>
    </xf>
    <xf numFmtId="0" fontId="37" fillId="24" borderId="7" xfId="0" applyFont="1" applyFill="1" applyBorder="1" applyAlignment="1">
      <alignment horizontal="center" vertical="center"/>
    </xf>
    <xf numFmtId="0" fontId="37" fillId="24" borderId="21" xfId="0" applyFont="1" applyFill="1" applyBorder="1" applyAlignment="1">
      <alignment horizontal="center" vertical="center"/>
    </xf>
    <xf numFmtId="185" fontId="34" fillId="24" borderId="22" xfId="2" applyNumberFormat="1" applyFont="1" applyFill="1" applyBorder="1" applyAlignment="1">
      <alignment horizontal="center" vertical="center"/>
    </xf>
    <xf numFmtId="185" fontId="34" fillId="24" borderId="40" xfId="2" applyNumberFormat="1" applyFont="1" applyFill="1" applyBorder="1" applyAlignment="1">
      <alignment horizontal="center" vertical="center"/>
    </xf>
    <xf numFmtId="0" fontId="37" fillId="0" borderId="19" xfId="0" applyFont="1" applyBorder="1" applyAlignment="1">
      <alignment vertical="top"/>
    </xf>
    <xf numFmtId="185" fontId="34" fillId="24" borderId="7" xfId="2" applyNumberFormat="1" applyFont="1" applyFill="1" applyBorder="1" applyAlignment="1">
      <alignment horizontal="center" vertical="center"/>
    </xf>
    <xf numFmtId="185" fontId="34" fillId="24" borderId="21" xfId="2" applyNumberFormat="1" applyFont="1" applyFill="1" applyBorder="1" applyAlignment="1">
      <alignment horizontal="center" vertical="center"/>
    </xf>
    <xf numFmtId="0" fontId="38" fillId="0" borderId="25" xfId="0" applyFont="1" applyBorder="1" applyAlignment="1">
      <alignment vertical="top"/>
    </xf>
    <xf numFmtId="0" fontId="34" fillId="0" borderId="14" xfId="0" applyFont="1" applyBorder="1"/>
    <xf numFmtId="0" fontId="36" fillId="25" borderId="16" xfId="0" applyFont="1" applyFill="1" applyBorder="1"/>
    <xf numFmtId="0" fontId="37" fillId="25" borderId="32" xfId="0" applyFont="1" applyFill="1" applyBorder="1" applyAlignment="1">
      <alignment horizontal="center"/>
    </xf>
    <xf numFmtId="0" fontId="37" fillId="25" borderId="37" xfId="0" applyFont="1" applyFill="1" applyBorder="1" applyAlignment="1">
      <alignment horizontal="center"/>
    </xf>
    <xf numFmtId="0" fontId="36" fillId="0" borderId="6" xfId="0" applyFont="1" applyBorder="1" applyAlignment="1">
      <alignment horizontal="left" wrapText="1"/>
    </xf>
    <xf numFmtId="0" fontId="40" fillId="0" borderId="19" xfId="0" applyFont="1" applyBorder="1"/>
    <xf numFmtId="0" fontId="36" fillId="0" borderId="35" xfId="0" applyFont="1" applyBorder="1" applyAlignment="1">
      <alignment vertical="center"/>
    </xf>
    <xf numFmtId="0" fontId="36" fillId="0" borderId="9" xfId="0" applyFont="1" applyBorder="1" applyAlignment="1">
      <alignment horizontal="right"/>
    </xf>
    <xf numFmtId="0" fontId="41" fillId="0" borderId="10" xfId="7" applyFont="1" applyFill="1" applyBorder="1" applyAlignment="1">
      <alignment horizontal="center" vertical="center" wrapText="1"/>
    </xf>
    <xf numFmtId="0" fontId="41" fillId="0" borderId="33" xfId="7" applyFont="1" applyFill="1" applyBorder="1" applyAlignment="1">
      <alignment horizontal="center" vertical="center" wrapText="1"/>
    </xf>
    <xf numFmtId="0" fontId="36" fillId="0" borderId="9" xfId="0" applyFont="1" applyBorder="1"/>
    <xf numFmtId="0" fontId="36" fillId="0" borderId="0" xfId="0" applyFont="1" applyAlignment="1">
      <alignment horizontal="left" vertical="top"/>
    </xf>
    <xf numFmtId="0" fontId="36" fillId="0" borderId="34" xfId="0" applyFont="1" applyBorder="1" applyAlignment="1">
      <alignment horizontal="left"/>
    </xf>
    <xf numFmtId="0" fontId="43" fillId="0" borderId="19" xfId="0" applyFont="1" applyBorder="1"/>
    <xf numFmtId="0" fontId="37" fillId="0" borderId="35" xfId="0" applyFont="1" applyBorder="1"/>
    <xf numFmtId="0" fontId="37" fillId="0" borderId="11" xfId="0" applyFont="1" applyBorder="1"/>
    <xf numFmtId="0" fontId="44" fillId="0" borderId="0" xfId="9" applyFont="1"/>
    <xf numFmtId="0" fontId="45" fillId="0" borderId="7" xfId="0" applyFont="1" applyBorder="1" applyAlignment="1">
      <alignment horizontal="center" vertical="center"/>
    </xf>
    <xf numFmtId="0" fontId="45" fillId="0" borderId="21" xfId="0" applyFont="1" applyBorder="1" applyAlignment="1">
      <alignment horizontal="center"/>
    </xf>
    <xf numFmtId="0" fontId="46" fillId="0" borderId="12" xfId="0" applyFont="1" applyBorder="1" applyAlignment="1">
      <alignment horizontal="center" vertical="center"/>
    </xf>
    <xf numFmtId="0" fontId="45" fillId="0" borderId="39" xfId="0" applyFont="1" applyBorder="1" applyAlignment="1">
      <alignment horizontal="center"/>
    </xf>
    <xf numFmtId="0" fontId="45" fillId="0" borderId="0" xfId="0" applyFont="1" applyAlignment="1">
      <alignment horizontal="right"/>
    </xf>
    <xf numFmtId="0" fontId="1" fillId="0" borderId="0" xfId="0" applyFont="1" applyAlignment="1">
      <alignment horizontal="left" indent="1"/>
    </xf>
    <xf numFmtId="10" fontId="47" fillId="0" borderId="0" xfId="0" applyNumberFormat="1" applyFont="1"/>
    <xf numFmtId="0" fontId="46" fillId="0" borderId="0" xfId="0" applyFont="1"/>
    <xf numFmtId="0" fontId="44" fillId="0" borderId="0" xfId="0" applyFont="1"/>
    <xf numFmtId="0" fontId="49" fillId="0" borderId="0" xfId="0" applyFont="1"/>
    <xf numFmtId="0" fontId="45" fillId="0" borderId="0" xfId="0" applyFont="1"/>
    <xf numFmtId="0" fontId="47" fillId="0" borderId="0" xfId="0" applyFont="1"/>
    <xf numFmtId="0" fontId="45" fillId="0" borderId="7" xfId="0" applyFont="1" applyBorder="1"/>
    <xf numFmtId="0" fontId="45" fillId="0" borderId="8" xfId="0" applyFont="1" applyBorder="1"/>
    <xf numFmtId="0" fontId="45" fillId="0" borderId="21" xfId="0" applyFont="1" applyBorder="1"/>
    <xf numFmtId="0" fontId="45" fillId="0" borderId="8" xfId="0" applyFont="1" applyBorder="1" applyAlignment="1">
      <alignment horizontal="right"/>
    </xf>
    <xf numFmtId="0" fontId="45" fillId="0" borderId="21" xfId="0" applyFont="1" applyBorder="1" applyAlignment="1">
      <alignment horizontal="right"/>
    </xf>
    <xf numFmtId="0" fontId="46" fillId="18" borderId="10" xfId="0" applyFont="1" applyFill="1" applyBorder="1"/>
    <xf numFmtId="0" fontId="49" fillId="18" borderId="10" xfId="0" applyFont="1" applyFill="1" applyBorder="1"/>
    <xf numFmtId="1" fontId="49" fillId="18" borderId="1" xfId="0" applyNumberFormat="1" applyFont="1" applyFill="1" applyBorder="1"/>
    <xf numFmtId="1" fontId="49" fillId="18" borderId="33" xfId="0" applyNumberFormat="1" applyFont="1" applyFill="1" applyBorder="1"/>
    <xf numFmtId="0" fontId="46" fillId="27" borderId="10" xfId="0" applyFont="1" applyFill="1" applyBorder="1"/>
    <xf numFmtId="0" fontId="49" fillId="27" borderId="10" xfId="0" applyFont="1" applyFill="1" applyBorder="1"/>
    <xf numFmtId="1" fontId="49" fillId="27" borderId="1" xfId="0" applyNumberFormat="1" applyFont="1" applyFill="1" applyBorder="1"/>
    <xf numFmtId="1" fontId="49" fillId="27" borderId="33" xfId="0" applyNumberFormat="1" applyFont="1" applyFill="1" applyBorder="1"/>
    <xf numFmtId="0" fontId="46" fillId="0" borderId="12" xfId="0" applyFont="1" applyBorder="1"/>
    <xf numFmtId="10" fontId="49" fillId="0" borderId="12" xfId="0" applyNumberFormat="1" applyFont="1" applyBorder="1"/>
    <xf numFmtId="1" fontId="49" fillId="0" borderId="13" xfId="0" applyNumberFormat="1" applyFont="1" applyBorder="1"/>
    <xf numFmtId="1" fontId="49" fillId="0" borderId="39" xfId="0" applyNumberFormat="1" applyFont="1" applyBorder="1"/>
    <xf numFmtId="0" fontId="38" fillId="0" borderId="0" xfId="0" applyFont="1"/>
    <xf numFmtId="0" fontId="34" fillId="0" borderId="32" xfId="0" applyFont="1" applyBorder="1" applyAlignment="1">
      <alignment horizontal="center"/>
    </xf>
    <xf numFmtId="0" fontId="36" fillId="0" borderId="36" xfId="0" applyFont="1" applyBorder="1" applyAlignment="1">
      <alignment horizontal="center" vertical="center"/>
    </xf>
    <xf numFmtId="0" fontId="36" fillId="0" borderId="37" xfId="0" applyFont="1" applyBorder="1" applyAlignment="1">
      <alignment horizontal="center" vertical="center"/>
    </xf>
    <xf numFmtId="0" fontId="46" fillId="0" borderId="7" xfId="0" applyFont="1" applyBorder="1" applyAlignment="1">
      <alignment horizontal="left"/>
    </xf>
    <xf numFmtId="172" fontId="46" fillId="0" borderId="8" xfId="1" applyNumberFormat="1" applyFont="1" applyFill="1" applyBorder="1" applyAlignment="1">
      <alignment horizontal="right"/>
    </xf>
    <xf numFmtId="2" fontId="46" fillId="0" borderId="8" xfId="0" applyNumberFormat="1" applyFont="1" applyBorder="1" applyAlignment="1">
      <alignment horizontal="right"/>
    </xf>
    <xf numFmtId="0" fontId="46" fillId="0" borderId="8" xfId="0" applyFont="1" applyBorder="1" applyAlignment="1">
      <alignment horizontal="right"/>
    </xf>
    <xf numFmtId="174" fontId="46" fillId="0" borderId="8" xfId="2" applyNumberFormat="1" applyFont="1" applyFill="1" applyBorder="1" applyAlignment="1">
      <alignment horizontal="right"/>
    </xf>
    <xf numFmtId="0" fontId="46" fillId="0" borderId="21" xfId="0" applyFont="1" applyBorder="1" applyAlignment="1">
      <alignment horizontal="right"/>
    </xf>
    <xf numFmtId="0" fontId="46" fillId="20" borderId="10" xfId="0" applyFont="1" applyFill="1" applyBorder="1" applyAlignment="1">
      <alignment horizontal="left"/>
    </xf>
    <xf numFmtId="172" fontId="46" fillId="20" borderId="1" xfId="1" applyNumberFormat="1" applyFont="1" applyFill="1" applyBorder="1" applyAlignment="1">
      <alignment horizontal="right"/>
    </xf>
    <xf numFmtId="0" fontId="46" fillId="20" borderId="1" xfId="0" applyFont="1" applyFill="1" applyBorder="1" applyAlignment="1">
      <alignment horizontal="right"/>
    </xf>
    <xf numFmtId="174" fontId="46" fillId="20" borderId="1" xfId="2" applyNumberFormat="1" applyFont="1" applyFill="1" applyBorder="1" applyAlignment="1">
      <alignment horizontal="right"/>
    </xf>
    <xf numFmtId="0" fontId="46" fillId="20" borderId="33" xfId="0" applyFont="1" applyFill="1" applyBorder="1" applyAlignment="1">
      <alignment horizontal="right"/>
    </xf>
    <xf numFmtId="172" fontId="46" fillId="27" borderId="1" xfId="1" applyNumberFormat="1" applyFont="1" applyFill="1" applyBorder="1" applyAlignment="1">
      <alignment horizontal="right"/>
    </xf>
    <xf numFmtId="0" fontId="46" fillId="27" borderId="1" xfId="0" applyFont="1" applyFill="1" applyBorder="1" applyAlignment="1">
      <alignment horizontal="right"/>
    </xf>
    <xf numFmtId="168" fontId="46" fillId="27" borderId="1" xfId="1" applyNumberFormat="1" applyFont="1" applyFill="1" applyBorder="1" applyAlignment="1">
      <alignment horizontal="right"/>
    </xf>
    <xf numFmtId="174" fontId="46" fillId="27" borderId="1" xfId="2" applyNumberFormat="1" applyFont="1" applyFill="1" applyBorder="1" applyAlignment="1">
      <alignment horizontal="right"/>
    </xf>
    <xf numFmtId="2" fontId="46" fillId="27" borderId="33" xfId="0" applyNumberFormat="1" applyFont="1" applyFill="1" applyBorder="1" applyAlignment="1">
      <alignment horizontal="right"/>
    </xf>
    <xf numFmtId="0" fontId="0" fillId="27" borderId="10" xfId="0" applyFill="1" applyBorder="1"/>
    <xf numFmtId="172" fontId="0" fillId="27" borderId="1" xfId="1" applyNumberFormat="1" applyFont="1" applyFill="1" applyBorder="1" applyAlignment="1">
      <alignment horizontal="right"/>
    </xf>
    <xf numFmtId="0" fontId="0" fillId="27" borderId="1" xfId="0" applyFill="1" applyBorder="1" applyAlignment="1">
      <alignment horizontal="right"/>
    </xf>
    <xf numFmtId="2" fontId="0" fillId="27" borderId="33" xfId="0" applyNumberFormat="1" applyFill="1" applyBorder="1" applyAlignment="1">
      <alignment horizontal="right"/>
    </xf>
    <xf numFmtId="0" fontId="0" fillId="18" borderId="12" xfId="0" applyFill="1" applyBorder="1"/>
    <xf numFmtId="172" fontId="0" fillId="18" borderId="13" xfId="1" applyNumberFormat="1" applyFont="1" applyFill="1" applyBorder="1" applyAlignment="1">
      <alignment horizontal="right"/>
    </xf>
    <xf numFmtId="0" fontId="0" fillId="18" borderId="13" xfId="0" applyFill="1" applyBorder="1" applyAlignment="1">
      <alignment horizontal="right"/>
    </xf>
    <xf numFmtId="174" fontId="46" fillId="18" borderId="13" xfId="2" applyNumberFormat="1" applyFont="1" applyFill="1" applyBorder="1" applyAlignment="1">
      <alignment horizontal="right"/>
    </xf>
    <xf numFmtId="2" fontId="0" fillId="18" borderId="39" xfId="0" applyNumberFormat="1" applyFill="1" applyBorder="1" applyAlignment="1">
      <alignment horizontal="right"/>
    </xf>
    <xf numFmtId="0" fontId="45" fillId="0" borderId="0" xfId="0" applyFont="1" applyAlignment="1">
      <alignment horizontal="left"/>
    </xf>
    <xf numFmtId="10" fontId="45" fillId="0" borderId="0" xfId="1" applyNumberFormat="1" applyFont="1" applyFill="1" applyBorder="1" applyAlignment="1">
      <alignment horizontal="right"/>
    </xf>
    <xf numFmtId="10" fontId="45" fillId="0" borderId="0" xfId="0" applyNumberFormat="1" applyFont="1" applyAlignment="1">
      <alignment horizontal="right"/>
    </xf>
    <xf numFmtId="2" fontId="45" fillId="0" borderId="0" xfId="0" applyNumberFormat="1" applyFont="1" applyAlignment="1">
      <alignment horizontal="right"/>
    </xf>
    <xf numFmtId="174" fontId="45" fillId="0" borderId="0" xfId="2" applyNumberFormat="1" applyFont="1" applyFill="1" applyBorder="1" applyAlignment="1">
      <alignment horizontal="right"/>
    </xf>
    <xf numFmtId="0" fontId="35" fillId="0" borderId="7" xfId="0" applyFont="1" applyBorder="1" applyAlignment="1">
      <alignment vertical="center"/>
    </xf>
    <xf numFmtId="10" fontId="35" fillId="0" borderId="23" xfId="0" applyNumberFormat="1" applyFont="1" applyBorder="1" applyAlignment="1">
      <alignment vertical="center"/>
    </xf>
    <xf numFmtId="2" fontId="35" fillId="0" borderId="23" xfId="0" applyNumberFormat="1" applyFont="1" applyBorder="1" applyAlignment="1">
      <alignment vertical="center"/>
    </xf>
    <xf numFmtId="2" fontId="34" fillId="0" borderId="23" xfId="0" applyNumberFormat="1" applyFont="1" applyBorder="1"/>
    <xf numFmtId="0" fontId="35" fillId="0" borderId="40" xfId="0" applyFont="1" applyBorder="1" applyAlignment="1">
      <alignment horizontal="right" vertical="center"/>
    </xf>
    <xf numFmtId="0" fontId="50" fillId="0" borderId="0" xfId="0" applyFont="1"/>
    <xf numFmtId="0" fontId="35" fillId="0" borderId="12" xfId="0" applyFont="1" applyBorder="1"/>
    <xf numFmtId="10" fontId="35" fillId="0" borderId="45" xfId="0" applyNumberFormat="1" applyFont="1" applyBorder="1" applyAlignment="1">
      <alignment vertical="center"/>
    </xf>
    <xf numFmtId="2" fontId="35" fillId="0" borderId="45" xfId="0" applyNumberFormat="1" applyFont="1" applyBorder="1" applyAlignment="1">
      <alignment vertical="center"/>
    </xf>
    <xf numFmtId="2" fontId="34" fillId="0" borderId="45" xfId="0" applyNumberFormat="1" applyFont="1" applyBorder="1"/>
    <xf numFmtId="0" fontId="35" fillId="0" borderId="44" xfId="0" applyFont="1" applyBorder="1" applyAlignment="1">
      <alignment horizontal="right" vertical="center"/>
    </xf>
    <xf numFmtId="0" fontId="51" fillId="0" borderId="0" xfId="0" applyFont="1"/>
    <xf numFmtId="1" fontId="46" fillId="18" borderId="1" xfId="0" applyNumberFormat="1" applyFont="1" applyFill="1" applyBorder="1"/>
    <xf numFmtId="1" fontId="46" fillId="18" borderId="33" xfId="0" applyNumberFormat="1" applyFont="1" applyFill="1" applyBorder="1"/>
    <xf numFmtId="1" fontId="46" fillId="27" borderId="1" xfId="0" applyNumberFormat="1" applyFont="1" applyFill="1" applyBorder="1"/>
    <xf numFmtId="1" fontId="46" fillId="27" borderId="33" xfId="0" applyNumberFormat="1" applyFont="1" applyFill="1" applyBorder="1"/>
    <xf numFmtId="1" fontId="46" fillId="0" borderId="13" xfId="0" applyNumberFormat="1" applyFont="1" applyBorder="1"/>
    <xf numFmtId="1" fontId="46" fillId="0" borderId="39" xfId="0" applyNumberFormat="1" applyFont="1" applyBorder="1"/>
    <xf numFmtId="0" fontId="34" fillId="0" borderId="7" xfId="0" applyFont="1" applyBorder="1"/>
    <xf numFmtId="174" fontId="37" fillId="0" borderId="8" xfId="2" applyNumberFormat="1" applyFont="1" applyFill="1" applyBorder="1"/>
    <xf numFmtId="0" fontId="34" fillId="0" borderId="8" xfId="0" applyFont="1" applyBorder="1"/>
    <xf numFmtId="0" fontId="34" fillId="0" borderId="21" xfId="0" applyFont="1" applyBorder="1"/>
    <xf numFmtId="0" fontId="34" fillId="16" borderId="10" xfId="0" applyFont="1" applyFill="1" applyBorder="1"/>
    <xf numFmtId="170" fontId="34" fillId="16" borderId="1" xfId="1" applyNumberFormat="1" applyFont="1" applyFill="1" applyBorder="1"/>
    <xf numFmtId="0" fontId="34" fillId="16" borderId="1" xfId="0" applyFont="1" applyFill="1" applyBorder="1"/>
    <xf numFmtId="174" fontId="34" fillId="16" borderId="33" xfId="2" applyNumberFormat="1" applyFont="1" applyFill="1" applyBorder="1"/>
    <xf numFmtId="0" fontId="34" fillId="0" borderId="10" xfId="0" applyFont="1" applyBorder="1"/>
    <xf numFmtId="174" fontId="37" fillId="0" borderId="1" xfId="2" applyNumberFormat="1" applyFont="1" applyFill="1" applyBorder="1"/>
    <xf numFmtId="0" fontId="34" fillId="0" borderId="1" xfId="0" applyFont="1" applyBorder="1"/>
    <xf numFmtId="0" fontId="34" fillId="0" borderId="33" xfId="0" applyFont="1" applyBorder="1"/>
    <xf numFmtId="0" fontId="34" fillId="16" borderId="12" xfId="0" applyFont="1" applyFill="1" applyBorder="1"/>
    <xf numFmtId="174" fontId="34" fillId="16" borderId="13" xfId="0" applyNumberFormat="1" applyFont="1" applyFill="1" applyBorder="1"/>
    <xf numFmtId="166" fontId="34" fillId="16" borderId="13" xfId="2" applyFont="1" applyFill="1" applyBorder="1"/>
    <xf numFmtId="0" fontId="34" fillId="16" borderId="39" xfId="0" applyFont="1" applyFill="1" applyBorder="1"/>
    <xf numFmtId="0" fontId="38" fillId="0" borderId="0" xfId="9" applyFont="1"/>
    <xf numFmtId="0" fontId="34" fillId="0" borderId="0" xfId="9" applyFont="1"/>
    <xf numFmtId="0" fontId="37" fillId="0" borderId="32" xfId="9" applyFont="1" applyBorder="1"/>
    <xf numFmtId="0" fontId="37" fillId="0" borderId="36" xfId="9" applyFont="1" applyBorder="1"/>
    <xf numFmtId="0" fontId="37" fillId="0" borderId="37" xfId="9" applyFont="1" applyBorder="1"/>
    <xf numFmtId="0" fontId="0" fillId="0" borderId="7" xfId="0" applyBorder="1"/>
    <xf numFmtId="172" fontId="0" fillId="0" borderId="8" xfId="1" applyNumberFormat="1" applyFont="1" applyFill="1" applyBorder="1"/>
    <xf numFmtId="172" fontId="0" fillId="0" borderId="21" xfId="1" applyNumberFormat="1" applyFont="1" applyFill="1" applyBorder="1"/>
    <xf numFmtId="0" fontId="0" fillId="0" borderId="10" xfId="0" applyBorder="1"/>
    <xf numFmtId="172" fontId="0" fillId="0" borderId="33" xfId="1" applyNumberFormat="1" applyFont="1" applyFill="1" applyBorder="1"/>
    <xf numFmtId="0" fontId="0" fillId="20" borderId="10" xfId="0" applyFill="1" applyBorder="1"/>
    <xf numFmtId="172" fontId="0" fillId="20" borderId="1" xfId="1" applyNumberFormat="1" applyFont="1" applyFill="1" applyBorder="1"/>
    <xf numFmtId="172" fontId="0" fillId="20" borderId="33" xfId="1" applyNumberFormat="1" applyFont="1" applyFill="1" applyBorder="1"/>
    <xf numFmtId="172" fontId="0" fillId="27" borderId="1" xfId="1" applyNumberFormat="1" applyFont="1" applyFill="1" applyBorder="1"/>
    <xf numFmtId="172" fontId="0" fillId="27" borderId="33" xfId="1" applyNumberFormat="1" applyFont="1" applyFill="1" applyBorder="1"/>
    <xf numFmtId="0" fontId="0" fillId="18" borderId="10" xfId="0" applyFill="1" applyBorder="1"/>
    <xf numFmtId="172" fontId="0" fillId="18" borderId="1" xfId="1" applyNumberFormat="1" applyFont="1" applyFill="1" applyBorder="1"/>
    <xf numFmtId="172" fontId="0" fillId="18" borderId="33" xfId="1" applyNumberFormat="1" applyFont="1" applyFill="1" applyBorder="1"/>
    <xf numFmtId="172" fontId="0" fillId="18" borderId="13" xfId="1" applyNumberFormat="1" applyFont="1" applyFill="1" applyBorder="1"/>
    <xf numFmtId="172" fontId="0" fillId="18" borderId="39" xfId="1" applyNumberFormat="1" applyFont="1" applyFill="1" applyBorder="1"/>
    <xf numFmtId="0" fontId="35" fillId="0" borderId="0" xfId="0" applyFont="1"/>
    <xf numFmtId="0" fontId="37" fillId="28" borderId="32" xfId="0" applyFont="1" applyFill="1" applyBorder="1" applyAlignment="1">
      <alignment horizontal="center"/>
    </xf>
    <xf numFmtId="0" fontId="37" fillId="28" borderId="37" xfId="0" applyFont="1" applyFill="1" applyBorder="1" applyAlignment="1">
      <alignment horizontal="center"/>
    </xf>
    <xf numFmtId="0" fontId="35" fillId="0" borderId="15" xfId="0" applyFont="1" applyBorder="1"/>
    <xf numFmtId="0" fontId="35" fillId="0" borderId="5" xfId="0" applyFont="1" applyBorder="1"/>
    <xf numFmtId="0" fontId="35" fillId="0" borderId="38" xfId="0" applyFont="1" applyBorder="1"/>
    <xf numFmtId="0" fontId="35" fillId="0" borderId="19" xfId="0" applyFont="1" applyBorder="1"/>
    <xf numFmtId="0" fontId="35" fillId="0" borderId="46" xfId="0" applyFont="1" applyBorder="1"/>
    <xf numFmtId="0" fontId="35" fillId="0" borderId="43" xfId="0" applyFont="1" applyBorder="1"/>
    <xf numFmtId="0" fontId="37" fillId="0" borderId="19" xfId="0" applyFont="1" applyBorder="1"/>
    <xf numFmtId="187" fontId="37" fillId="0" borderId="46" xfId="0" applyNumberFormat="1" applyFont="1" applyBorder="1"/>
    <xf numFmtId="187" fontId="37" fillId="0" borderId="43" xfId="0" applyNumberFormat="1" applyFont="1" applyBorder="1"/>
    <xf numFmtId="187" fontId="37" fillId="0" borderId="23" xfId="0" applyNumberFormat="1" applyFont="1" applyBorder="1"/>
    <xf numFmtId="187" fontId="37" fillId="0" borderId="40" xfId="0" applyNumberFormat="1" applyFont="1" applyBorder="1"/>
    <xf numFmtId="0" fontId="35" fillId="28" borderId="19" xfId="0" applyFont="1" applyFill="1" applyBorder="1"/>
    <xf numFmtId="0" fontId="35" fillId="28" borderId="46" xfId="0" applyFont="1" applyFill="1" applyBorder="1"/>
    <xf numFmtId="0" fontId="35" fillId="28" borderId="33" xfId="0" applyFont="1" applyFill="1" applyBorder="1"/>
    <xf numFmtId="0" fontId="35" fillId="0" borderId="35" xfId="0" applyFont="1" applyBorder="1"/>
    <xf numFmtId="0" fontId="35" fillId="0" borderId="47" xfId="0" applyFont="1" applyBorder="1"/>
    <xf numFmtId="0" fontId="35" fillId="0" borderId="41" xfId="0" applyFont="1" applyBorder="1"/>
    <xf numFmtId="0" fontId="35" fillId="0" borderId="6" xfId="0" applyFont="1" applyBorder="1"/>
    <xf numFmtId="1" fontId="35" fillId="0" borderId="23" xfId="0" applyNumberFormat="1" applyFont="1" applyBorder="1"/>
    <xf numFmtId="1" fontId="35" fillId="0" borderId="40" xfId="0" applyNumberFormat="1" applyFont="1" applyBorder="1"/>
    <xf numFmtId="0" fontId="35" fillId="0" borderId="23" xfId="0" applyFont="1" applyBorder="1"/>
    <xf numFmtId="0" fontId="35" fillId="0" borderId="40" xfId="0" applyFont="1" applyBorder="1"/>
    <xf numFmtId="0" fontId="35" fillId="0" borderId="11" xfId="0" applyFont="1" applyBorder="1"/>
    <xf numFmtId="0" fontId="35" fillId="0" borderId="13" xfId="0" applyFont="1" applyBorder="1" applyAlignment="1">
      <alignment horizontal="right"/>
    </xf>
    <xf numFmtId="0" fontId="35" fillId="0" borderId="39" xfId="0" applyFont="1" applyBorder="1" applyAlignment="1">
      <alignment horizontal="right"/>
    </xf>
    <xf numFmtId="0" fontId="34" fillId="0" borderId="25" xfId="0" applyFont="1" applyBorder="1"/>
    <xf numFmtId="0" fontId="34" fillId="0" borderId="26" xfId="0" applyFont="1" applyBorder="1"/>
    <xf numFmtId="0" fontId="34" fillId="0" borderId="18" xfId="0" applyFont="1" applyBorder="1"/>
    <xf numFmtId="0" fontId="36" fillId="0" borderId="18" xfId="0" applyFont="1" applyBorder="1" applyAlignment="1">
      <alignment horizontal="left" vertical="top"/>
    </xf>
    <xf numFmtId="0" fontId="37" fillId="0" borderId="38" xfId="0" applyFont="1" applyBorder="1" applyAlignment="1">
      <alignment horizontal="center" vertical="center" wrapText="1"/>
    </xf>
    <xf numFmtId="0" fontId="37" fillId="0" borderId="44" xfId="0" applyFont="1" applyBorder="1" applyAlignment="1">
      <alignment horizontal="center" vertical="center" wrapText="1"/>
    </xf>
    <xf numFmtId="0" fontId="37" fillId="0" borderId="4" xfId="0" applyFont="1" applyBorder="1" applyAlignment="1">
      <alignment horizontal="center" vertical="center"/>
    </xf>
    <xf numFmtId="0" fontId="37" fillId="0" borderId="30" xfId="0" applyFont="1" applyBorder="1" applyAlignment="1">
      <alignment horizontal="center" vertical="center"/>
    </xf>
    <xf numFmtId="0" fontId="37" fillId="0" borderId="5" xfId="0" applyFont="1" applyBorder="1" applyAlignment="1">
      <alignment horizontal="center" vertical="center"/>
    </xf>
    <xf numFmtId="0" fontId="37" fillId="0" borderId="45" xfId="0" applyFont="1" applyBorder="1" applyAlignment="1">
      <alignment horizontal="center" vertical="center"/>
    </xf>
    <xf numFmtId="0" fontId="37" fillId="0" borderId="5" xfId="0" applyFont="1" applyBorder="1" applyAlignment="1">
      <alignment horizontal="center" vertical="center" wrapText="1"/>
    </xf>
    <xf numFmtId="0" fontId="37" fillId="0" borderId="45" xfId="0" applyFont="1" applyBorder="1" applyAlignment="1">
      <alignment horizontal="center" vertical="center" wrapText="1"/>
    </xf>
    <xf numFmtId="0" fontId="34" fillId="22" borderId="28" xfId="0" applyFont="1" applyFill="1" applyBorder="1" applyAlignment="1">
      <alignment horizontal="center" vertical="center" wrapText="1"/>
    </xf>
    <xf numFmtId="0" fontId="34" fillId="22" borderId="41" xfId="0" applyFont="1" applyFill="1" applyBorder="1" applyAlignment="1">
      <alignment horizontal="center" vertical="center" wrapText="1"/>
    </xf>
    <xf numFmtId="0" fontId="34" fillId="22" borderId="22" xfId="0" applyFont="1" applyFill="1" applyBorder="1" applyAlignment="1">
      <alignment horizontal="center" vertical="center" wrapText="1"/>
    </xf>
    <xf numFmtId="0" fontId="34" fillId="22" borderId="40" xfId="0" applyFont="1" applyFill="1" applyBorder="1" applyAlignment="1">
      <alignment horizontal="center" vertical="center" wrapText="1"/>
    </xf>
    <xf numFmtId="0" fontId="34" fillId="24" borderId="35" xfId="0" applyFont="1" applyFill="1" applyBorder="1" applyAlignment="1">
      <alignment horizontal="center" vertical="center" wrapText="1"/>
    </xf>
    <xf numFmtId="0" fontId="34" fillId="24" borderId="24" xfId="0" applyFont="1" applyFill="1" applyBorder="1" applyAlignment="1">
      <alignment horizontal="center" vertical="center" wrapText="1"/>
    </xf>
    <xf numFmtId="0" fontId="34" fillId="24" borderId="6" xfId="0" applyFont="1" applyFill="1" applyBorder="1" applyAlignment="1">
      <alignment horizontal="center" vertical="center" wrapText="1"/>
    </xf>
    <xf numFmtId="0" fontId="34" fillId="24" borderId="29" xfId="0" applyFont="1" applyFill="1" applyBorder="1" applyAlignment="1">
      <alignment horizontal="center" vertical="center" wrapText="1"/>
    </xf>
    <xf numFmtId="0" fontId="39" fillId="24" borderId="11" xfId="0" applyFont="1" applyFill="1" applyBorder="1" applyAlignment="1">
      <alignment horizontal="center" vertical="center" wrapText="1"/>
    </xf>
    <xf numFmtId="0" fontId="39" fillId="24" borderId="31" xfId="0" applyFont="1" applyFill="1" applyBorder="1" applyAlignment="1">
      <alignment horizontal="center" vertical="center" wrapText="1"/>
    </xf>
    <xf numFmtId="0" fontId="36" fillId="18" borderId="42" xfId="0" applyFont="1" applyFill="1" applyBorder="1" applyAlignment="1">
      <alignment horizontal="center" vertical="center" wrapText="1"/>
    </xf>
    <xf numFmtId="0" fontId="36" fillId="18" borderId="43" xfId="0" applyFont="1" applyFill="1" applyBorder="1" applyAlignment="1">
      <alignment horizontal="center" vertical="center" wrapText="1"/>
    </xf>
    <xf numFmtId="0" fontId="36" fillId="18" borderId="22" xfId="0" applyFont="1" applyFill="1" applyBorder="1" applyAlignment="1">
      <alignment horizontal="center" vertical="center" wrapText="1"/>
    </xf>
    <xf numFmtId="0" fontId="36" fillId="18" borderId="40" xfId="0" applyFont="1" applyFill="1" applyBorder="1" applyAlignment="1">
      <alignment horizontal="center" vertical="center" wrapText="1"/>
    </xf>
    <xf numFmtId="0" fontId="37" fillId="19" borderId="32" xfId="0" applyFont="1" applyFill="1" applyBorder="1" applyAlignment="1">
      <alignment horizontal="center"/>
    </xf>
    <xf numFmtId="0" fontId="37" fillId="19" borderId="37" xfId="0" applyFont="1" applyFill="1" applyBorder="1" applyAlignment="1">
      <alignment horizontal="center"/>
    </xf>
    <xf numFmtId="0" fontId="34" fillId="20" borderId="28" xfId="0" applyFont="1" applyFill="1" applyBorder="1" applyAlignment="1">
      <alignment horizontal="center" vertical="center" wrapText="1"/>
    </xf>
    <xf numFmtId="0" fontId="34" fillId="20" borderId="41" xfId="0" applyFont="1" applyFill="1" applyBorder="1" applyAlignment="1">
      <alignment horizontal="center" vertical="center" wrapText="1"/>
    </xf>
    <xf numFmtId="0" fontId="34" fillId="20" borderId="22" xfId="0" applyFont="1" applyFill="1" applyBorder="1" applyAlignment="1">
      <alignment horizontal="center" vertical="center" wrapText="1"/>
    </xf>
    <xf numFmtId="0" fontId="34" fillId="20" borderId="40" xfId="0" applyFont="1" applyFill="1" applyBorder="1" applyAlignment="1">
      <alignment horizontal="center" vertical="center" wrapText="1"/>
    </xf>
    <xf numFmtId="0" fontId="37" fillId="0" borderId="15" xfId="0" applyFont="1" applyBorder="1" applyAlignment="1">
      <alignment horizontal="center"/>
    </xf>
    <xf numFmtId="0" fontId="37" fillId="0" borderId="27" xfId="0" applyFont="1" applyBorder="1" applyAlignment="1">
      <alignment horizontal="center"/>
    </xf>
    <xf numFmtId="0" fontId="37" fillId="17" borderId="32" xfId="0" applyFont="1" applyFill="1" applyBorder="1" applyAlignment="1">
      <alignment horizontal="center" vertical="center"/>
    </xf>
    <xf numFmtId="0" fontId="37" fillId="17" borderId="37" xfId="0" applyFont="1" applyFill="1" applyBorder="1" applyAlignment="1">
      <alignment horizontal="center" vertical="center"/>
    </xf>
    <xf numFmtId="0" fontId="34" fillId="18" borderId="28" xfId="0" applyFont="1" applyFill="1" applyBorder="1" applyAlignment="1">
      <alignment horizontal="center" vertical="center" wrapText="1"/>
    </xf>
    <xf numFmtId="0" fontId="34" fillId="18" borderId="41" xfId="0" applyFont="1" applyFill="1" applyBorder="1" applyAlignment="1">
      <alignment horizontal="center" vertical="center" wrapText="1"/>
    </xf>
    <xf numFmtId="0" fontId="34" fillId="18" borderId="22" xfId="0" applyFont="1" applyFill="1" applyBorder="1" applyAlignment="1">
      <alignment horizontal="center" vertical="center" wrapText="1"/>
    </xf>
    <xf numFmtId="0" fontId="34" fillId="18" borderId="40" xfId="0" applyFont="1" applyFill="1" applyBorder="1" applyAlignment="1">
      <alignment horizontal="center" vertical="center" wrapText="1"/>
    </xf>
    <xf numFmtId="0" fontId="38" fillId="0" borderId="35" xfId="0" applyFont="1" applyBorder="1" applyAlignment="1">
      <alignment horizontal="left" vertical="top"/>
    </xf>
    <xf numFmtId="0" fontId="38" fillId="0" borderId="25" xfId="0" applyFont="1" applyBorder="1" applyAlignment="1">
      <alignment horizontal="left" vertical="top"/>
    </xf>
    <xf numFmtId="0" fontId="39" fillId="18" borderId="35" xfId="0" applyFont="1" applyFill="1" applyBorder="1" applyAlignment="1">
      <alignment horizontal="center" vertical="center" wrapText="1"/>
    </xf>
    <xf numFmtId="0" fontId="39" fillId="18" borderId="24" xfId="0" applyFont="1" applyFill="1" applyBorder="1" applyAlignment="1">
      <alignment horizontal="center" vertical="center" wrapText="1"/>
    </xf>
    <xf numFmtId="0" fontId="39" fillId="18" borderId="25" xfId="0" applyFont="1" applyFill="1" applyBorder="1" applyAlignment="1">
      <alignment horizontal="center" vertical="center" wrapText="1"/>
    </xf>
    <xf numFmtId="0" fontId="39" fillId="18" borderId="26" xfId="0" applyFont="1" applyFill="1" applyBorder="1" applyAlignment="1">
      <alignment horizontal="center" vertical="center" wrapText="1"/>
    </xf>
    <xf numFmtId="0" fontId="39" fillId="20" borderId="35" xfId="0" applyFont="1" applyFill="1" applyBorder="1" applyAlignment="1">
      <alignment horizontal="center" vertical="center" wrapText="1"/>
    </xf>
    <xf numFmtId="0" fontId="39" fillId="20" borderId="24" xfId="0" applyFont="1" applyFill="1" applyBorder="1" applyAlignment="1">
      <alignment horizontal="center" vertical="center" wrapText="1"/>
    </xf>
    <xf numFmtId="0" fontId="39" fillId="20" borderId="25" xfId="0" applyFont="1" applyFill="1" applyBorder="1" applyAlignment="1">
      <alignment horizontal="center" vertical="center" wrapText="1"/>
    </xf>
    <xf numFmtId="0" fontId="39" fillId="20" borderId="26" xfId="0" applyFont="1" applyFill="1" applyBorder="1" applyAlignment="1">
      <alignment horizontal="center" vertical="center" wrapText="1"/>
    </xf>
    <xf numFmtId="0" fontId="41" fillId="0" borderId="35" xfId="7" applyFont="1" applyFill="1" applyBorder="1" applyAlignment="1">
      <alignment horizontal="center" vertical="center" wrapText="1"/>
    </xf>
    <xf numFmtId="0" fontId="41" fillId="0" borderId="24" xfId="7" applyFont="1" applyFill="1" applyBorder="1" applyAlignment="1">
      <alignment horizontal="center" vertical="center" wrapText="1"/>
    </xf>
    <xf numFmtId="0" fontId="41" fillId="0" borderId="6" xfId="7" applyFont="1" applyFill="1" applyBorder="1" applyAlignment="1">
      <alignment horizontal="center" vertical="center" wrapText="1"/>
    </xf>
    <xf numFmtId="0" fontId="41" fillId="0" borderId="29" xfId="7" applyFont="1" applyFill="1" applyBorder="1" applyAlignment="1">
      <alignment horizontal="center" vertical="center" wrapText="1"/>
    </xf>
    <xf numFmtId="0" fontId="42" fillId="0" borderId="12" xfId="8" applyFont="1" applyFill="1" applyBorder="1" applyAlignment="1">
      <alignment horizontal="center"/>
    </xf>
    <xf numFmtId="0" fontId="42" fillId="0" borderId="39" xfId="8" applyFont="1" applyFill="1" applyBorder="1" applyAlignment="1">
      <alignment horizontal="center"/>
    </xf>
    <xf numFmtId="0" fontId="42" fillId="0" borderId="10" xfId="8" applyFont="1" applyFill="1" applyBorder="1" applyAlignment="1">
      <alignment horizontal="center"/>
    </xf>
    <xf numFmtId="0" fontId="42" fillId="0" borderId="33" xfId="8" applyFont="1" applyFill="1" applyBorder="1" applyAlignment="1">
      <alignment horizontal="center"/>
    </xf>
    <xf numFmtId="0" fontId="36" fillId="0" borderId="35" xfId="0" applyFont="1" applyBorder="1" applyAlignment="1">
      <alignment horizontal="left" vertical="top"/>
    </xf>
    <xf numFmtId="0" fontId="36" fillId="0" borderId="25" xfId="0" applyFont="1" applyBorder="1" applyAlignment="1">
      <alignment horizontal="left" vertical="top"/>
    </xf>
    <xf numFmtId="0" fontId="35" fillId="0" borderId="28" xfId="0" applyFont="1" applyBorder="1" applyAlignment="1">
      <alignment horizontal="center" vertical="center" wrapText="1"/>
    </xf>
    <xf numFmtId="0" fontId="35" fillId="0" borderId="41" xfId="0" applyFont="1" applyBorder="1" applyAlignment="1">
      <alignment horizontal="center" vertical="center" wrapText="1"/>
    </xf>
    <xf numFmtId="0" fontId="35" fillId="0" borderId="30" xfId="0" applyFont="1" applyBorder="1" applyAlignment="1">
      <alignment horizontal="center" vertical="center" wrapText="1"/>
    </xf>
    <xf numFmtId="0" fontId="35" fillId="0" borderId="44" xfId="0" applyFont="1" applyBorder="1" applyAlignment="1">
      <alignment horizontal="center" vertical="center" wrapText="1"/>
    </xf>
    <xf numFmtId="0" fontId="37" fillId="25" borderId="16" xfId="0" applyFont="1" applyFill="1" applyBorder="1" applyAlignment="1">
      <alignment horizontal="left"/>
    </xf>
    <xf numFmtId="0" fontId="37" fillId="25" borderId="17" xfId="0" applyFont="1" applyFill="1" applyBorder="1" applyAlignment="1">
      <alignment horizontal="left"/>
    </xf>
    <xf numFmtId="0" fontId="37" fillId="25" borderId="18" xfId="0" applyFont="1" applyFill="1" applyBorder="1" applyAlignment="1">
      <alignment horizontal="left"/>
    </xf>
    <xf numFmtId="0" fontId="36" fillId="26" borderId="15" xfId="0" applyFont="1" applyFill="1" applyBorder="1" applyAlignment="1">
      <alignment horizontal="center" vertical="center"/>
    </xf>
    <xf numFmtId="0" fontId="36" fillId="26" borderId="27" xfId="0" applyFont="1" applyFill="1" applyBorder="1" applyAlignment="1">
      <alignment horizontal="center" vertical="center"/>
    </xf>
    <xf numFmtId="0" fontId="36" fillId="26" borderId="6" xfId="0" applyFont="1" applyFill="1" applyBorder="1" applyAlignment="1">
      <alignment horizontal="center" vertical="center"/>
    </xf>
    <xf numFmtId="0" fontId="36" fillId="26" borderId="29" xfId="0" applyFont="1" applyFill="1" applyBorder="1" applyAlignment="1">
      <alignment horizontal="center" vertical="center"/>
    </xf>
    <xf numFmtId="0" fontId="39" fillId="22" borderId="35" xfId="0" applyFont="1" applyFill="1" applyBorder="1" applyAlignment="1">
      <alignment horizontal="center" vertical="center" wrapText="1"/>
    </xf>
    <xf numFmtId="0" fontId="39" fillId="22" borderId="24" xfId="0" applyFont="1" applyFill="1" applyBorder="1" applyAlignment="1">
      <alignment horizontal="center" vertical="center" wrapText="1"/>
    </xf>
    <xf numFmtId="0" fontId="39" fillId="22" borderId="25" xfId="0" applyFont="1" applyFill="1" applyBorder="1" applyAlignment="1">
      <alignment horizontal="center" vertical="center" wrapText="1"/>
    </xf>
    <xf numFmtId="0" fontId="39" fillId="22" borderId="26" xfId="0" applyFont="1" applyFill="1" applyBorder="1" applyAlignment="1">
      <alignment horizontal="center" vertical="center" wrapText="1"/>
    </xf>
    <xf numFmtId="0" fontId="37" fillId="23" borderId="32" xfId="0" applyFont="1" applyFill="1" applyBorder="1" applyAlignment="1">
      <alignment horizontal="center"/>
    </xf>
    <xf numFmtId="0" fontId="37" fillId="23" borderId="37" xfId="0" applyFont="1" applyFill="1" applyBorder="1" applyAlignment="1">
      <alignment horizontal="center"/>
    </xf>
    <xf numFmtId="0" fontId="39" fillId="24" borderId="35" xfId="0" applyFont="1" applyFill="1" applyBorder="1" applyAlignment="1">
      <alignment horizontal="center" vertical="center" wrapText="1"/>
    </xf>
    <xf numFmtId="0" fontId="39" fillId="24" borderId="24" xfId="0" applyFont="1" applyFill="1" applyBorder="1" applyAlignment="1">
      <alignment horizontal="center" vertical="center" wrapText="1"/>
    </xf>
    <xf numFmtId="0" fontId="39" fillId="24" borderId="19" xfId="0" applyFont="1" applyFill="1" applyBorder="1" applyAlignment="1">
      <alignment horizontal="center" vertical="center" wrapText="1"/>
    </xf>
    <xf numFmtId="0" fontId="39" fillId="24" borderId="20" xfId="0" applyFont="1" applyFill="1" applyBorder="1" applyAlignment="1">
      <alignment horizontal="center" vertical="center" wrapText="1"/>
    </xf>
    <xf numFmtId="0" fontId="37" fillId="21" borderId="32" xfId="0" applyFont="1" applyFill="1" applyBorder="1" applyAlignment="1">
      <alignment horizontal="center"/>
    </xf>
    <xf numFmtId="0" fontId="37" fillId="21" borderId="37" xfId="0" applyFont="1" applyFill="1" applyBorder="1" applyAlignment="1">
      <alignment horizontal="center"/>
    </xf>
  </cellXfs>
  <cellStyles count="10">
    <cellStyle name="Bad 2" xfId="7" xr:uid="{DC70315C-6DFF-489E-8041-0F6511C5ECBF}"/>
    <cellStyle name="Comma" xfId="2" builtinId="3"/>
    <cellStyle name="Comma 2" xfId="3" xr:uid="{A785355F-A8C9-4ED5-85E7-5AB0675F9BAC}"/>
    <cellStyle name="Comma 3" xfId="5" xr:uid="{FE0EEE77-4690-4E0F-BCD3-2D0B501A808A}"/>
    <cellStyle name="Currency" xfId="4" builtinId="4"/>
    <cellStyle name="Good 2" xfId="8" xr:uid="{8AEA67B2-88E9-4DB9-810D-1AAC79DE4E98}"/>
    <cellStyle name="Input 2" xfId="6" xr:uid="{C06C43E9-D7C0-4670-BEF8-1F76E8FD6E7F}"/>
    <cellStyle name="Normal" xfId="0" builtinId="0"/>
    <cellStyle name="Normal 2" xfId="9" xr:uid="{B9DA0678-A7C1-4DC1-A239-594EFD66E2C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HF100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Heat_map_graph_FG!$A$4:$A$26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Heat_map_graph_FG!$E$4:$E$26</c:f>
              <c:numCache>
                <c:formatCode>0.000%</c:formatCode>
                <c:ptCount val="23"/>
                <c:pt idx="0">
                  <c:v>0.45718454341699016</c:v>
                </c:pt>
                <c:pt idx="1">
                  <c:v>0.16645552582321499</c:v>
                </c:pt>
                <c:pt idx="2">
                  <c:v>8.7992327922410782E-2</c:v>
                </c:pt>
                <c:pt idx="3">
                  <c:v>5.3520949798048584E-2</c:v>
                </c:pt>
                <c:pt idx="4">
                  <c:v>4.1567434949068643E-2</c:v>
                </c:pt>
                <c:pt idx="5">
                  <c:v>2.8382595138326389E-2</c:v>
                </c:pt>
                <c:pt idx="6">
                  <c:v>2.5304018950405561E-2</c:v>
                </c:pt>
                <c:pt idx="7">
                  <c:v>1.7984479785811747E-2</c:v>
                </c:pt>
                <c:pt idx="8">
                  <c:v>1.586648775439849E-2</c:v>
                </c:pt>
                <c:pt idx="9">
                  <c:v>1.2665441826382984E-2</c:v>
                </c:pt>
                <c:pt idx="10">
                  <c:v>3.8643130901275156E-2</c:v>
                </c:pt>
                <c:pt idx="11">
                  <c:v>1.7125081337028624E-2</c:v>
                </c:pt>
                <c:pt idx="12">
                  <c:v>9.9764574037145455E-3</c:v>
                </c:pt>
                <c:pt idx="13">
                  <c:v>1.4869839445443301E-2</c:v>
                </c:pt>
                <c:pt idx="14">
                  <c:v>4.7683898717714533E-3</c:v>
                </c:pt>
                <c:pt idx="15">
                  <c:v>5.2275545391170719E-3</c:v>
                </c:pt>
                <c:pt idx="16">
                  <c:v>1.4841037582894281E-3</c:v>
                </c:pt>
                <c:pt idx="17">
                  <c:v>7.2171169716425893E-4</c:v>
                </c:pt>
                <c:pt idx="18">
                  <c:v>1.3868418303512758E-4</c:v>
                </c:pt>
                <c:pt idx="19">
                  <c:v>7.4931004742588542E-5</c:v>
                </c:pt>
                <c:pt idx="20">
                  <c:v>1.6989307015893837E-5</c:v>
                </c:pt>
                <c:pt idx="21">
                  <c:v>6.709993163967775E-6</c:v>
                </c:pt>
                <c:pt idx="22">
                  <c:v>2.2611193180299273E-5</c:v>
                </c:pt>
              </c:numCache>
            </c:numRef>
          </c:val>
          <c:extLst>
            <c:ext xmlns:c16="http://schemas.microsoft.com/office/drawing/2014/chart" uri="{C3380CC4-5D6E-409C-BE32-E72D297353CC}">
              <c16:uniqueId val="{00000000-C474-4843-92E5-CE30C10CF0B6}"/>
            </c:ext>
          </c:extLst>
        </c:ser>
        <c:dLbls>
          <c:showLegendKey val="0"/>
          <c:showVal val="0"/>
          <c:showCatName val="0"/>
          <c:showSerName val="0"/>
          <c:showPercent val="0"/>
          <c:showBubbleSize val="0"/>
        </c:dLbls>
        <c:gapWidth val="219"/>
        <c:overlap val="-27"/>
        <c:axId val="719527423"/>
        <c:axId val="701523423"/>
      </c:barChart>
      <c:catAx>
        <c:axId val="7195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23423"/>
        <c:crosses val="autoZero"/>
        <c:auto val="1"/>
        <c:lblAlgn val="ctr"/>
        <c:lblOffset val="100"/>
        <c:noMultiLvlLbl val="0"/>
      </c:catAx>
      <c:valAx>
        <c:axId val="70152342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RTP</a:t>
            </a:r>
            <a:r>
              <a:rPr lang="en-GB" baseline="0"/>
              <a:t>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strRef>
              <c:f>Heat_map_graph_FG!$A$4:$A$26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Heat_map_graph_FG!$F$4:$F$26</c:f>
              <c:numCache>
                <c:formatCode>0.00%</c:formatCode>
                <c:ptCount val="23"/>
                <c:pt idx="0">
                  <c:v>4.4160360396073801E-2</c:v>
                </c:pt>
                <c:pt idx="1">
                  <c:v>5.4443287998248199E-2</c:v>
                </c:pt>
                <c:pt idx="2">
                  <c:v>5.0122472800156803E-2</c:v>
                </c:pt>
                <c:pt idx="3">
                  <c:v>4.3473584200008901E-2</c:v>
                </c:pt>
                <c:pt idx="4">
                  <c:v>4.3395650599866303E-2</c:v>
                </c:pt>
                <c:pt idx="5">
                  <c:v>3.6551102399859099E-2</c:v>
                </c:pt>
                <c:pt idx="6">
                  <c:v>3.8628060399903998E-2</c:v>
                </c:pt>
                <c:pt idx="7">
                  <c:v>3.1852507799924198E-2</c:v>
                </c:pt>
                <c:pt idx="8">
                  <c:v>3.1802745599968603E-2</c:v>
                </c:pt>
                <c:pt idx="9">
                  <c:v>2.85690951999776E-2</c:v>
                </c:pt>
                <c:pt idx="10">
                  <c:v>0.11186071240032799</c:v>
                </c:pt>
                <c:pt idx="11">
                  <c:v>7.0588297999990404E-2</c:v>
                </c:pt>
                <c:pt idx="12">
                  <c:v>5.3340109999978097E-2</c:v>
                </c:pt>
                <c:pt idx="13">
                  <c:v>0.11209942000015</c:v>
                </c:pt>
                <c:pt idx="14">
                  <c:v>5.11464175999835E-2</c:v>
                </c:pt>
                <c:pt idx="15">
                  <c:v>7.5426108000001199E-2</c:v>
                </c:pt>
                <c:pt idx="16" formatCode="0.00E+00">
                  <c:v>3.0562109799995699E-2</c:v>
                </c:pt>
                <c:pt idx="17" formatCode="0.00E+00">
                  <c:v>2.04878721999994E-2</c:v>
                </c:pt>
                <c:pt idx="18" formatCode="0.00E+00">
                  <c:v>5.6840130000000199E-3</c:v>
                </c:pt>
                <c:pt idx="19" formatCode="0.00E+00">
                  <c:v>4.2139299999999899E-3</c:v>
                </c:pt>
                <c:pt idx="20" formatCode="0.00E+00">
                  <c:v>1.3919793999999899E-3</c:v>
                </c:pt>
                <c:pt idx="21" formatCode="0.00E+00">
                  <c:v>7.1070999999999895E-4</c:v>
                </c:pt>
                <c:pt idx="22" formatCode="0.00E+00">
                  <c:v>4.0224055999999904E-3</c:v>
                </c:pt>
              </c:numCache>
            </c:numRef>
          </c:val>
          <c:smooth val="0"/>
          <c:extLst>
            <c:ext xmlns:c16="http://schemas.microsoft.com/office/drawing/2014/chart" uri="{C3380CC4-5D6E-409C-BE32-E72D297353CC}">
              <c16:uniqueId val="{00000000-D5EC-49B6-96D6-C76F68EA89D7}"/>
            </c:ext>
          </c:extLst>
        </c:ser>
        <c:dLbls>
          <c:showLegendKey val="0"/>
          <c:showVal val="0"/>
          <c:showCatName val="0"/>
          <c:showSerName val="0"/>
          <c:showPercent val="0"/>
          <c:showBubbleSize val="0"/>
        </c:dLbls>
        <c:smooth val="0"/>
        <c:axId val="722494271"/>
        <c:axId val="697056831"/>
      </c:lineChart>
      <c:catAx>
        <c:axId val="7224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6831"/>
        <c:crosses val="autoZero"/>
        <c:auto val="1"/>
        <c:lblAlgn val="ctr"/>
        <c:lblOffset val="100"/>
        <c:noMultiLvlLbl val="0"/>
      </c:catAx>
      <c:valAx>
        <c:axId val="697056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HF100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Heat_map_graph_FG!$A$36:$A$58</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Heat_map_graph_FG!$E$36:$E$58</c:f>
              <c:numCache>
                <c:formatCode>0.000%</c:formatCode>
                <c:ptCount val="23"/>
                <c:pt idx="0">
                  <c:v>0.47081356746326147</c:v>
                </c:pt>
                <c:pt idx="1">
                  <c:v>0.17021715049397385</c:v>
                </c:pt>
                <c:pt idx="2">
                  <c:v>9.0031536441666088E-2</c:v>
                </c:pt>
                <c:pt idx="3">
                  <c:v>5.4836689080215606E-2</c:v>
                </c:pt>
                <c:pt idx="4">
                  <c:v>4.2596445085486302E-2</c:v>
                </c:pt>
                <c:pt idx="5">
                  <c:v>2.9064059728234216E-2</c:v>
                </c:pt>
                <c:pt idx="6">
                  <c:v>2.5839409532889768E-2</c:v>
                </c:pt>
                <c:pt idx="7">
                  <c:v>1.8279839178710688E-2</c:v>
                </c:pt>
                <c:pt idx="8">
                  <c:v>1.6033346485092144E-2</c:v>
                </c:pt>
                <c:pt idx="9">
                  <c:v>1.2691121754673037E-2</c:v>
                </c:pt>
                <c:pt idx="10">
                  <c:v>3.7396547751701648E-2</c:v>
                </c:pt>
                <c:pt idx="11">
                  <c:v>1.4575908811928138E-2</c:v>
                </c:pt>
                <c:pt idx="12">
                  <c:v>7.0551034562468598E-3</c:v>
                </c:pt>
                <c:pt idx="13">
                  <c:v>7.2483055149923743E-3</c:v>
                </c:pt>
                <c:pt idx="14">
                  <c:v>1.4083269237098941E-3</c:v>
                </c:pt>
                <c:pt idx="15">
                  <c:v>1.3143060185585433E-3</c:v>
                </c:pt>
                <c:pt idx="16">
                  <c:v>2.9229903210406901E-4</c:v>
                </c:pt>
                <c:pt idx="17">
                  <c:v>2.0472633300034441E-4</c:v>
                </c:pt>
                <c:pt idx="18">
                  <c:v>5.0693337883555679E-5</c:v>
                </c:pt>
                <c:pt idx="19">
                  <c:v>3.5532477450429844E-5</c:v>
                </c:pt>
                <c:pt idx="20">
                  <c:v>7.997122382825953E-6</c:v>
                </c:pt>
                <c:pt idx="21">
                  <c:v>3.4850617541999416E-6</c:v>
                </c:pt>
                <c:pt idx="22">
                  <c:v>3.6029140840521138E-6</c:v>
                </c:pt>
              </c:numCache>
            </c:numRef>
          </c:val>
          <c:extLst>
            <c:ext xmlns:c16="http://schemas.microsoft.com/office/drawing/2014/chart" uri="{C3380CC4-5D6E-409C-BE32-E72D297353CC}">
              <c16:uniqueId val="{00000000-41D8-4C3A-80BC-ABF83F0D9B90}"/>
            </c:ext>
          </c:extLst>
        </c:ser>
        <c:dLbls>
          <c:showLegendKey val="0"/>
          <c:showVal val="0"/>
          <c:showCatName val="0"/>
          <c:showSerName val="0"/>
          <c:showPercent val="0"/>
          <c:showBubbleSize val="0"/>
        </c:dLbls>
        <c:gapWidth val="219"/>
        <c:overlap val="-27"/>
        <c:axId val="719527423"/>
        <c:axId val="701523423"/>
      </c:barChart>
      <c:catAx>
        <c:axId val="7195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23423"/>
        <c:crosses val="autoZero"/>
        <c:auto val="1"/>
        <c:lblAlgn val="ctr"/>
        <c:lblOffset val="100"/>
        <c:noMultiLvlLbl val="0"/>
      </c:catAx>
      <c:valAx>
        <c:axId val="70152342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RTP</a:t>
            </a:r>
            <a:r>
              <a:rPr lang="en-GB" baseline="0"/>
              <a:t>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strRef>
              <c:f>Heat_map_graph_FG!$A$36:$A$58</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Heat_map_graph_FG!$F$36:$F$58</c:f>
              <c:numCache>
                <c:formatCode>0.00%</c:formatCode>
                <c:ptCount val="23"/>
                <c:pt idx="0">
                  <c:v>4.4427610395991399E-2</c:v>
                </c:pt>
                <c:pt idx="1">
                  <c:v>5.4514670198244103E-2</c:v>
                </c:pt>
                <c:pt idx="2">
                  <c:v>5.0217214400157799E-2</c:v>
                </c:pt>
                <c:pt idx="3">
                  <c:v>4.3614238600009902E-2</c:v>
                </c:pt>
                <c:pt idx="4">
                  <c:v>4.3544961399863899E-2</c:v>
                </c:pt>
                <c:pt idx="5">
                  <c:v>3.6649110599858502E-2</c:v>
                </c:pt>
                <c:pt idx="6">
                  <c:v>3.8624359199904097E-2</c:v>
                </c:pt>
                <c:pt idx="7">
                  <c:v>3.1701479999924703E-2</c:v>
                </c:pt>
                <c:pt idx="8">
                  <c:v>3.14670137999696E-2</c:v>
                </c:pt>
                <c:pt idx="9">
                  <c:v>2.8031383799978899E-2</c:v>
                </c:pt>
                <c:pt idx="10">
                  <c:v>0.105706427800267</c:v>
                </c:pt>
                <c:pt idx="11">
                  <c:v>5.85797613999713E-2</c:v>
                </c:pt>
                <c:pt idx="12">
                  <c:v>3.6756174199979397E-2</c:v>
                </c:pt>
                <c:pt idx="13">
                  <c:v>5.2122595999980398E-2</c:v>
                </c:pt>
                <c:pt idx="14">
                  <c:v>1.4606350000001401E-2</c:v>
                </c:pt>
                <c:pt idx="15">
                  <c:v>1.8247376200000501E-2</c:v>
                </c:pt>
                <c:pt idx="16">
                  <c:v>5.8942188000000399E-3</c:v>
                </c:pt>
                <c:pt idx="17">
                  <c:v>5.7124242000000302E-3</c:v>
                </c:pt>
                <c:pt idx="18" formatCode="0.00E+00">
                  <c:v>2.0284232000000002E-3</c:v>
                </c:pt>
                <c:pt idx="19" formatCode="0.00E+00">
                  <c:v>1.9103589999999999E-3</c:v>
                </c:pt>
                <c:pt idx="20" formatCode="0.00E+00">
                  <c:v>6.3845279999999905E-4</c:v>
                </c:pt>
                <c:pt idx="21" formatCode="0.00E+00">
                  <c:v>3.5425840000000001E-4</c:v>
                </c:pt>
                <c:pt idx="22" formatCode="0.00E+00">
                  <c:v>5.8575399999999996E-4</c:v>
                </c:pt>
              </c:numCache>
            </c:numRef>
          </c:val>
          <c:smooth val="0"/>
          <c:extLst>
            <c:ext xmlns:c16="http://schemas.microsoft.com/office/drawing/2014/chart" uri="{C3380CC4-5D6E-409C-BE32-E72D297353CC}">
              <c16:uniqueId val="{00000000-CB98-4E30-BBDF-168CA55974D5}"/>
            </c:ext>
          </c:extLst>
        </c:ser>
        <c:dLbls>
          <c:showLegendKey val="0"/>
          <c:showVal val="0"/>
          <c:showCatName val="0"/>
          <c:showSerName val="0"/>
          <c:showPercent val="0"/>
          <c:showBubbleSize val="0"/>
        </c:dLbls>
        <c:smooth val="0"/>
        <c:axId val="722494271"/>
        <c:axId val="697056831"/>
      </c:lineChart>
      <c:catAx>
        <c:axId val="7224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6831"/>
        <c:crosses val="autoZero"/>
        <c:auto val="1"/>
        <c:lblAlgn val="ctr"/>
        <c:lblOffset val="100"/>
        <c:noMultiLvlLbl val="0"/>
      </c:catAx>
      <c:valAx>
        <c:axId val="697056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HF100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Heat_map_graph_Bonus1!$A$4:$A$26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Heat_map_graph_Bonus1!$E$4:$E$26</c:f>
              <c:numCache>
                <c:formatCode>0.000%</c:formatCode>
                <c:ptCount val="23"/>
                <c:pt idx="0">
                  <c:v>2.8100657705994701E-3</c:v>
                </c:pt>
                <c:pt idx="1">
                  <c:v>8.0577376736272587E-3</c:v>
                </c:pt>
                <c:pt idx="2">
                  <c:v>9.5710880055167313E-3</c:v>
                </c:pt>
                <c:pt idx="3">
                  <c:v>1.1113684451102095E-2</c:v>
                </c:pt>
                <c:pt idx="4">
                  <c:v>1.2551339552126707E-2</c:v>
                </c:pt>
                <c:pt idx="5">
                  <c:v>1.3917743783464919E-2</c:v>
                </c:pt>
                <c:pt idx="6">
                  <c:v>1.5298932318315145E-2</c:v>
                </c:pt>
                <c:pt idx="7">
                  <c:v>1.6552473962720117E-2</c:v>
                </c:pt>
                <c:pt idx="8">
                  <c:v>1.7809421942903584E-2</c:v>
                </c:pt>
                <c:pt idx="9">
                  <c:v>1.8944235652969724E-2</c:v>
                </c:pt>
                <c:pt idx="10">
                  <c:v>0.10878550534387066</c:v>
                </c:pt>
                <c:pt idx="11">
                  <c:v>0.1217124286882849</c:v>
                </c:pt>
                <c:pt idx="12">
                  <c:v>0.12122143259618849</c:v>
                </c:pt>
                <c:pt idx="13">
                  <c:v>0.28441524083716085</c:v>
                </c:pt>
                <c:pt idx="14">
                  <c:v>0.10898581401231293</c:v>
                </c:pt>
                <c:pt idx="15">
                  <c:v>0.10493279848755466</c:v>
                </c:pt>
                <c:pt idx="16">
                  <c:v>1.9829127111642222E-2</c:v>
                </c:pt>
                <c:pt idx="17">
                  <c:v>3.4375873975815356E-3</c:v>
                </c:pt>
                <c:pt idx="18">
                  <c:v>5.2848594149291777E-5</c:v>
                </c:pt>
                <c:pt idx="19">
                  <c:v>4.938179087176386E-7</c:v>
                </c:pt>
                <c:pt idx="20">
                  <c:v>0</c:v>
                </c:pt>
                <c:pt idx="21">
                  <c:v>0</c:v>
                </c:pt>
                <c:pt idx="22">
                  <c:v>0</c:v>
                </c:pt>
              </c:numCache>
            </c:numRef>
          </c:val>
          <c:extLst>
            <c:ext xmlns:c16="http://schemas.microsoft.com/office/drawing/2014/chart" uri="{C3380CC4-5D6E-409C-BE32-E72D297353CC}">
              <c16:uniqueId val="{00000000-9396-4300-8C6F-AF207507C5B6}"/>
            </c:ext>
          </c:extLst>
        </c:ser>
        <c:dLbls>
          <c:showLegendKey val="0"/>
          <c:showVal val="0"/>
          <c:showCatName val="0"/>
          <c:showSerName val="0"/>
          <c:showPercent val="0"/>
          <c:showBubbleSize val="0"/>
        </c:dLbls>
        <c:gapWidth val="219"/>
        <c:overlap val="-27"/>
        <c:axId val="719527423"/>
        <c:axId val="701523423"/>
      </c:barChart>
      <c:catAx>
        <c:axId val="7195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23423"/>
        <c:crosses val="autoZero"/>
        <c:auto val="1"/>
        <c:lblAlgn val="ctr"/>
        <c:lblOffset val="100"/>
        <c:noMultiLvlLbl val="0"/>
      </c:catAx>
      <c:valAx>
        <c:axId val="70152342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RTP</a:t>
            </a:r>
            <a:r>
              <a:rPr lang="en-GB" baseline="0"/>
              <a:t>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strRef>
              <c:f>Heat_map_graph_Bonus1!$A$4:$A$26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Heat_map_graph_Bonus1!$F$4:$F$26</c:f>
              <c:numCache>
                <c:formatCode>General</c:formatCode>
                <c:ptCount val="23"/>
                <c:pt idx="0">
                  <c:v>1.3941699999999999E-3</c:v>
                </c:pt>
                <c:pt idx="1">
                  <c:v>1.000464E-2</c:v>
                </c:pt>
                <c:pt idx="2">
                  <c:v>2.1449514999999999E-2</c:v>
                </c:pt>
                <c:pt idx="3">
                  <c:v>3.5937370000000003E-2</c:v>
                </c:pt>
                <c:pt idx="4">
                  <c:v>5.3001550000000001E-2</c:v>
                </c:pt>
                <c:pt idx="5">
                  <c:v>7.2560625000000004E-2</c:v>
                </c:pt>
                <c:pt idx="6">
                  <c:v>9.4936165000000003E-2</c:v>
                </c:pt>
                <c:pt idx="7">
                  <c:v>0.11913622</c:v>
                </c:pt>
                <c:pt idx="8">
                  <c:v>0.1458479</c:v>
                </c:pt>
                <c:pt idx="9">
                  <c:v>0.17392963</c:v>
                </c:pt>
                <c:pt idx="10">
                  <c:v>1.33045452</c:v>
                </c:pt>
                <c:pt idx="11">
                  <c:v>2.0855496800000002</c:v>
                </c:pt>
                <c:pt idx="12">
                  <c:v>2.673707345</c:v>
                </c:pt>
                <c:pt idx="13">
                  <c:v>8.9195946849999999</c:v>
                </c:pt>
                <c:pt idx="14">
                  <c:v>4.7920805900000003</c:v>
                </c:pt>
                <c:pt idx="15">
                  <c:v>6.1538009000000002</c:v>
                </c:pt>
                <c:pt idx="16">
                  <c:v>1.64693245</c:v>
                </c:pt>
                <c:pt idx="17">
                  <c:v>0.37942913499999997</c:v>
                </c:pt>
                <c:pt idx="18">
                  <c:v>8.4065849999999994E-3</c:v>
                </c:pt>
                <c:pt idx="19" formatCode="0.00E+00">
                  <c:v>1.0257E-4</c:v>
                </c:pt>
                <c:pt idx="20" formatCode="0.00E+00">
                  <c:v>0</c:v>
                </c:pt>
                <c:pt idx="21">
                  <c:v>0</c:v>
                </c:pt>
                <c:pt idx="22">
                  <c:v>0</c:v>
                </c:pt>
              </c:numCache>
            </c:numRef>
          </c:val>
          <c:smooth val="0"/>
          <c:extLst>
            <c:ext xmlns:c16="http://schemas.microsoft.com/office/drawing/2014/chart" uri="{C3380CC4-5D6E-409C-BE32-E72D297353CC}">
              <c16:uniqueId val="{00000000-A6A7-4E98-8F20-A46AB95D5FAC}"/>
            </c:ext>
          </c:extLst>
        </c:ser>
        <c:dLbls>
          <c:showLegendKey val="0"/>
          <c:showVal val="0"/>
          <c:showCatName val="0"/>
          <c:showSerName val="0"/>
          <c:showPercent val="0"/>
          <c:showBubbleSize val="0"/>
        </c:dLbls>
        <c:smooth val="0"/>
        <c:axId val="722494271"/>
        <c:axId val="697056831"/>
      </c:lineChart>
      <c:catAx>
        <c:axId val="7224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6831"/>
        <c:crosses val="autoZero"/>
        <c:auto val="1"/>
        <c:lblAlgn val="ctr"/>
        <c:lblOffset val="100"/>
        <c:noMultiLvlLbl val="0"/>
      </c:catAx>
      <c:valAx>
        <c:axId val="6970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HF100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Heat_map_graph_Bonus2!$A$4:$A$26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Heat_map_graph_Bonus2!$E$4:$E$26</c:f>
              <c:numCache>
                <c:formatCode>0.000%</c:formatCode>
                <c:ptCount val="23"/>
                <c:pt idx="0">
                  <c:v>2.8538392300684811E-3</c:v>
                </c:pt>
                <c:pt idx="1">
                  <c:v>8.3850549282925273E-3</c:v>
                </c:pt>
                <c:pt idx="2">
                  <c:v>1.0108958045943084E-2</c:v>
                </c:pt>
                <c:pt idx="3">
                  <c:v>1.1744478615222638E-2</c:v>
                </c:pt>
                <c:pt idx="4">
                  <c:v>1.3337692464084691E-2</c:v>
                </c:pt>
                <c:pt idx="5">
                  <c:v>1.4877896939579414E-2</c:v>
                </c:pt>
                <c:pt idx="6">
                  <c:v>1.6405987866255214E-2</c:v>
                </c:pt>
                <c:pt idx="7">
                  <c:v>1.7838460364317098E-2</c:v>
                </c:pt>
                <c:pt idx="8">
                  <c:v>1.9190743587876351E-2</c:v>
                </c:pt>
                <c:pt idx="9">
                  <c:v>2.0434448296481306E-2</c:v>
                </c:pt>
                <c:pt idx="10">
                  <c:v>0.11620993985411379</c:v>
                </c:pt>
                <c:pt idx="11">
                  <c:v>0.12548319404331051</c:v>
                </c:pt>
                <c:pt idx="12">
                  <c:v>0.11859785087906977</c:v>
                </c:pt>
                <c:pt idx="13">
                  <c:v>0.25471393914931084</c:v>
                </c:pt>
                <c:pt idx="14">
                  <c:v>9.3475408800527487E-2</c:v>
                </c:pt>
                <c:pt idx="15">
                  <c:v>0.10182991783325417</c:v>
                </c:pt>
                <c:pt idx="16">
                  <c:v>3.1578046516712761E-2</c:v>
                </c:pt>
                <c:pt idx="17">
                  <c:v>1.6718078032498456E-2</c:v>
                </c:pt>
                <c:pt idx="18">
                  <c:v>3.8190028606316863E-3</c:v>
                </c:pt>
                <c:pt idx="19">
                  <c:v>1.7874639765531684E-3</c:v>
                </c:pt>
                <c:pt idx="20">
                  <c:v>3.7559055818003466E-4</c:v>
                </c:pt>
                <c:pt idx="21">
                  <c:v>1.2451156044740477E-4</c:v>
                </c:pt>
                <c:pt idx="22">
                  <c:v>1.0949559726920703E-4</c:v>
                </c:pt>
              </c:numCache>
            </c:numRef>
          </c:val>
          <c:extLst>
            <c:ext xmlns:c16="http://schemas.microsoft.com/office/drawing/2014/chart" uri="{C3380CC4-5D6E-409C-BE32-E72D297353CC}">
              <c16:uniqueId val="{00000000-034C-4505-BB81-EC86C60C782C}"/>
            </c:ext>
          </c:extLst>
        </c:ser>
        <c:dLbls>
          <c:showLegendKey val="0"/>
          <c:showVal val="0"/>
          <c:showCatName val="0"/>
          <c:showSerName val="0"/>
          <c:showPercent val="0"/>
          <c:showBubbleSize val="0"/>
        </c:dLbls>
        <c:gapWidth val="219"/>
        <c:overlap val="-27"/>
        <c:axId val="719527423"/>
        <c:axId val="701523423"/>
      </c:barChart>
      <c:catAx>
        <c:axId val="7195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23423"/>
        <c:crosses val="autoZero"/>
        <c:auto val="1"/>
        <c:lblAlgn val="ctr"/>
        <c:lblOffset val="100"/>
        <c:noMultiLvlLbl val="0"/>
      </c:catAx>
      <c:valAx>
        <c:axId val="70152342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RTP</a:t>
            </a:r>
            <a:r>
              <a:rPr lang="en-GB" baseline="0"/>
              <a:t>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strRef>
              <c:f>Heat_map_graph_Bonus2!$A$4:$A$26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Heat_map_graph_Bonus2!$F$4:$F$26</c:f>
              <c:numCache>
                <c:formatCode>General</c:formatCode>
                <c:ptCount val="23"/>
                <c:pt idx="0">
                  <c:v>1.4159000000000001E-3</c:v>
                </c:pt>
                <c:pt idx="1">
                  <c:v>1.0387155E-2</c:v>
                </c:pt>
                <c:pt idx="2">
                  <c:v>2.2608755000000001E-2</c:v>
                </c:pt>
                <c:pt idx="3">
                  <c:v>3.7927839999999997E-2</c:v>
                </c:pt>
                <c:pt idx="4">
                  <c:v>5.6274310000000001E-2</c:v>
                </c:pt>
                <c:pt idx="5">
                  <c:v>7.7529694999999996E-2</c:v>
                </c:pt>
                <c:pt idx="6">
                  <c:v>0.10176278</c:v>
                </c:pt>
                <c:pt idx="7">
                  <c:v>0.12834783999999999</c:v>
                </c:pt>
                <c:pt idx="8">
                  <c:v>0.15711937500000001</c:v>
                </c:pt>
                <c:pt idx="9">
                  <c:v>0.18756616000000001</c:v>
                </c:pt>
                <c:pt idx="10">
                  <c:v>1.4198571950000001</c:v>
                </c:pt>
                <c:pt idx="11">
                  <c:v>2.1475123150000002</c:v>
                </c:pt>
                <c:pt idx="12">
                  <c:v>2.61282652</c:v>
                </c:pt>
                <c:pt idx="13">
                  <c:v>7.9521217399999999</c:v>
                </c:pt>
                <c:pt idx="14">
                  <c:v>4.1112104499999997</c:v>
                </c:pt>
                <c:pt idx="15">
                  <c:v>6.0364048300000004</c:v>
                </c:pt>
                <c:pt idx="16">
                  <c:v>2.6637827249999999</c:v>
                </c:pt>
                <c:pt idx="17">
                  <c:v>1.9613734</c:v>
                </c:pt>
                <c:pt idx="18">
                  <c:v>0.64218054000000002</c:v>
                </c:pt>
                <c:pt idx="19">
                  <c:v>0.41933515500000001</c:v>
                </c:pt>
                <c:pt idx="20" formatCode="0.00E+00">
                  <c:v>0.12622040500000001</c:v>
                </c:pt>
                <c:pt idx="21">
                  <c:v>5.4768114999999999E-2</c:v>
                </c:pt>
                <c:pt idx="22">
                  <c:v>7.5177850000000004E-2</c:v>
                </c:pt>
              </c:numCache>
            </c:numRef>
          </c:val>
          <c:smooth val="0"/>
          <c:extLst>
            <c:ext xmlns:c16="http://schemas.microsoft.com/office/drawing/2014/chart" uri="{C3380CC4-5D6E-409C-BE32-E72D297353CC}">
              <c16:uniqueId val="{00000000-2CEA-4FB1-B7E7-CFBD0CEB911F}"/>
            </c:ext>
          </c:extLst>
        </c:ser>
        <c:dLbls>
          <c:showLegendKey val="0"/>
          <c:showVal val="0"/>
          <c:showCatName val="0"/>
          <c:showSerName val="0"/>
          <c:showPercent val="0"/>
          <c:showBubbleSize val="0"/>
        </c:dLbls>
        <c:smooth val="0"/>
        <c:axId val="722494271"/>
        <c:axId val="697056831"/>
      </c:lineChart>
      <c:catAx>
        <c:axId val="7224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6831"/>
        <c:crosses val="autoZero"/>
        <c:auto val="1"/>
        <c:lblAlgn val="ctr"/>
        <c:lblOffset val="100"/>
        <c:noMultiLvlLbl val="0"/>
      </c:catAx>
      <c:valAx>
        <c:axId val="6970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HF100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Heat_map_graph_Bonus3!$A$4:$A$26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Heat_map_graph_Bonus3!$E$4:$E$26</c:f>
              <c:numCache>
                <c:formatCode>0.000%</c:formatCode>
                <c:ptCount val="23"/>
                <c:pt idx="0">
                  <c:v>2.8424754740209524E-3</c:v>
                </c:pt>
                <c:pt idx="1">
                  <c:v>8.3534834869350549E-3</c:v>
                </c:pt>
                <c:pt idx="2">
                  <c:v>1.0032949891283146E-2</c:v>
                </c:pt>
                <c:pt idx="3">
                  <c:v>1.1651022300219962E-2</c:v>
                </c:pt>
                <c:pt idx="4">
                  <c:v>1.3197854697081552E-2</c:v>
                </c:pt>
                <c:pt idx="5">
                  <c:v>1.4714423441904394E-2</c:v>
                </c:pt>
                <c:pt idx="6">
                  <c:v>1.6189955359853514E-2</c:v>
                </c:pt>
                <c:pt idx="7">
                  <c:v>1.7545400139043491E-2</c:v>
                </c:pt>
                <c:pt idx="8">
                  <c:v>1.886301283373348E-2</c:v>
                </c:pt>
                <c:pt idx="9">
                  <c:v>2.005943990878779E-2</c:v>
                </c:pt>
                <c:pt idx="10">
                  <c:v>0.1137394410415332</c:v>
                </c:pt>
                <c:pt idx="11">
                  <c:v>0.12249868723976899</c:v>
                </c:pt>
                <c:pt idx="12">
                  <c:v>0.11573559242812093</c:v>
                </c:pt>
                <c:pt idx="13">
                  <c:v>0.24971967322310262</c:v>
                </c:pt>
                <c:pt idx="14">
                  <c:v>9.3263999370338663E-2</c:v>
                </c:pt>
                <c:pt idx="15">
                  <c:v>0.10539633769499106</c:v>
                </c:pt>
                <c:pt idx="16">
                  <c:v>3.5218082970477717E-2</c:v>
                </c:pt>
                <c:pt idx="17">
                  <c:v>2.0758214835548593E-2</c:v>
                </c:pt>
                <c:pt idx="18">
                  <c:v>5.6085007101578091E-3</c:v>
                </c:pt>
                <c:pt idx="19">
                  <c:v>3.1003363014320208E-3</c:v>
                </c:pt>
                <c:pt idx="20">
                  <c:v>8.2136136145921385E-4</c:v>
                </c:pt>
                <c:pt idx="21">
                  <c:v>3.142763865562267E-4</c:v>
                </c:pt>
                <c:pt idx="22">
                  <c:v>3.7547890364957167E-4</c:v>
                </c:pt>
              </c:numCache>
            </c:numRef>
          </c:val>
          <c:extLst>
            <c:ext xmlns:c16="http://schemas.microsoft.com/office/drawing/2014/chart" uri="{C3380CC4-5D6E-409C-BE32-E72D297353CC}">
              <c16:uniqueId val="{00000000-B5A2-48CD-A334-44D5E93E9B4D}"/>
            </c:ext>
          </c:extLst>
        </c:ser>
        <c:dLbls>
          <c:showLegendKey val="0"/>
          <c:showVal val="0"/>
          <c:showCatName val="0"/>
          <c:showSerName val="0"/>
          <c:showPercent val="0"/>
          <c:showBubbleSize val="0"/>
        </c:dLbls>
        <c:gapWidth val="219"/>
        <c:overlap val="-27"/>
        <c:axId val="719527423"/>
        <c:axId val="701523423"/>
      </c:barChart>
      <c:catAx>
        <c:axId val="7195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23423"/>
        <c:crosses val="autoZero"/>
        <c:auto val="1"/>
        <c:lblAlgn val="ctr"/>
        <c:lblOffset val="100"/>
        <c:noMultiLvlLbl val="0"/>
      </c:catAx>
      <c:valAx>
        <c:axId val="70152342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RTP</a:t>
            </a:r>
            <a:r>
              <a:rPr lang="en-GB" baseline="0"/>
              <a:t>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strRef>
              <c:f>Heat_map_graph_Bonus3!$A$4:$A$26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Heat_map_graph_Bonus3!$F$4:$F$26</c:f>
              <c:numCache>
                <c:formatCode>General</c:formatCode>
                <c:ptCount val="23"/>
                <c:pt idx="0">
                  <c:v>1.410265E-3</c:v>
                </c:pt>
                <c:pt idx="1">
                  <c:v>1.0356445000000001E-2</c:v>
                </c:pt>
                <c:pt idx="2">
                  <c:v>2.24513E-2</c:v>
                </c:pt>
                <c:pt idx="3">
                  <c:v>3.7635815000000003E-2</c:v>
                </c:pt>
                <c:pt idx="4">
                  <c:v>5.5693384999999998E-2</c:v>
                </c:pt>
                <c:pt idx="5">
                  <c:v>7.6687035000000001E-2</c:v>
                </c:pt>
                <c:pt idx="6">
                  <c:v>0.100428525</c:v>
                </c:pt>
                <c:pt idx="7">
                  <c:v>0.12624936</c:v>
                </c:pt>
                <c:pt idx="8">
                  <c:v>0.15443522000000001</c:v>
                </c:pt>
                <c:pt idx="9">
                  <c:v>0.184128815</c:v>
                </c:pt>
                <c:pt idx="10">
                  <c:v>1.3895694649999999</c:v>
                </c:pt>
                <c:pt idx="11">
                  <c:v>2.0964516899999999</c:v>
                </c:pt>
                <c:pt idx="12">
                  <c:v>2.5498993099999998</c:v>
                </c:pt>
                <c:pt idx="13">
                  <c:v>7.8007506800000002</c:v>
                </c:pt>
                <c:pt idx="14">
                  <c:v>4.103302545</c:v>
                </c:pt>
                <c:pt idx="15">
                  <c:v>6.2615735399999997</c:v>
                </c:pt>
                <c:pt idx="16">
                  <c:v>2.976619055</c:v>
                </c:pt>
                <c:pt idx="17">
                  <c:v>2.4467384249999999</c:v>
                </c:pt>
                <c:pt idx="18">
                  <c:v>0.94690571499999998</c:v>
                </c:pt>
                <c:pt idx="19">
                  <c:v>0.73096296500000002</c:v>
                </c:pt>
                <c:pt idx="20">
                  <c:v>0.27774884999999999</c:v>
                </c:pt>
                <c:pt idx="21">
                  <c:v>0.13816081</c:v>
                </c:pt>
                <c:pt idx="22">
                  <c:v>0.29423650499999998</c:v>
                </c:pt>
              </c:numCache>
            </c:numRef>
          </c:val>
          <c:smooth val="0"/>
          <c:extLst>
            <c:ext xmlns:c16="http://schemas.microsoft.com/office/drawing/2014/chart" uri="{C3380CC4-5D6E-409C-BE32-E72D297353CC}">
              <c16:uniqueId val="{00000000-55D9-4880-810A-87D4148B0A95}"/>
            </c:ext>
          </c:extLst>
        </c:ser>
        <c:dLbls>
          <c:showLegendKey val="0"/>
          <c:showVal val="0"/>
          <c:showCatName val="0"/>
          <c:showSerName val="0"/>
          <c:showPercent val="0"/>
          <c:showBubbleSize val="0"/>
        </c:dLbls>
        <c:smooth val="0"/>
        <c:axId val="722494271"/>
        <c:axId val="697056831"/>
      </c:lineChart>
      <c:catAx>
        <c:axId val="7224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6831"/>
        <c:crosses val="autoZero"/>
        <c:auto val="1"/>
        <c:lblAlgn val="ctr"/>
        <c:lblOffset val="100"/>
        <c:noMultiLvlLbl val="0"/>
      </c:catAx>
      <c:valAx>
        <c:axId val="6970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HF100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Heat_map_graph_Bonus4!$A$4:$A$26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Heat_map_graph_Bonus4!$E$4:$E$26</c:f>
              <c:numCache>
                <c:formatCode>0.000%</c:formatCode>
                <c:ptCount val="23"/>
                <c:pt idx="0">
                  <c:v>1.5962937892117538E-3</c:v>
                </c:pt>
                <c:pt idx="1">
                  <c:v>4.5359008517379205E-3</c:v>
                </c:pt>
                <c:pt idx="2">
                  <c:v>5.2596570829609862E-3</c:v>
                </c:pt>
                <c:pt idx="3">
                  <c:v>6.021201600366081E-3</c:v>
                </c:pt>
                <c:pt idx="4">
                  <c:v>6.799358893584709E-3</c:v>
                </c:pt>
                <c:pt idx="5">
                  <c:v>7.6509621430315977E-3</c:v>
                </c:pt>
                <c:pt idx="6">
                  <c:v>8.5528358731919198E-3</c:v>
                </c:pt>
                <c:pt idx="7">
                  <c:v>9.4845181291011472E-3</c:v>
                </c:pt>
                <c:pt idx="8">
                  <c:v>1.045065204592314E-2</c:v>
                </c:pt>
                <c:pt idx="9">
                  <c:v>1.1431951527598504E-2</c:v>
                </c:pt>
                <c:pt idx="10">
                  <c:v>7.2063417507879812E-2</c:v>
                </c:pt>
                <c:pt idx="11">
                  <c:v>9.4476363597844434E-2</c:v>
                </c:pt>
                <c:pt idx="12">
                  <c:v>0.10963010956170875</c:v>
                </c:pt>
                <c:pt idx="13">
                  <c:v>0.32195724347879201</c:v>
                </c:pt>
                <c:pt idx="14">
                  <c:v>0.14541236035142865</c:v>
                </c:pt>
                <c:pt idx="15">
                  <c:v>0.14613890045373482</c:v>
                </c:pt>
                <c:pt idx="16">
                  <c:v>3.0252518011394659E-2</c:v>
                </c:pt>
                <c:pt idx="17">
                  <c:v>7.8477024330048367E-3</c:v>
                </c:pt>
                <c:pt idx="18">
                  <c:v>4.2336950630428213E-4</c:v>
                </c:pt>
                <c:pt idx="19">
                  <c:v>1.464296089553575E-5</c:v>
                </c:pt>
                <c:pt idx="20">
                  <c:v>4.0200304448965685E-8</c:v>
                </c:pt>
                <c:pt idx="21">
                  <c:v>0</c:v>
                </c:pt>
                <c:pt idx="22">
                  <c:v>0</c:v>
                </c:pt>
              </c:numCache>
            </c:numRef>
          </c:val>
          <c:extLst>
            <c:ext xmlns:c16="http://schemas.microsoft.com/office/drawing/2014/chart" uri="{C3380CC4-5D6E-409C-BE32-E72D297353CC}">
              <c16:uniqueId val="{00000000-1534-4253-B6C2-B8AE73A741EB}"/>
            </c:ext>
          </c:extLst>
        </c:ser>
        <c:dLbls>
          <c:showLegendKey val="0"/>
          <c:showVal val="0"/>
          <c:showCatName val="0"/>
          <c:showSerName val="0"/>
          <c:showPercent val="0"/>
          <c:showBubbleSize val="0"/>
        </c:dLbls>
        <c:gapWidth val="219"/>
        <c:overlap val="-27"/>
        <c:axId val="719527423"/>
        <c:axId val="701523423"/>
      </c:barChart>
      <c:catAx>
        <c:axId val="7195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23423"/>
        <c:crosses val="autoZero"/>
        <c:auto val="1"/>
        <c:lblAlgn val="ctr"/>
        <c:lblOffset val="100"/>
        <c:noMultiLvlLbl val="0"/>
      </c:catAx>
      <c:valAx>
        <c:axId val="70152342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2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RTP</a:t>
            </a:r>
            <a:r>
              <a:rPr lang="en-GB" baseline="0"/>
              <a:t>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none"/>
          </c:marker>
          <c:cat>
            <c:strRef>
              <c:f>Heat_map_graph_Bonus4!$A$4:$A$26</c:f>
              <c:strCache>
                <c:ptCount val="23"/>
                <c:pt idx="0">
                  <c:v>0-1</c:v>
                </c:pt>
                <c:pt idx="1">
                  <c:v>1-2</c:v>
                </c:pt>
                <c:pt idx="2">
                  <c:v>2-3</c:v>
                </c:pt>
                <c:pt idx="3">
                  <c:v>3-4</c:v>
                </c:pt>
                <c:pt idx="4">
                  <c:v>4-5</c:v>
                </c:pt>
                <c:pt idx="5">
                  <c:v>5-6</c:v>
                </c:pt>
                <c:pt idx="6">
                  <c:v>6-7</c:v>
                </c:pt>
                <c:pt idx="7">
                  <c:v>7-8</c:v>
                </c:pt>
                <c:pt idx="8">
                  <c:v>8-9</c:v>
                </c:pt>
                <c:pt idx="9">
                  <c:v>9-10</c:v>
                </c:pt>
                <c:pt idx="10">
                  <c:v>10-15</c:v>
                </c:pt>
                <c:pt idx="11">
                  <c:v>15-20</c:v>
                </c:pt>
                <c:pt idx="12">
                  <c:v>20-25</c:v>
                </c:pt>
                <c:pt idx="13">
                  <c:v>25-40</c:v>
                </c:pt>
                <c:pt idx="14">
                  <c:v>40-50</c:v>
                </c:pt>
                <c:pt idx="15">
                  <c:v>50-75</c:v>
                </c:pt>
                <c:pt idx="16">
                  <c:v>75-100</c:v>
                </c:pt>
                <c:pt idx="17">
                  <c:v>100-150</c:v>
                </c:pt>
                <c:pt idx="18">
                  <c:v>150-200</c:v>
                </c:pt>
                <c:pt idx="19">
                  <c:v>200-300</c:v>
                </c:pt>
                <c:pt idx="20">
                  <c:v>300-400</c:v>
                </c:pt>
                <c:pt idx="21">
                  <c:v>400-500</c:v>
                </c:pt>
                <c:pt idx="22">
                  <c:v>500-20000</c:v>
                </c:pt>
              </c:strCache>
            </c:strRef>
          </c:cat>
          <c:val>
            <c:numRef>
              <c:f>Heat_map_graph_Bonus4!$F$4:$F$26</c:f>
              <c:numCache>
                <c:formatCode>General</c:formatCode>
                <c:ptCount val="23"/>
                <c:pt idx="0">
                  <c:v>7.9416999999999997E-4</c:v>
                </c:pt>
                <c:pt idx="1">
                  <c:v>5.6271949999999998E-3</c:v>
                </c:pt>
                <c:pt idx="2">
                  <c:v>1.180399E-2</c:v>
                </c:pt>
                <c:pt idx="3">
                  <c:v>1.951309E-2</c:v>
                </c:pt>
                <c:pt idx="4">
                  <c:v>2.8787690000000001E-2</c:v>
                </c:pt>
                <c:pt idx="5">
                  <c:v>4.0004184999999998E-2</c:v>
                </c:pt>
                <c:pt idx="6">
                  <c:v>5.3226969999999998E-2</c:v>
                </c:pt>
                <c:pt idx="7">
                  <c:v>6.8466689999999997E-2</c:v>
                </c:pt>
                <c:pt idx="8">
                  <c:v>8.5836549999999998E-2</c:v>
                </c:pt>
                <c:pt idx="9">
                  <c:v>0.105272545</c:v>
                </c:pt>
                <c:pt idx="10">
                  <c:v>0.88841537999999998</c:v>
                </c:pt>
                <c:pt idx="11">
                  <c:v>1.629532285</c:v>
                </c:pt>
                <c:pt idx="12">
                  <c:v>2.4314218849999998</c:v>
                </c:pt>
                <c:pt idx="13">
                  <c:v>10.234953750000001</c:v>
                </c:pt>
                <c:pt idx="14">
                  <c:v>6.4191976100000003</c:v>
                </c:pt>
                <c:pt idx="15">
                  <c:v>8.6016122599999996</c:v>
                </c:pt>
                <c:pt idx="16">
                  <c:v>2.5306574999999998</c:v>
                </c:pt>
                <c:pt idx="17">
                  <c:v>0.89365726499999998</c:v>
                </c:pt>
                <c:pt idx="18">
                  <c:v>6.8538904999999997E-2</c:v>
                </c:pt>
                <c:pt idx="19">
                  <c:v>3.12247E-3</c:v>
                </c:pt>
                <c:pt idx="20" formatCode="0.00E+00">
                  <c:v>1.2295E-5</c:v>
                </c:pt>
                <c:pt idx="21">
                  <c:v>0</c:v>
                </c:pt>
                <c:pt idx="22">
                  <c:v>0</c:v>
                </c:pt>
              </c:numCache>
            </c:numRef>
          </c:val>
          <c:smooth val="0"/>
          <c:extLst>
            <c:ext xmlns:c16="http://schemas.microsoft.com/office/drawing/2014/chart" uri="{C3380CC4-5D6E-409C-BE32-E72D297353CC}">
              <c16:uniqueId val="{00000000-1FDF-4549-89D7-EAE5643FF840}"/>
            </c:ext>
          </c:extLst>
        </c:ser>
        <c:dLbls>
          <c:showLegendKey val="0"/>
          <c:showVal val="0"/>
          <c:showCatName val="0"/>
          <c:showSerName val="0"/>
          <c:showPercent val="0"/>
          <c:showBubbleSize val="0"/>
        </c:dLbls>
        <c:smooth val="0"/>
        <c:axId val="722494271"/>
        <c:axId val="697056831"/>
      </c:lineChart>
      <c:catAx>
        <c:axId val="72249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6831"/>
        <c:crosses val="autoZero"/>
        <c:auto val="1"/>
        <c:lblAlgn val="ctr"/>
        <c:lblOffset val="100"/>
        <c:noMultiLvlLbl val="0"/>
      </c:catAx>
      <c:valAx>
        <c:axId val="6970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9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Win</a:t>
            </a:r>
            <a:r>
              <a:rPr lang="en-US" b="1" baseline="0"/>
              <a:t> vs Chances Graph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Base_Volatility_Graph!$AB$1:$AB$152</c:f>
              <c:numCache>
                <c:formatCode>_(* #\ ##0_);_(* \(#\ ##0\);_(* "-"??_);_(@_)</c:formatCode>
                <c:ptCount val="152"/>
                <c:pt idx="0">
                  <c:v>-210.04678552545209</c:v>
                </c:pt>
                <c:pt idx="1">
                  <c:v>-207.24616171844607</c:v>
                </c:pt>
                <c:pt idx="2">
                  <c:v>-204.44553791144</c:v>
                </c:pt>
                <c:pt idx="3">
                  <c:v>-201.64491410443398</c:v>
                </c:pt>
                <c:pt idx="4">
                  <c:v>-198.84429029742796</c:v>
                </c:pt>
                <c:pt idx="5">
                  <c:v>-196.04366649042194</c:v>
                </c:pt>
                <c:pt idx="6">
                  <c:v>-193.24304268341589</c:v>
                </c:pt>
                <c:pt idx="7">
                  <c:v>-190.44241887640987</c:v>
                </c:pt>
                <c:pt idx="8">
                  <c:v>-187.64179506940386</c:v>
                </c:pt>
                <c:pt idx="9">
                  <c:v>-184.84117126239784</c:v>
                </c:pt>
                <c:pt idx="10">
                  <c:v>-182.04054745539179</c:v>
                </c:pt>
                <c:pt idx="11">
                  <c:v>-179.23992364838577</c:v>
                </c:pt>
                <c:pt idx="12">
                  <c:v>-176.43929984137975</c:v>
                </c:pt>
                <c:pt idx="13">
                  <c:v>-173.63867603437373</c:v>
                </c:pt>
                <c:pt idx="14">
                  <c:v>-170.83805222736771</c:v>
                </c:pt>
                <c:pt idx="15">
                  <c:v>-168.03742842036166</c:v>
                </c:pt>
                <c:pt idx="16">
                  <c:v>-165.23680461335564</c:v>
                </c:pt>
                <c:pt idx="17">
                  <c:v>-162.43618080634963</c:v>
                </c:pt>
                <c:pt idx="18">
                  <c:v>-159.63555699934361</c:v>
                </c:pt>
                <c:pt idx="19">
                  <c:v>-156.83493319233753</c:v>
                </c:pt>
                <c:pt idx="20">
                  <c:v>-154.03430938533151</c:v>
                </c:pt>
                <c:pt idx="21">
                  <c:v>-151.23368557832549</c:v>
                </c:pt>
                <c:pt idx="22">
                  <c:v>-148.43306177131947</c:v>
                </c:pt>
                <c:pt idx="23">
                  <c:v>-145.63243796431343</c:v>
                </c:pt>
                <c:pt idx="24">
                  <c:v>-142.83181415730741</c:v>
                </c:pt>
                <c:pt idx="25">
                  <c:v>-140.03119035030139</c:v>
                </c:pt>
                <c:pt idx="26">
                  <c:v>-137.23056654329537</c:v>
                </c:pt>
                <c:pt idx="27">
                  <c:v>-134.42994273628932</c:v>
                </c:pt>
                <c:pt idx="28">
                  <c:v>-131.6293189292833</c:v>
                </c:pt>
                <c:pt idx="29">
                  <c:v>-128.82869512227728</c:v>
                </c:pt>
                <c:pt idx="30">
                  <c:v>-126.02807131527125</c:v>
                </c:pt>
                <c:pt idx="31">
                  <c:v>-123.22744750826521</c:v>
                </c:pt>
                <c:pt idx="32">
                  <c:v>-120.42682370125918</c:v>
                </c:pt>
                <c:pt idx="33">
                  <c:v>-117.62619989425316</c:v>
                </c:pt>
                <c:pt idx="34">
                  <c:v>-114.82557608724714</c:v>
                </c:pt>
                <c:pt idx="35">
                  <c:v>-112.02495228024111</c:v>
                </c:pt>
                <c:pt idx="36">
                  <c:v>-109.22432847323509</c:v>
                </c:pt>
                <c:pt idx="37">
                  <c:v>-106.42370466622906</c:v>
                </c:pt>
                <c:pt idx="38">
                  <c:v>-103.62308085922304</c:v>
                </c:pt>
                <c:pt idx="39">
                  <c:v>-100.82245705221699</c:v>
                </c:pt>
                <c:pt idx="40">
                  <c:v>-98.021833245210971</c:v>
                </c:pt>
                <c:pt idx="41">
                  <c:v>-95.221209438204937</c:v>
                </c:pt>
                <c:pt idx="42">
                  <c:v>-92.420585631198918</c:v>
                </c:pt>
                <c:pt idx="43">
                  <c:v>-89.619961824192885</c:v>
                </c:pt>
                <c:pt idx="44">
                  <c:v>-86.819338017186865</c:v>
                </c:pt>
                <c:pt idx="45">
                  <c:v>-84.018714210180832</c:v>
                </c:pt>
                <c:pt idx="46">
                  <c:v>-81.218090403174813</c:v>
                </c:pt>
                <c:pt idx="47">
                  <c:v>-78.417466596168765</c:v>
                </c:pt>
                <c:pt idx="48">
                  <c:v>-75.616842789162746</c:v>
                </c:pt>
                <c:pt idx="49">
                  <c:v>-72.816218982156713</c:v>
                </c:pt>
                <c:pt idx="50">
                  <c:v>-70.015595175150693</c:v>
                </c:pt>
                <c:pt idx="51">
                  <c:v>-67.21497136814466</c:v>
                </c:pt>
                <c:pt idx="52">
                  <c:v>-64.414347561138641</c:v>
                </c:pt>
                <c:pt idx="53">
                  <c:v>-61.613723754132607</c:v>
                </c:pt>
                <c:pt idx="54">
                  <c:v>-58.813099947126581</c:v>
                </c:pt>
                <c:pt idx="55">
                  <c:v>-56.012476140120555</c:v>
                </c:pt>
                <c:pt idx="56">
                  <c:v>-53.211852333114528</c:v>
                </c:pt>
                <c:pt idx="57">
                  <c:v>-50.411228526108495</c:v>
                </c:pt>
                <c:pt idx="58">
                  <c:v>-47.610604719102469</c:v>
                </c:pt>
                <c:pt idx="59">
                  <c:v>-44.809980912096442</c:v>
                </c:pt>
                <c:pt idx="60">
                  <c:v>-42.009357105090416</c:v>
                </c:pt>
                <c:pt idx="61">
                  <c:v>-39.208733298084383</c:v>
                </c:pt>
                <c:pt idx="62">
                  <c:v>-36.408109491078356</c:v>
                </c:pt>
                <c:pt idx="63">
                  <c:v>-33.60748568407233</c:v>
                </c:pt>
                <c:pt idx="64">
                  <c:v>-30.806861877066304</c:v>
                </c:pt>
                <c:pt idx="65">
                  <c:v>-28.006238070060277</c:v>
                </c:pt>
                <c:pt idx="66">
                  <c:v>-25.205614263054247</c:v>
                </c:pt>
                <c:pt idx="67">
                  <c:v>-22.404990456048221</c:v>
                </c:pt>
                <c:pt idx="68">
                  <c:v>-19.604366649042191</c:v>
                </c:pt>
                <c:pt idx="69">
                  <c:v>-16.803742842036165</c:v>
                </c:pt>
                <c:pt idx="70">
                  <c:v>-14.003119035030139</c:v>
                </c:pt>
                <c:pt idx="71">
                  <c:v>-11.202495228024111</c:v>
                </c:pt>
                <c:pt idx="72">
                  <c:v>-8.4018714210180825</c:v>
                </c:pt>
                <c:pt idx="73">
                  <c:v>-5.6012476140120553</c:v>
                </c:pt>
                <c:pt idx="74">
                  <c:v>-2.8006238070060276</c:v>
                </c:pt>
                <c:pt idx="75">
                  <c:v>0</c:v>
                </c:pt>
                <c:pt idx="76">
                  <c:v>2.8006238070060276</c:v>
                </c:pt>
                <c:pt idx="77">
                  <c:v>5.6012476140120553</c:v>
                </c:pt>
                <c:pt idx="78">
                  <c:v>8.4018714210180825</c:v>
                </c:pt>
                <c:pt idx="79">
                  <c:v>11.202495228024111</c:v>
                </c:pt>
                <c:pt idx="80">
                  <c:v>14.003119035030139</c:v>
                </c:pt>
                <c:pt idx="81">
                  <c:v>16.803742842036165</c:v>
                </c:pt>
                <c:pt idx="82">
                  <c:v>19.604366649042191</c:v>
                </c:pt>
                <c:pt idx="83">
                  <c:v>22.404990456048221</c:v>
                </c:pt>
                <c:pt idx="84">
                  <c:v>25.205614263054247</c:v>
                </c:pt>
                <c:pt idx="85">
                  <c:v>28.006238070060277</c:v>
                </c:pt>
                <c:pt idx="86">
                  <c:v>30.806861877066304</c:v>
                </c:pt>
                <c:pt idx="87">
                  <c:v>33.60748568407233</c:v>
                </c:pt>
                <c:pt idx="88">
                  <c:v>36.408109491078356</c:v>
                </c:pt>
                <c:pt idx="89">
                  <c:v>39.208733298084383</c:v>
                </c:pt>
                <c:pt idx="90">
                  <c:v>42.009357105090416</c:v>
                </c:pt>
                <c:pt idx="91">
                  <c:v>44.809980912096442</c:v>
                </c:pt>
                <c:pt idx="92">
                  <c:v>47.610604719102469</c:v>
                </c:pt>
                <c:pt idx="93">
                  <c:v>50.411228526108495</c:v>
                </c:pt>
                <c:pt idx="94">
                  <c:v>53.211852333114528</c:v>
                </c:pt>
                <c:pt idx="95">
                  <c:v>56.012476140120555</c:v>
                </c:pt>
                <c:pt idx="96">
                  <c:v>58.813099947126581</c:v>
                </c:pt>
                <c:pt idx="97">
                  <c:v>61.613723754132607</c:v>
                </c:pt>
                <c:pt idx="98">
                  <c:v>64.414347561138641</c:v>
                </c:pt>
                <c:pt idx="99">
                  <c:v>67.21497136814466</c:v>
                </c:pt>
                <c:pt idx="100">
                  <c:v>70.015595175150693</c:v>
                </c:pt>
                <c:pt idx="101">
                  <c:v>72.816218982156713</c:v>
                </c:pt>
                <c:pt idx="102">
                  <c:v>75.616842789162746</c:v>
                </c:pt>
                <c:pt idx="103">
                  <c:v>78.417466596168765</c:v>
                </c:pt>
                <c:pt idx="104">
                  <c:v>81.218090403174813</c:v>
                </c:pt>
                <c:pt idx="105">
                  <c:v>84.018714210180832</c:v>
                </c:pt>
                <c:pt idx="106">
                  <c:v>86.819338017186865</c:v>
                </c:pt>
                <c:pt idx="107">
                  <c:v>89.619961824192885</c:v>
                </c:pt>
                <c:pt idx="108">
                  <c:v>92.420585631198918</c:v>
                </c:pt>
                <c:pt idx="109">
                  <c:v>95.221209438204937</c:v>
                </c:pt>
                <c:pt idx="110">
                  <c:v>98.021833245210971</c:v>
                </c:pt>
                <c:pt idx="111">
                  <c:v>100.82245705221699</c:v>
                </c:pt>
                <c:pt idx="112">
                  <c:v>103.62308085922304</c:v>
                </c:pt>
                <c:pt idx="113">
                  <c:v>106.42370466622906</c:v>
                </c:pt>
                <c:pt idx="114">
                  <c:v>109.22432847323509</c:v>
                </c:pt>
                <c:pt idx="115">
                  <c:v>112.02495228024111</c:v>
                </c:pt>
                <c:pt idx="116">
                  <c:v>114.82557608724714</c:v>
                </c:pt>
                <c:pt idx="117">
                  <c:v>117.62619989425316</c:v>
                </c:pt>
                <c:pt idx="118">
                  <c:v>120.42682370125918</c:v>
                </c:pt>
                <c:pt idx="119">
                  <c:v>123.22744750826521</c:v>
                </c:pt>
                <c:pt idx="120">
                  <c:v>126.02807131527125</c:v>
                </c:pt>
                <c:pt idx="121">
                  <c:v>128.82869512227728</c:v>
                </c:pt>
                <c:pt idx="122">
                  <c:v>131.6293189292833</c:v>
                </c:pt>
                <c:pt idx="123">
                  <c:v>134.42994273628932</c:v>
                </c:pt>
                <c:pt idx="124">
                  <c:v>137.23056654329537</c:v>
                </c:pt>
                <c:pt idx="125">
                  <c:v>140.03119035030139</c:v>
                </c:pt>
                <c:pt idx="126">
                  <c:v>142.83181415730741</c:v>
                </c:pt>
                <c:pt idx="127">
                  <c:v>145.63243796431343</c:v>
                </c:pt>
                <c:pt idx="128">
                  <c:v>148.43306177131947</c:v>
                </c:pt>
                <c:pt idx="129">
                  <c:v>151.23368557832549</c:v>
                </c:pt>
                <c:pt idx="130">
                  <c:v>154.03430938533151</c:v>
                </c:pt>
                <c:pt idx="131">
                  <c:v>156.83493319233753</c:v>
                </c:pt>
                <c:pt idx="132">
                  <c:v>159.63555699934361</c:v>
                </c:pt>
                <c:pt idx="133">
                  <c:v>162.43618080634963</c:v>
                </c:pt>
                <c:pt idx="134">
                  <c:v>165.23680461335564</c:v>
                </c:pt>
                <c:pt idx="135">
                  <c:v>168.03742842036166</c:v>
                </c:pt>
                <c:pt idx="136">
                  <c:v>170.83805222736771</c:v>
                </c:pt>
                <c:pt idx="137">
                  <c:v>173.63867603437373</c:v>
                </c:pt>
                <c:pt idx="138">
                  <c:v>176.43929984137975</c:v>
                </c:pt>
                <c:pt idx="139">
                  <c:v>179.23992364838577</c:v>
                </c:pt>
                <c:pt idx="140">
                  <c:v>182.04054745539179</c:v>
                </c:pt>
                <c:pt idx="141">
                  <c:v>184.84117126239784</c:v>
                </c:pt>
                <c:pt idx="142">
                  <c:v>187.64179506940386</c:v>
                </c:pt>
                <c:pt idx="143">
                  <c:v>190.44241887640987</c:v>
                </c:pt>
                <c:pt idx="144">
                  <c:v>193.24304268341589</c:v>
                </c:pt>
                <c:pt idx="145">
                  <c:v>196.04366649042194</c:v>
                </c:pt>
                <c:pt idx="146">
                  <c:v>198.84429029742796</c:v>
                </c:pt>
                <c:pt idx="147">
                  <c:v>201.64491410443398</c:v>
                </c:pt>
                <c:pt idx="148">
                  <c:v>204.44553791144</c:v>
                </c:pt>
                <c:pt idx="149">
                  <c:v>207.24616171844607</c:v>
                </c:pt>
                <c:pt idx="150">
                  <c:v>210.04678552545209</c:v>
                </c:pt>
              </c:numCache>
            </c:numRef>
          </c:xVal>
          <c:yVal>
            <c:numRef>
              <c:f>Base_Volatility_Graph!$AC$1:$AC$152</c:f>
              <c:numCache>
                <c:formatCode>General</c:formatCode>
                <c:ptCount val="152"/>
                <c:pt idx="0">
                  <c:v>5.9078452038395589E-7</c:v>
                </c:pt>
                <c:pt idx="1">
                  <c:v>8.1496349705221436E-7</c:v>
                </c:pt>
                <c:pt idx="2">
                  <c:v>1.1181781799051262E-6</c:v>
                </c:pt>
                <c:pt idx="3">
                  <c:v>1.5259759073539601E-6</c:v>
                </c:pt>
                <c:pt idx="4">
                  <c:v>2.0713245270258588E-6</c:v>
                </c:pt>
                <c:pt idx="5">
                  <c:v>2.7964845605332743E-6</c:v>
                </c:pt>
                <c:pt idx="6">
                  <c:v>3.7552643233599803E-6</c:v>
                </c:pt>
                <c:pt idx="7">
                  <c:v>5.0157098327136975E-6</c:v>
                </c:pt>
                <c:pt idx="8">
                  <c:v>6.6632806201753517E-6</c:v>
                </c:pt>
                <c:pt idx="9">
                  <c:v>8.8045590555513293E-6</c:v>
                </c:pt>
                <c:pt idx="10">
                  <c:v>1.1571533715986162E-5</c:v>
                </c:pt>
                <c:pt idx="11">
                  <c:v>1.5126485891380018E-5</c:v>
                </c:pt>
                <c:pt idx="12">
                  <c:v>1.9667491694673949E-5</c:v>
                </c:pt>
                <c:pt idx="13">
                  <c:v>2.5434529689437563E-5</c:v>
                </c:pt>
                <c:pt idx="14">
                  <c:v>3.2716154826584621E-5</c:v>
                </c:pt>
                <c:pt idx="15">
                  <c:v>4.1856663370919448E-5</c:v>
                </c:pt>
                <c:pt idx="16">
                  <c:v>5.3263630267176782E-5</c:v>
                </c:pt>
                <c:pt idx="17">
                  <c:v>6.7415650310059848E-5</c:v>
                </c:pt>
                <c:pt idx="18">
                  <c:v>8.4870058302696783E-5</c:v>
                </c:pt>
                <c:pt idx="19">
                  <c:v>1.0627034245806288E-4</c:v>
                </c:pt>
                <c:pt idx="20">
                  <c:v>1.3235290162369549E-4</c:v>
                </c:pt>
                <c:pt idx="21">
                  <c:v>1.6395273320609738E-4</c:v>
                </c:pt>
                <c:pt idx="22">
                  <c:v>2.0200757837198369E-4</c:v>
                </c:pt>
                <c:pt idx="23">
                  <c:v>2.475599983235658E-4</c:v>
                </c:pt>
                <c:pt idx="24">
                  <c:v>3.0175681488295823E-4</c:v>
                </c:pt>
                <c:pt idx="25">
                  <c:v>3.6584532539418735E-4</c:v>
                </c:pt>
                <c:pt idx="26">
                  <c:v>4.4116570136439309E-4</c:v>
                </c:pt>
                <c:pt idx="27">
                  <c:v>5.2913900750691054E-4</c:v>
                </c:pt>
                <c:pt idx="28">
                  <c:v>6.3125033762635209E-4</c:v>
                </c:pt>
                <c:pt idx="29">
                  <c:v>7.4902665991764296E-4</c:v>
                </c:pt>
                <c:pt idx="30">
                  <c:v>8.8400909922599184E-4</c:v>
                </c:pt>
                <c:pt idx="31">
                  <c:v>1.0377195583571239E-3</c:v>
                </c:pt>
                <c:pt idx="32">
                  <c:v>1.2116217931918694E-3</c:v>
                </c:pt>
                <c:pt idx="33">
                  <c:v>1.4070773032046416E-3</c:v>
                </c:pt>
                <c:pt idx="34">
                  <c:v>1.6252966733514215E-3</c:v>
                </c:pt>
                <c:pt idx="35">
                  <c:v>1.8672872957276529E-3</c:v>
                </c:pt>
                <c:pt idx="36">
                  <c:v>2.1337986977777654E-3</c:v>
                </c:pt>
                <c:pt idx="37">
                  <c:v>2.4252669936645627E-3</c:v>
                </c:pt>
                <c:pt idx="38">
                  <c:v>2.7417602403568067E-3</c:v>
                </c:pt>
                <c:pt idx="39">
                  <c:v>3.0829267026385582E-3</c:v>
                </c:pt>
                <c:pt idx="40">
                  <c:v>3.4479481940002804E-3</c:v>
                </c:pt>
                <c:pt idx="41">
                  <c:v>3.8355007465630114E-3</c:v>
                </c:pt>
                <c:pt idx="42">
                  <c:v>4.2437248582305326E-3</c:v>
                </c:pt>
                <c:pt idx="43">
                  <c:v>4.6702074578375968E-3</c:v>
                </c:pt>
                <c:pt idx="44">
                  <c:v>5.1119775122487748E-3</c:v>
                </c:pt>
                <c:pt idx="45">
                  <c:v>5.5655168715771364E-3</c:v>
                </c:pt>
                <c:pt idx="46">
                  <c:v>6.0267875144331684E-3</c:v>
                </c:pt>
                <c:pt idx="47">
                  <c:v>6.4912758253057035E-3</c:v>
                </c:pt>
                <c:pt idx="48">
                  <c:v>6.9540539281917335E-3</c:v>
                </c:pt>
                <c:pt idx="49">
                  <c:v>7.4098574377936821E-3</c:v>
                </c:pt>
                <c:pt idx="50">
                  <c:v>7.8531783004624212E-3</c:v>
                </c:pt>
                <c:pt idx="51">
                  <c:v>8.2783707138692209E-3</c:v>
                </c:pt>
                <c:pt idx="52">
                  <c:v>8.6797674715710094E-3</c:v>
                </c:pt>
                <c:pt idx="53">
                  <c:v>9.0518035108392292E-3</c:v>
                </c:pt>
                <c:pt idx="54">
                  <c:v>9.3891429821321148E-3</c:v>
                </c:pt>
                <c:pt idx="55">
                  <c:v>9.686805835230905E-3</c:v>
                </c:pt>
                <c:pt idx="56">
                  <c:v>9.9402897532175905E-3</c:v>
                </c:pt>
                <c:pt idx="57">
                  <c:v>1.0145683276456818E-2</c:v>
                </c:pt>
                <c:pt idx="58">
                  <c:v>1.0299766150982714E-2</c:v>
                </c:pt>
                <c:pt idx="59">
                  <c:v>1.0400093306030811E-2</c:v>
                </c:pt>
                <c:pt idx="60">
                  <c:v>1.0445059400988166E-2</c:v>
                </c:pt>
                <c:pt idx="61">
                  <c:v>1.0433941560610505E-2</c:v>
                </c:pt>
                <c:pt idx="62">
                  <c:v>1.0366918708661244E-2</c:v>
                </c:pt>
                <c:pt idx="63">
                  <c:v>1.0245066777343048E-2</c:v>
                </c:pt>
                <c:pt idx="64">
                  <c:v>1.0070329971769709E-2</c:v>
                </c:pt>
                <c:pt idx="65">
                  <c:v>9.8454691620024626E-3</c:v>
                </c:pt>
                <c:pt idx="66">
                  <c:v>9.5739893170622148E-3</c:v>
                </c:pt>
                <c:pt idx="67">
                  <c:v>9.2600486460936438E-3</c:v>
                </c:pt>
                <c:pt idx="68">
                  <c:v>8.9083527369857585E-3</c:v>
                </c:pt>
                <c:pt idx="69">
                  <c:v>8.52403745503727E-3</c:v>
                </c:pt>
                <c:pt idx="70">
                  <c:v>8.112544665075716E-3</c:v>
                </c:pt>
                <c:pt idx="71">
                  <c:v>7.6794949607436047E-3</c:v>
                </c:pt>
                <c:pt idx="72">
                  <c:v>7.2305615251427868E-3</c:v>
                </c:pt>
                <c:pt idx="73">
                  <c:v>6.7713490177346847E-3</c:v>
                </c:pt>
                <c:pt idx="74">
                  <c:v>6.3072810018303116E-3</c:v>
                </c:pt>
                <c:pt idx="75">
                  <c:v>5.8434989206097576E-3</c:v>
                </c:pt>
                <c:pt idx="76">
                  <c:v>5.3847750280464624E-3</c:v>
                </c:pt>
                <c:pt idx="77">
                  <c:v>4.9354410181193797E-3</c:v>
                </c:pt>
                <c:pt idx="78">
                  <c:v>4.4993334061163015E-3</c:v>
                </c:pt>
                <c:pt idx="79">
                  <c:v>4.0797560334353555E-3</c:v>
                </c:pt>
                <c:pt idx="80">
                  <c:v>3.6794594230515898E-3</c:v>
                </c:pt>
                <c:pt idx="81">
                  <c:v>3.3006361333088874E-3</c:v>
                </c:pt>
                <c:pt idx="82">
                  <c:v>2.9449307640028177E-3</c:v>
                </c:pt>
                <c:pt idx="83">
                  <c:v>2.6134628756693257E-3</c:v>
                </c:pt>
                <c:pt idx="84">
                  <c:v>2.3068607989645828E-3</c:v>
                </c:pt>
                <c:pt idx="85">
                  <c:v>2.025304138028039E-3</c:v>
                </c:pt>
                <c:pt idx="86">
                  <c:v>1.7685727059569833E-3</c:v>
                </c:pt>
                <c:pt idx="87">
                  <c:v>1.5360996632222124E-3</c:v>
                </c:pt>
                <c:pt idx="88">
                  <c:v>1.3270267482466958E-3</c:v>
                </c:pt>
                <c:pt idx="89">
                  <c:v>1.1402596779099827E-3</c:v>
                </c:pt>
                <c:pt idx="90">
                  <c:v>9.7452203725256759E-4</c:v>
                </c:pt>
                <c:pt idx="91">
                  <c:v>8.2840625449687177E-4</c:v>
                </c:pt>
                <c:pt idx="92">
                  <c:v>7.0042055258268121E-4</c:v>
                </c:pt>
                <c:pt idx="93">
                  <c:v>5.8903106604779598E-4</c:v>
                </c:pt>
                <c:pt idx="94">
                  <c:v>4.9269859867495658E-4</c:v>
                </c:pt>
                <c:pt idx="95">
                  <c:v>4.0990976176946692E-4</c:v>
                </c:pt>
                <c:pt idx="96">
                  <c:v>3.3920246688434741E-4</c:v>
                </c:pt>
                <c:pt idx="97">
                  <c:v>2.7918594470788261E-4</c:v>
                </c:pt>
                <c:pt idx="98">
                  <c:v>2.2855562074441949E-4</c:v>
                </c:pt>
                <c:pt idx="99">
                  <c:v>1.8610329782497992E-4</c:v>
                </c:pt>
                <c:pt idx="100">
                  <c:v>1.5072317683229031E-4</c:v>
                </c:pt>
                <c:pt idx="101">
                  <c:v>1.2141429341350207E-4</c:v>
                </c:pt>
                <c:pt idx="102">
                  <c:v>9.7279964067165103E-5</c:v>
                </c:pt>
                <c:pt idx="103">
                  <c:v>7.7524824814045878E-5</c:v>
                </c:pt>
                <c:pt idx="104">
                  <c:v>6.1450014936514918E-5</c:v>
                </c:pt>
                <c:pt idx="105">
                  <c:v>4.8447012277241797E-5</c:v>
                </c:pt>
                <c:pt idx="106">
                  <c:v>3.7990570302293136E-5</c:v>
                </c:pt>
                <c:pt idx="107">
                  <c:v>2.9631145028519157E-5</c:v>
                </c:pt>
                <c:pt idx="108">
                  <c:v>2.2987135848917539E-5</c:v>
                </c:pt>
                <c:pt idx="109">
                  <c:v>1.7737201425838123E-5</c:v>
                </c:pt>
                <c:pt idx="110">
                  <c:v>1.361285256040734E-5</c:v>
                </c:pt>
                <c:pt idx="111">
                  <c:v>1.0391470062653951E-5</c:v>
                </c:pt>
                <c:pt idx="112">
                  <c:v>7.8898482097633504E-6</c:v>
                </c:pt>
                <c:pt idx="113">
                  <c:v>5.9583239599980686E-6</c:v>
                </c:pt>
                <c:pt idx="114">
                  <c:v>4.4755187845746391E-6</c:v>
                </c:pt>
                <c:pt idx="115">
                  <c:v>3.3436935179542715E-6</c:v>
                </c:pt>
                <c:pt idx="116">
                  <c:v>2.4846965072100602E-6</c:v>
                </c:pt>
                <c:pt idx="117">
                  <c:v>1.8364708654905471E-6</c:v>
                </c:pt>
                <c:pt idx="118">
                  <c:v>1.3500770152941044E-6</c:v>
                </c:pt>
                <c:pt idx="119">
                  <c:v>9.8718114427409631E-7</c:v>
                </c:pt>
                <c:pt idx="120">
                  <c:v>7.1795788014750173E-7</c:v>
                </c:pt>
                <c:pt idx="121">
                  <c:v>5.193556839033775E-7</c:v>
                </c:pt>
                <c:pt idx="122">
                  <c:v>3.7367549499123243E-7</c:v>
                </c:pt>
                <c:pt idx="123">
                  <c:v>2.6741647218830877E-7</c:v>
                </c:pt>
                <c:pt idx="124">
                  <c:v>1.9034676457252431E-7</c:v>
                </c:pt>
                <c:pt idx="125">
                  <c:v>1.3476175253490652E-7</c:v>
                </c:pt>
                <c:pt idx="126">
                  <c:v>9.4896808855438053E-8</c:v>
                </c:pt>
                <c:pt idx="127">
                  <c:v>6.6466127157660537E-8</c:v>
                </c:pt>
                <c:pt idx="128">
                  <c:v>4.6303406997516561E-8</c:v>
                </c:pt>
                <c:pt idx="129">
                  <c:v>3.2084060519466107E-8</c:v>
                </c:pt>
                <c:pt idx="130">
                  <c:v>2.2112075837021905E-8</c:v>
                </c:pt>
                <c:pt idx="131">
                  <c:v>1.5157707089485939E-8</c:v>
                </c:pt>
                <c:pt idx="132">
                  <c:v>1.0334781697096673E-8</c:v>
                </c:pt>
                <c:pt idx="133">
                  <c:v>7.0086265679947246E-9</c:v>
                </c:pt>
                <c:pt idx="134">
                  <c:v>4.7274650860629208E-9</c:v>
                </c:pt>
                <c:pt idx="135">
                  <c:v>3.1716668180692409E-9</c:v>
                </c:pt>
                <c:pt idx="136">
                  <c:v>2.1164625607639209E-9</c:v>
                </c:pt>
                <c:pt idx="137">
                  <c:v>1.4047447649545575E-9</c:v>
                </c:pt>
                <c:pt idx="138">
                  <c:v>9.2735930046217163E-10</c:v>
                </c:pt>
                <c:pt idx="139">
                  <c:v>6.0892324516004237E-10</c:v>
                </c:pt>
                <c:pt idx="140">
                  <c:v>3.9768643933513204E-10</c:v>
                </c:pt>
                <c:pt idx="141">
                  <c:v>2.5833479799786119E-10</c:v>
                </c:pt>
                <c:pt idx="142">
                  <c:v>1.6691237281207805E-10</c:v>
                </c:pt>
                <c:pt idx="143">
                  <c:v>1.072650857025792E-10</c:v>
                </c:pt>
                <c:pt idx="144">
                  <c:v>6.8563377197961017E-11</c:v>
                </c:pt>
                <c:pt idx="145">
                  <c:v>4.3590242526647671E-11</c:v>
                </c:pt>
                <c:pt idx="146">
                  <c:v>2.7564506233090924E-11</c:v>
                </c:pt>
                <c:pt idx="147">
                  <c:v>1.733702070794152E-11</c:v>
                </c:pt>
                <c:pt idx="148">
                  <c:v>1.0845879749865617E-11</c:v>
                </c:pt>
                <c:pt idx="149">
                  <c:v>6.7486016774864765E-12</c:v>
                </c:pt>
                <c:pt idx="150">
                  <c:v>4.1766590186398389E-12</c:v>
                </c:pt>
              </c:numCache>
            </c:numRef>
          </c:yVal>
          <c:smooth val="0"/>
          <c:extLst>
            <c:ext xmlns:c16="http://schemas.microsoft.com/office/drawing/2014/chart" uri="{C3380CC4-5D6E-409C-BE32-E72D297353CC}">
              <c16:uniqueId val="{00000000-A519-4F11-A0B9-072D36A53B60}"/>
            </c:ext>
          </c:extLst>
        </c:ser>
        <c:dLbls>
          <c:showLegendKey val="0"/>
          <c:showVal val="0"/>
          <c:showCatName val="0"/>
          <c:showSerName val="0"/>
          <c:showPercent val="0"/>
          <c:showBubbleSize val="0"/>
        </c:dLbls>
        <c:axId val="1801024560"/>
        <c:axId val="1801017904"/>
      </c:scatterChart>
      <c:valAx>
        <c:axId val="180102456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 ##0_);_(* \(#\ ##0\);_(*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01017904"/>
        <c:crosses val="autoZero"/>
        <c:crossBetween val="midCat"/>
      </c:valAx>
      <c:valAx>
        <c:axId val="180101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01024560"/>
        <c:crosses val="autoZero"/>
        <c:crossBetween val="midCat"/>
      </c:valAx>
      <c:spPr>
        <a:solidFill>
          <a:schemeClr val="bg2"/>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Win</a:t>
            </a:r>
            <a:r>
              <a:rPr lang="en-US" b="1" baseline="0"/>
              <a:t> vs Chances Graph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FG_Volatility_Graph!$AB$1:$AB$152</c:f>
              <c:numCache>
                <c:formatCode>_(* #\ ##0_);_(* \(#\ ##0\);_(* "-"??_);_(@_)</c:formatCode>
                <c:ptCount val="152"/>
                <c:pt idx="0">
                  <c:v>-7500</c:v>
                </c:pt>
                <c:pt idx="1">
                  <c:v>-7400</c:v>
                </c:pt>
                <c:pt idx="2">
                  <c:v>-7300</c:v>
                </c:pt>
                <c:pt idx="3">
                  <c:v>-7200</c:v>
                </c:pt>
                <c:pt idx="4">
                  <c:v>-7100</c:v>
                </c:pt>
                <c:pt idx="5">
                  <c:v>-7000</c:v>
                </c:pt>
                <c:pt idx="6">
                  <c:v>-6900</c:v>
                </c:pt>
                <c:pt idx="7">
                  <c:v>-6800</c:v>
                </c:pt>
                <c:pt idx="8">
                  <c:v>-6700</c:v>
                </c:pt>
                <c:pt idx="9">
                  <c:v>-6600</c:v>
                </c:pt>
                <c:pt idx="10">
                  <c:v>-6500</c:v>
                </c:pt>
                <c:pt idx="11">
                  <c:v>-6400</c:v>
                </c:pt>
                <c:pt idx="12">
                  <c:v>-6300</c:v>
                </c:pt>
                <c:pt idx="13">
                  <c:v>-6200</c:v>
                </c:pt>
                <c:pt idx="14">
                  <c:v>-6100</c:v>
                </c:pt>
                <c:pt idx="15">
                  <c:v>-6000</c:v>
                </c:pt>
                <c:pt idx="16">
                  <c:v>-5900</c:v>
                </c:pt>
                <c:pt idx="17">
                  <c:v>-5800</c:v>
                </c:pt>
                <c:pt idx="18">
                  <c:v>-5700</c:v>
                </c:pt>
                <c:pt idx="19">
                  <c:v>-5600</c:v>
                </c:pt>
                <c:pt idx="20">
                  <c:v>-5500</c:v>
                </c:pt>
                <c:pt idx="21">
                  <c:v>-5400</c:v>
                </c:pt>
                <c:pt idx="22">
                  <c:v>-5300</c:v>
                </c:pt>
                <c:pt idx="23">
                  <c:v>-5200</c:v>
                </c:pt>
                <c:pt idx="24">
                  <c:v>-5100</c:v>
                </c:pt>
                <c:pt idx="25">
                  <c:v>-5000</c:v>
                </c:pt>
                <c:pt idx="26">
                  <c:v>-4900</c:v>
                </c:pt>
                <c:pt idx="27">
                  <c:v>-4800</c:v>
                </c:pt>
                <c:pt idx="28">
                  <c:v>-4700</c:v>
                </c:pt>
                <c:pt idx="29">
                  <c:v>-4600</c:v>
                </c:pt>
                <c:pt idx="30">
                  <c:v>-4500</c:v>
                </c:pt>
                <c:pt idx="31">
                  <c:v>-4400</c:v>
                </c:pt>
                <c:pt idx="32">
                  <c:v>-4300</c:v>
                </c:pt>
                <c:pt idx="33">
                  <c:v>-4200</c:v>
                </c:pt>
                <c:pt idx="34">
                  <c:v>-4100</c:v>
                </c:pt>
                <c:pt idx="35">
                  <c:v>-4000</c:v>
                </c:pt>
                <c:pt idx="36">
                  <c:v>-3900</c:v>
                </c:pt>
                <c:pt idx="37">
                  <c:v>-3800</c:v>
                </c:pt>
                <c:pt idx="38">
                  <c:v>-3700</c:v>
                </c:pt>
                <c:pt idx="39">
                  <c:v>-3600</c:v>
                </c:pt>
                <c:pt idx="40">
                  <c:v>-3500</c:v>
                </c:pt>
                <c:pt idx="41">
                  <c:v>-3400</c:v>
                </c:pt>
                <c:pt idx="42">
                  <c:v>-3300</c:v>
                </c:pt>
                <c:pt idx="43">
                  <c:v>-3200</c:v>
                </c:pt>
                <c:pt idx="44">
                  <c:v>-3100</c:v>
                </c:pt>
                <c:pt idx="45">
                  <c:v>-3000</c:v>
                </c:pt>
                <c:pt idx="46">
                  <c:v>-2900</c:v>
                </c:pt>
                <c:pt idx="47">
                  <c:v>-2800</c:v>
                </c:pt>
                <c:pt idx="48">
                  <c:v>-2700</c:v>
                </c:pt>
                <c:pt idx="49">
                  <c:v>-2600</c:v>
                </c:pt>
                <c:pt idx="50">
                  <c:v>-2500</c:v>
                </c:pt>
                <c:pt idx="51">
                  <c:v>-2400</c:v>
                </c:pt>
                <c:pt idx="52">
                  <c:v>-2300</c:v>
                </c:pt>
                <c:pt idx="53">
                  <c:v>-2200</c:v>
                </c:pt>
                <c:pt idx="54">
                  <c:v>-2100</c:v>
                </c:pt>
                <c:pt idx="55">
                  <c:v>-2000</c:v>
                </c:pt>
                <c:pt idx="56">
                  <c:v>-1900</c:v>
                </c:pt>
                <c:pt idx="57">
                  <c:v>-1800</c:v>
                </c:pt>
                <c:pt idx="58">
                  <c:v>-1700</c:v>
                </c:pt>
                <c:pt idx="59">
                  <c:v>-1600</c:v>
                </c:pt>
                <c:pt idx="60">
                  <c:v>-1500</c:v>
                </c:pt>
                <c:pt idx="61">
                  <c:v>-1400</c:v>
                </c:pt>
                <c:pt idx="62">
                  <c:v>-1300</c:v>
                </c:pt>
                <c:pt idx="63">
                  <c:v>-1200</c:v>
                </c:pt>
                <c:pt idx="64">
                  <c:v>-1100</c:v>
                </c:pt>
                <c:pt idx="65">
                  <c:v>-1000</c:v>
                </c:pt>
                <c:pt idx="66">
                  <c:v>-900</c:v>
                </c:pt>
                <c:pt idx="67">
                  <c:v>-800</c:v>
                </c:pt>
                <c:pt idx="68">
                  <c:v>-700</c:v>
                </c:pt>
                <c:pt idx="69">
                  <c:v>-600</c:v>
                </c:pt>
                <c:pt idx="70">
                  <c:v>-500</c:v>
                </c:pt>
                <c:pt idx="71">
                  <c:v>-400</c:v>
                </c:pt>
                <c:pt idx="72">
                  <c:v>-300</c:v>
                </c:pt>
                <c:pt idx="73">
                  <c:v>-200</c:v>
                </c:pt>
                <c:pt idx="74">
                  <c:v>-100</c:v>
                </c:pt>
                <c:pt idx="75">
                  <c:v>0</c:v>
                </c:pt>
                <c:pt idx="76">
                  <c:v>100</c:v>
                </c:pt>
                <c:pt idx="77">
                  <c:v>200</c:v>
                </c:pt>
                <c:pt idx="78">
                  <c:v>300</c:v>
                </c:pt>
                <c:pt idx="79">
                  <c:v>400</c:v>
                </c:pt>
                <c:pt idx="80">
                  <c:v>500</c:v>
                </c:pt>
                <c:pt idx="81">
                  <c:v>600</c:v>
                </c:pt>
                <c:pt idx="82">
                  <c:v>700</c:v>
                </c:pt>
                <c:pt idx="83">
                  <c:v>800</c:v>
                </c:pt>
                <c:pt idx="84">
                  <c:v>900</c:v>
                </c:pt>
                <c:pt idx="85">
                  <c:v>1000</c:v>
                </c:pt>
                <c:pt idx="86">
                  <c:v>1100</c:v>
                </c:pt>
                <c:pt idx="87">
                  <c:v>1200</c:v>
                </c:pt>
                <c:pt idx="88">
                  <c:v>1300</c:v>
                </c:pt>
                <c:pt idx="89">
                  <c:v>1400</c:v>
                </c:pt>
                <c:pt idx="90">
                  <c:v>1500</c:v>
                </c:pt>
                <c:pt idx="91">
                  <c:v>1600</c:v>
                </c:pt>
                <c:pt idx="92">
                  <c:v>1700</c:v>
                </c:pt>
                <c:pt idx="93">
                  <c:v>1800</c:v>
                </c:pt>
                <c:pt idx="94">
                  <c:v>1900</c:v>
                </c:pt>
                <c:pt idx="95">
                  <c:v>2000</c:v>
                </c:pt>
                <c:pt idx="96">
                  <c:v>2100</c:v>
                </c:pt>
                <c:pt idx="97">
                  <c:v>2200</c:v>
                </c:pt>
                <c:pt idx="98">
                  <c:v>2300</c:v>
                </c:pt>
                <c:pt idx="99">
                  <c:v>2400</c:v>
                </c:pt>
                <c:pt idx="100">
                  <c:v>2500</c:v>
                </c:pt>
                <c:pt idx="101">
                  <c:v>2600</c:v>
                </c:pt>
                <c:pt idx="102">
                  <c:v>2700</c:v>
                </c:pt>
                <c:pt idx="103">
                  <c:v>2800</c:v>
                </c:pt>
                <c:pt idx="104">
                  <c:v>2900</c:v>
                </c:pt>
                <c:pt idx="105">
                  <c:v>3000</c:v>
                </c:pt>
                <c:pt idx="106">
                  <c:v>3100</c:v>
                </c:pt>
                <c:pt idx="107">
                  <c:v>3200</c:v>
                </c:pt>
                <c:pt idx="108">
                  <c:v>3300</c:v>
                </c:pt>
                <c:pt idx="109">
                  <c:v>3400</c:v>
                </c:pt>
                <c:pt idx="110">
                  <c:v>3500</c:v>
                </c:pt>
                <c:pt idx="111">
                  <c:v>3600</c:v>
                </c:pt>
                <c:pt idx="112">
                  <c:v>3700</c:v>
                </c:pt>
                <c:pt idx="113">
                  <c:v>3800</c:v>
                </c:pt>
                <c:pt idx="114">
                  <c:v>3900</c:v>
                </c:pt>
                <c:pt idx="115">
                  <c:v>4000</c:v>
                </c:pt>
                <c:pt idx="116">
                  <c:v>4100</c:v>
                </c:pt>
                <c:pt idx="117">
                  <c:v>4200</c:v>
                </c:pt>
                <c:pt idx="118">
                  <c:v>4300</c:v>
                </c:pt>
                <c:pt idx="119">
                  <c:v>4400</c:v>
                </c:pt>
                <c:pt idx="120">
                  <c:v>4500</c:v>
                </c:pt>
                <c:pt idx="121">
                  <c:v>4600</c:v>
                </c:pt>
                <c:pt idx="122">
                  <c:v>4700</c:v>
                </c:pt>
                <c:pt idx="123">
                  <c:v>4800</c:v>
                </c:pt>
                <c:pt idx="124">
                  <c:v>4900</c:v>
                </c:pt>
                <c:pt idx="125">
                  <c:v>5000</c:v>
                </c:pt>
                <c:pt idx="126">
                  <c:v>5100</c:v>
                </c:pt>
                <c:pt idx="127">
                  <c:v>5200</c:v>
                </c:pt>
                <c:pt idx="128">
                  <c:v>5300</c:v>
                </c:pt>
                <c:pt idx="129">
                  <c:v>5400</c:v>
                </c:pt>
                <c:pt idx="130">
                  <c:v>5500</c:v>
                </c:pt>
                <c:pt idx="131">
                  <c:v>5600</c:v>
                </c:pt>
                <c:pt idx="132">
                  <c:v>5700</c:v>
                </c:pt>
                <c:pt idx="133">
                  <c:v>5800</c:v>
                </c:pt>
                <c:pt idx="134">
                  <c:v>5900</c:v>
                </c:pt>
                <c:pt idx="135">
                  <c:v>6000</c:v>
                </c:pt>
                <c:pt idx="136">
                  <c:v>6100</c:v>
                </c:pt>
                <c:pt idx="137">
                  <c:v>6200</c:v>
                </c:pt>
                <c:pt idx="138">
                  <c:v>6300</c:v>
                </c:pt>
                <c:pt idx="139">
                  <c:v>6400</c:v>
                </c:pt>
                <c:pt idx="140">
                  <c:v>6500</c:v>
                </c:pt>
                <c:pt idx="141">
                  <c:v>6600</c:v>
                </c:pt>
                <c:pt idx="142">
                  <c:v>6700</c:v>
                </c:pt>
                <c:pt idx="143">
                  <c:v>6800</c:v>
                </c:pt>
                <c:pt idx="144">
                  <c:v>6900</c:v>
                </c:pt>
                <c:pt idx="145">
                  <c:v>7000</c:v>
                </c:pt>
                <c:pt idx="146">
                  <c:v>7100</c:v>
                </c:pt>
                <c:pt idx="147">
                  <c:v>7200</c:v>
                </c:pt>
                <c:pt idx="148">
                  <c:v>7300</c:v>
                </c:pt>
                <c:pt idx="149">
                  <c:v>7400</c:v>
                </c:pt>
                <c:pt idx="150">
                  <c:v>7500</c:v>
                </c:pt>
              </c:numCache>
            </c:numRef>
          </c:xVal>
          <c:yVal>
            <c:numRef>
              <c:f>FG_Volatility_Graph!$AC$1:$AC$152</c:f>
              <c:numCache>
                <c:formatCode>General</c:formatCode>
                <c:ptCount val="152"/>
                <c:pt idx="0">
                  <c:v>5.2716432606962758E-74</c:v>
                </c:pt>
                <c:pt idx="1">
                  <c:v>4.5150725239269045E-72</c:v>
                </c:pt>
                <c:pt idx="2">
                  <c:v>3.6344163792649471E-70</c:v>
                </c:pt>
                <c:pt idx="3">
                  <c:v>2.7495135518669406E-68</c:v>
                </c:pt>
                <c:pt idx="4">
                  <c:v>1.9549168107388166E-66</c:v>
                </c:pt>
                <c:pt idx="5">
                  <c:v>1.3063270834164342E-64</c:v>
                </c:pt>
                <c:pt idx="6">
                  <c:v>8.2040219522761069E-63</c:v>
                </c:pt>
                <c:pt idx="7">
                  <c:v>4.8423137976592279E-61</c:v>
                </c:pt>
                <c:pt idx="8">
                  <c:v>2.6861501104360399E-59</c:v>
                </c:pt>
                <c:pt idx="9">
                  <c:v>1.4004217941106948E-57</c:v>
                </c:pt>
                <c:pt idx="10">
                  <c:v>6.8618098040959939E-56</c:v>
                </c:pt>
                <c:pt idx="11">
                  <c:v>3.1598737013595368E-54</c:v>
                </c:pt>
                <c:pt idx="12">
                  <c:v>1.3675776853924675E-52</c:v>
                </c:pt>
                <c:pt idx="13">
                  <c:v>5.5626984832543426E-51</c:v>
                </c:pt>
                <c:pt idx="14">
                  <c:v>2.1265238994478261E-49</c:v>
                </c:pt>
                <c:pt idx="15">
                  <c:v>7.6402267636389615E-48</c:v>
                </c:pt>
                <c:pt idx="16">
                  <c:v>2.5798441012505181E-46</c:v>
                </c:pt>
                <c:pt idx="17">
                  <c:v>8.1871342047922364E-45</c:v>
                </c:pt>
                <c:pt idx="18">
                  <c:v>2.4418646595944677E-43</c:v>
                </c:pt>
                <c:pt idx="19">
                  <c:v>6.8448274193921652E-42</c:v>
                </c:pt>
                <c:pt idx="20">
                  <c:v>1.8032446353483616E-40</c:v>
                </c:pt>
                <c:pt idx="21">
                  <c:v>4.4647590696030651E-39</c:v>
                </c:pt>
                <c:pt idx="22">
                  <c:v>1.0389451991172176E-37</c:v>
                </c:pt>
                <c:pt idx="23">
                  <c:v>2.2721577818081941E-36</c:v>
                </c:pt>
                <c:pt idx="24">
                  <c:v>4.6702009163926218E-35</c:v>
                </c:pt>
                <c:pt idx="25">
                  <c:v>9.0216064191924296E-34</c:v>
                </c:pt>
                <c:pt idx="26">
                  <c:v>1.6378850590876232E-32</c:v>
                </c:pt>
                <c:pt idx="27">
                  <c:v>2.7946935923347623E-31</c:v>
                </c:pt>
                <c:pt idx="28">
                  <c:v>4.4816321830116783E-30</c:v>
                </c:pt>
                <c:pt idx="29">
                  <c:v>6.7544416507669358E-29</c:v>
                </c:pt>
                <c:pt idx="30">
                  <c:v>9.5673999985063762E-28</c:v>
                </c:pt>
                <c:pt idx="31">
                  <c:v>1.2736486565933612E-26</c:v>
                </c:pt>
                <c:pt idx="32">
                  <c:v>1.5935165754276973E-25</c:v>
                </c:pt>
                <c:pt idx="33">
                  <c:v>1.8737634436569163E-24</c:v>
                </c:pt>
                <c:pt idx="34">
                  <c:v>2.0707333183716151E-23</c:v>
                </c:pt>
                <c:pt idx="35">
                  <c:v>2.1507246571078441E-22</c:v>
                </c:pt>
                <c:pt idx="36">
                  <c:v>2.0994072369686059E-21</c:v>
                </c:pt>
                <c:pt idx="37">
                  <c:v>1.9260155930829222E-20</c:v>
                </c:pt>
                <c:pt idx="38">
                  <c:v>1.6606348236834972E-19</c:v>
                </c:pt>
                <c:pt idx="39">
                  <c:v>1.3456735494388716E-18</c:v>
                </c:pt>
                <c:pt idx="40">
                  <c:v>1.024841077069966E-17</c:v>
                </c:pt>
                <c:pt idx="41">
                  <c:v>7.3354129143227188E-17</c:v>
                </c:pt>
                <c:pt idx="42">
                  <c:v>4.9345078017424993E-16</c:v>
                </c:pt>
                <c:pt idx="43">
                  <c:v>3.119710879574588E-15</c:v>
                </c:pt>
                <c:pt idx="44">
                  <c:v>1.8536856506908286E-14</c:v>
                </c:pt>
                <c:pt idx="45">
                  <c:v>1.035163765752046E-13</c:v>
                </c:pt>
                <c:pt idx="46">
                  <c:v>5.4329194815071588E-13</c:v>
                </c:pt>
                <c:pt idx="47">
                  <c:v>2.679839033195173E-12</c:v>
                </c:pt>
                <c:pt idx="48">
                  <c:v>1.2423254482607696E-11</c:v>
                </c:pt>
                <c:pt idx="49">
                  <c:v>5.4126916594458984E-11</c:v>
                </c:pt>
                <c:pt idx="50">
                  <c:v>2.2163708360898807E-10</c:v>
                </c:pt>
                <c:pt idx="51">
                  <c:v>8.5294847925638767E-10</c:v>
                </c:pt>
                <c:pt idx="52">
                  <c:v>3.0849945748759762E-9</c:v>
                </c:pt>
                <c:pt idx="53">
                  <c:v>1.0486661344603967E-8</c:v>
                </c:pt>
                <c:pt idx="54">
                  <c:v>3.3502044779554046E-8</c:v>
                </c:pt>
                <c:pt idx="55">
                  <c:v>1.0059041954057856E-7</c:v>
                </c:pt>
                <c:pt idx="56">
                  <c:v>2.8385278349001732E-7</c:v>
                </c:pt>
                <c:pt idx="57">
                  <c:v>7.5280228429536297E-7</c:v>
                </c:pt>
                <c:pt idx="58">
                  <c:v>1.8763762715128559E-6</c:v>
                </c:pt>
                <c:pt idx="59">
                  <c:v>4.3955190780578003E-6</c:v>
                </c:pt>
                <c:pt idx="60">
                  <c:v>9.6772428458547898E-6</c:v>
                </c:pt>
                <c:pt idx="61">
                  <c:v>2.0023700598535872E-5</c:v>
                </c:pt>
                <c:pt idx="62">
                  <c:v>3.8939312487239197E-5</c:v>
                </c:pt>
                <c:pt idx="63">
                  <c:v>7.1167784942979123E-5</c:v>
                </c:pt>
                <c:pt idx="64">
                  <c:v>1.2224464719765016E-4</c:v>
                </c:pt>
                <c:pt idx="65">
                  <c:v>1.9734561788710414E-4</c:v>
                </c:pt>
                <c:pt idx="66">
                  <c:v>2.994169320139628E-4</c:v>
                </c:pt>
                <c:pt idx="67">
                  <c:v>4.2694944953494685E-4</c:v>
                </c:pt>
                <c:pt idx="68">
                  <c:v>5.7217357013139569E-4</c:v>
                </c:pt>
                <c:pt idx="69">
                  <c:v>7.2065990666178581E-4</c:v>
                </c:pt>
                <c:pt idx="70">
                  <c:v>8.5306900408371744E-4</c:v>
                </c:pt>
                <c:pt idx="71">
                  <c:v>9.4905022538510631E-4</c:v>
                </c:pt>
                <c:pt idx="72">
                  <c:v>9.9230564982855096E-4</c:v>
                </c:pt>
                <c:pt idx="73">
                  <c:v>9.751085503215684E-4</c:v>
                </c:pt>
                <c:pt idx="74">
                  <c:v>9.005580200034391E-4</c:v>
                </c:pt>
                <c:pt idx="75">
                  <c:v>7.8166679737556866E-4</c:v>
                </c:pt>
                <c:pt idx="76">
                  <c:v>6.3765073523269766E-4</c:v>
                </c:pt>
                <c:pt idx="77">
                  <c:v>4.8887215063464495E-4</c:v>
                </c:pt>
                <c:pt idx="78">
                  <c:v>3.522564578823939E-4</c:v>
                </c:pt>
                <c:pt idx="79">
                  <c:v>2.3854694709191104E-4</c:v>
                </c:pt>
                <c:pt idx="80">
                  <c:v>1.5182384820711103E-4</c:v>
                </c:pt>
                <c:pt idx="81">
                  <c:v>9.0814952560247519E-5</c:v>
                </c:pt>
                <c:pt idx="82">
                  <c:v>5.1053551501589745E-5</c:v>
                </c:pt>
                <c:pt idx="83">
                  <c:v>2.6974027154458291E-5</c:v>
                </c:pt>
                <c:pt idx="84">
                  <c:v>1.3394202329597427E-5</c:v>
                </c:pt>
                <c:pt idx="85">
                  <c:v>6.2508510844105913E-6</c:v>
                </c:pt>
                <c:pt idx="86">
                  <c:v>2.7416542406344391E-6</c:v>
                </c:pt>
                <c:pt idx="87">
                  <c:v>1.1301535342012059E-6</c:v>
                </c:pt>
                <c:pt idx="88">
                  <c:v>4.3783799308361182E-7</c:v>
                </c:pt>
                <c:pt idx="89">
                  <c:v>1.5941921804873971E-7</c:v>
                </c:pt>
                <c:pt idx="90">
                  <c:v>5.455306273383087E-8</c:v>
                </c:pt>
                <c:pt idx="91">
                  <c:v>1.7544816599546209E-8</c:v>
                </c:pt>
                <c:pt idx="92">
                  <c:v>5.3030992930303E-9</c:v>
                </c:pt>
                <c:pt idx="93">
                  <c:v>1.5064750558124729E-9</c:v>
                </c:pt>
                <c:pt idx="94">
                  <c:v>4.022030486439121E-10</c:v>
                </c:pt>
                <c:pt idx="95">
                  <c:v>1.0092060520605628E-10</c:v>
                </c:pt>
                <c:pt idx="96">
                  <c:v>2.3799295867377168E-11</c:v>
                </c:pt>
                <c:pt idx="97">
                  <c:v>5.2746695899941187E-12</c:v>
                </c:pt>
                <c:pt idx="98">
                  <c:v>1.0987877274715174E-12</c:v>
                </c:pt>
                <c:pt idx="99">
                  <c:v>2.1505019986989282E-13</c:v>
                </c:pt>
                <c:pt idx="100">
                  <c:v>3.9523939676655573E-14</c:v>
                </c:pt>
                <c:pt idx="101">
                  <c:v>6.8833827526759706E-15</c:v>
                </c:pt>
                <c:pt idx="102">
                  <c:v>1.1102230246251565E-15</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yVal>
          <c:smooth val="0"/>
          <c:extLst>
            <c:ext xmlns:c16="http://schemas.microsoft.com/office/drawing/2014/chart" uri="{C3380CC4-5D6E-409C-BE32-E72D297353CC}">
              <c16:uniqueId val="{00000000-B01F-4AA6-886A-4D11236DBBE5}"/>
            </c:ext>
          </c:extLst>
        </c:ser>
        <c:dLbls>
          <c:showLegendKey val="0"/>
          <c:showVal val="0"/>
          <c:showCatName val="0"/>
          <c:showSerName val="0"/>
          <c:showPercent val="0"/>
          <c:showBubbleSize val="0"/>
        </c:dLbls>
        <c:axId val="1801024560"/>
        <c:axId val="1801017904"/>
      </c:scatterChart>
      <c:valAx>
        <c:axId val="180102456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 ##0_);_(* \(#\ ##0\);_(*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01017904"/>
        <c:crosses val="autoZero"/>
        <c:crossBetween val="midCat"/>
      </c:valAx>
      <c:valAx>
        <c:axId val="180101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01024560"/>
        <c:crosses val="autoZero"/>
        <c:crossBetween val="midCat"/>
      </c:valAx>
      <c:spPr>
        <a:solidFill>
          <a:schemeClr val="bg2"/>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1.png"/><Relationship Id="rId4"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chart" Target="../charts/chart6.xml"/><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chart" Target="../charts/chart8.xml"/><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chart" Target="../charts/chart10.xml"/><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chart" Target="../charts/chart12.xml"/><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19050</xdr:colOff>
      <xdr:row>1</xdr:row>
      <xdr:rowOff>15875</xdr:rowOff>
    </xdr:from>
    <xdr:to>
      <xdr:col>11</xdr:col>
      <xdr:colOff>628650</xdr:colOff>
      <xdr:row>14</xdr:row>
      <xdr:rowOff>60325</xdr:rowOff>
    </xdr:to>
    <xdr:sp macro="" textlink="">
      <xdr:nvSpPr>
        <xdr:cNvPr id="3" name="TextBox 2">
          <a:extLst>
            <a:ext uri="{FF2B5EF4-FFF2-40B4-BE49-F238E27FC236}">
              <a16:creationId xmlns:a16="http://schemas.microsoft.com/office/drawing/2014/main" id="{6EF6E5E3-9E53-47E2-BAF2-31EAA6BDFADC}"/>
            </a:ext>
          </a:extLst>
        </xdr:cNvPr>
        <xdr:cNvSpPr txBox="1"/>
      </xdr:nvSpPr>
      <xdr:spPr>
        <a:xfrm>
          <a:off x="7467600" y="257175"/>
          <a:ext cx="3016250" cy="2451100"/>
        </a:xfrm>
        <a:prstGeom prst="rect">
          <a:avLst/>
        </a:prstGeom>
        <a:solidFill>
          <a:sysClr val="window" lastClr="FFFFFF"/>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Legend:</a:t>
          </a:r>
        </a:p>
        <a:p>
          <a:endParaRPr lang="en-US" sz="1100" b="1">
            <a:solidFill>
              <a:srgbClr val="FF0000"/>
            </a:solidFill>
          </a:endParaRPr>
        </a:p>
        <a:p>
          <a:r>
            <a:rPr lang="en-US" sz="1100" b="0">
              <a:solidFill>
                <a:schemeClr val="accent6">
                  <a:lumMod val="75000"/>
                </a:schemeClr>
              </a:solidFill>
            </a:rPr>
            <a:t>Bonus Game1 - </a:t>
          </a:r>
          <a:r>
            <a:rPr lang="en-US" sz="1100" b="1">
              <a:solidFill>
                <a:schemeClr val="accent6">
                  <a:lumMod val="75000"/>
                </a:schemeClr>
              </a:solidFill>
            </a:rPr>
            <a:t>Boost Diamond Bonus Game</a:t>
          </a:r>
        </a:p>
        <a:p>
          <a:r>
            <a:rPr lang="en-US" sz="1100" b="0">
              <a:solidFill>
                <a:schemeClr val="accent5"/>
              </a:solidFill>
            </a:rPr>
            <a:t>Bonus Game2 - </a:t>
          </a:r>
          <a:r>
            <a:rPr lang="en-US" sz="1100" b="1">
              <a:solidFill>
                <a:schemeClr val="accent5"/>
              </a:solidFill>
            </a:rPr>
            <a:t>Collect Club Bonus Game</a:t>
          </a:r>
        </a:p>
        <a:p>
          <a:r>
            <a:rPr lang="en-US" sz="1100" b="0">
              <a:solidFill>
                <a:srgbClr val="7030A0"/>
              </a:solidFill>
            </a:rPr>
            <a:t>Bonus Game3 - </a:t>
          </a:r>
          <a:r>
            <a:rPr lang="en-US" sz="1100" b="1">
              <a:solidFill>
                <a:srgbClr val="7030A0"/>
              </a:solidFill>
            </a:rPr>
            <a:t>Multi Spade Bonus Game</a:t>
          </a:r>
        </a:p>
        <a:p>
          <a:r>
            <a:rPr lang="en-US" sz="1100" b="0">
              <a:solidFill>
                <a:srgbClr val="FF0000"/>
              </a:solidFill>
            </a:rPr>
            <a:t>Bonus Game4 -</a:t>
          </a:r>
          <a:r>
            <a:rPr lang="en-US" sz="1100" b="1">
              <a:solidFill>
                <a:srgbClr val="FF0000"/>
              </a:solidFill>
            </a:rPr>
            <a:t> Twin Heart Bonus Game</a:t>
          </a:r>
        </a:p>
        <a:p>
          <a:endParaRPr lang="en-US" sz="1100" b="1">
            <a:solidFill>
              <a:srgbClr val="FF0000"/>
            </a:solidFill>
          </a:endParaRPr>
        </a:p>
        <a:p>
          <a:r>
            <a:rPr lang="en-US" sz="1100" b="1">
              <a:solidFill>
                <a:schemeClr val="accent6"/>
              </a:solidFill>
            </a:rPr>
            <a:t>Fireball Feature - Boost Diamond</a:t>
          </a:r>
        </a:p>
        <a:p>
          <a:r>
            <a:rPr lang="en-US" sz="1100" b="1">
              <a:solidFill>
                <a:schemeClr val="accent1"/>
              </a:solidFill>
            </a:rPr>
            <a:t>Collect Feature - Collect Club</a:t>
          </a:r>
        </a:p>
        <a:p>
          <a:r>
            <a:rPr lang="en-US" sz="1100" b="1">
              <a:solidFill>
                <a:srgbClr val="7030A0"/>
              </a:solidFill>
            </a:rPr>
            <a:t>Multiplier - Multi</a:t>
          </a:r>
          <a:r>
            <a:rPr lang="en-US" sz="1100" b="1" baseline="0">
              <a:solidFill>
                <a:srgbClr val="7030A0"/>
              </a:solidFill>
            </a:rPr>
            <a:t> Spade</a:t>
          </a:r>
          <a:endParaRPr lang="en-US" sz="1100" b="1">
            <a:solidFill>
              <a:srgbClr val="7030A0"/>
            </a:solidFill>
          </a:endParaRPr>
        </a:p>
        <a:p>
          <a:r>
            <a:rPr lang="en-US" sz="1100" b="1">
              <a:solidFill>
                <a:srgbClr val="FF0000"/>
              </a:solidFill>
            </a:rPr>
            <a:t>MIrror - Twin Heart</a:t>
          </a:r>
        </a:p>
        <a:p>
          <a:endParaRPr lang="en-US" sz="1100" b="1">
            <a:solidFill>
              <a:srgbClr val="C00000"/>
            </a:solidFill>
          </a:endParaRPr>
        </a:p>
        <a:p>
          <a:r>
            <a:rPr lang="en-US" sz="1100" b="0" baseline="0">
              <a:solidFill>
                <a:schemeClr val="tx1">
                  <a:lumMod val="50000"/>
                  <a:lumOff val="50000"/>
                </a:schemeClr>
              </a:solidFill>
            </a:rPr>
            <a:t>QH - </a:t>
          </a:r>
          <a:r>
            <a:rPr lang="en-US" sz="1100" b="1" baseline="0">
              <a:solidFill>
                <a:schemeClr val="tx1">
                  <a:lumMod val="50000"/>
                  <a:lumOff val="50000"/>
                </a:schemeClr>
              </a:solidFill>
            </a:rPr>
            <a:t>Cash Symbol</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220982</xdr:colOff>
      <xdr:row>9</xdr:row>
      <xdr:rowOff>68581</xdr:rowOff>
    </xdr:from>
    <xdr:ext cx="802510" cy="577215"/>
    <xdr:pic>
      <xdr:nvPicPr>
        <xdr:cNvPr id="4" name="Picture 3">
          <a:extLst>
            <a:ext uri="{FF2B5EF4-FFF2-40B4-BE49-F238E27FC236}">
              <a16:creationId xmlns:a16="http://schemas.microsoft.com/office/drawing/2014/main" id="{BA65C4FA-D4D5-4DEA-A8F7-44A1A9196C1D}"/>
            </a:ext>
          </a:extLst>
        </xdr:cNvPr>
        <xdr:cNvPicPr>
          <a:picLocks noChangeAspect="1"/>
        </xdr:cNvPicPr>
      </xdr:nvPicPr>
      <xdr:blipFill>
        <a:blip xmlns:r="http://schemas.openxmlformats.org/officeDocument/2006/relationships" r:embed="rId1"/>
        <a:stretch>
          <a:fillRect/>
        </a:stretch>
      </xdr:blipFill>
      <xdr:spPr>
        <a:xfrm>
          <a:off x="220982" y="1725931"/>
          <a:ext cx="802510" cy="577215"/>
        </a:xfrm>
        <a:prstGeom prst="rect">
          <a:avLst/>
        </a:prstGeom>
      </xdr:spPr>
    </xdr:pic>
    <xdr:clientData/>
  </xdr:oneCellAnchor>
  <xdr:twoCellAnchor>
    <xdr:from>
      <xdr:col>5</xdr:col>
      <xdr:colOff>304800</xdr:colOff>
      <xdr:row>1</xdr:row>
      <xdr:rowOff>12700</xdr:rowOff>
    </xdr:from>
    <xdr:to>
      <xdr:col>13</xdr:col>
      <xdr:colOff>194541</xdr:colOff>
      <xdr:row>5</xdr:row>
      <xdr:rowOff>108527</xdr:rowOff>
    </xdr:to>
    <xdr:sp macro="" textlink="">
      <xdr:nvSpPr>
        <xdr:cNvPr id="5" name="TextBox 4">
          <a:extLst>
            <a:ext uri="{FF2B5EF4-FFF2-40B4-BE49-F238E27FC236}">
              <a16:creationId xmlns:a16="http://schemas.microsoft.com/office/drawing/2014/main" id="{8355BF7E-C8F4-4D0B-961E-37519E862B38}"/>
            </a:ext>
          </a:extLst>
        </xdr:cNvPr>
        <xdr:cNvSpPr txBox="1"/>
      </xdr:nvSpPr>
      <xdr:spPr>
        <a:xfrm>
          <a:off x="8197850" y="196850"/>
          <a:ext cx="4817341" cy="832427"/>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Market win limit disclaimer: Czech</a:t>
          </a:r>
          <a:r>
            <a:rPr lang="en-US" sz="1100" b="1" baseline="0">
              <a:solidFill>
                <a:sysClr val="windowText" lastClr="000000"/>
              </a:solidFill>
            </a:rPr>
            <a:t> Republic, Greece.</a:t>
          </a:r>
        </a:p>
        <a:p>
          <a:endParaRPr lang="en-US" sz="1100" baseline="0">
            <a:solidFill>
              <a:sysClr val="windowText" lastClr="000000"/>
            </a:solidFill>
          </a:endParaRPr>
        </a:p>
        <a:p>
          <a:r>
            <a:rPr lang="en-US" sz="1100" b="0" i="0">
              <a:solidFill>
                <a:sysClr val="windowText" lastClr="000000"/>
              </a:solidFill>
              <a:effectLst/>
              <a:latin typeface="+mn-lt"/>
              <a:ea typeface="+mn-ea"/>
              <a:cs typeface="+mn-cs"/>
            </a:rPr>
            <a:t>During this game you may reach the maximum winnings allowed.</a:t>
          </a:r>
        </a:p>
        <a:p>
          <a:r>
            <a:rPr lang="en-US" sz="1100" b="0" i="0">
              <a:solidFill>
                <a:sysClr val="windowText" lastClr="000000"/>
              </a:solidFill>
              <a:effectLst/>
              <a:latin typeface="+mn-lt"/>
              <a:ea typeface="+mn-ea"/>
              <a:cs typeface="+mn-cs"/>
            </a:rPr>
            <a:t>The maximum winnings cap complies with regulatory requirements in your region.</a:t>
          </a:r>
          <a:endParaRPr lang="en-US" sz="1100">
            <a:solidFill>
              <a:sysClr val="windowText" lastClr="000000"/>
            </a:solidFill>
          </a:endParaRPr>
        </a:p>
      </xdr:txBody>
    </xdr:sp>
    <xdr:clientData/>
  </xdr:twoCellAnchor>
  <xdr:twoCellAnchor>
    <xdr:from>
      <xdr:col>5</xdr:col>
      <xdr:colOff>298450</xdr:colOff>
      <xdr:row>23</xdr:row>
      <xdr:rowOff>6350</xdr:rowOff>
    </xdr:from>
    <xdr:to>
      <xdr:col>15</xdr:col>
      <xdr:colOff>187325</xdr:colOff>
      <xdr:row>28</xdr:row>
      <xdr:rowOff>161925</xdr:rowOff>
    </xdr:to>
    <xdr:sp macro="" textlink="">
      <xdr:nvSpPr>
        <xdr:cNvPr id="2" name="TextBox 1">
          <a:extLst>
            <a:ext uri="{FF2B5EF4-FFF2-40B4-BE49-F238E27FC236}">
              <a16:creationId xmlns:a16="http://schemas.microsoft.com/office/drawing/2014/main" id="{343E556A-393B-43F4-AEE3-7ABEB869608B}"/>
            </a:ext>
          </a:extLst>
        </xdr:cNvPr>
        <xdr:cNvSpPr txBox="1"/>
      </xdr:nvSpPr>
      <xdr:spPr>
        <a:xfrm>
          <a:off x="8197850" y="4298950"/>
          <a:ext cx="6048375" cy="1108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FF0000"/>
              </a:solidFill>
              <a:effectLst/>
              <a:latin typeface="Calibri" panose="020F0502020204030204" pitchFamily="34" charset="0"/>
              <a:ea typeface="Calibri" panose="020F0502020204030204" pitchFamily="34" charset="0"/>
              <a:cs typeface="Calibri" panose="020F0502020204030204" pitchFamily="34" charset="0"/>
            </a:rPr>
            <a:t>US</a:t>
          </a:r>
          <a:r>
            <a:rPr lang="en-US" sz="1100" b="1" i="0" baseline="0">
              <a:solidFill>
                <a:srgbClr val="FF0000"/>
              </a:solidFill>
              <a:effectLst/>
              <a:latin typeface="Calibri" panose="020F0502020204030204" pitchFamily="34" charset="0"/>
              <a:ea typeface="Calibri" panose="020F0502020204030204" pitchFamily="34" charset="0"/>
              <a:cs typeface="Calibri" panose="020F0502020204030204" pitchFamily="34" charset="0"/>
            </a:rPr>
            <a:t> Connecticut market disclaimer:</a:t>
          </a:r>
          <a:endParaRPr lang="en-GB">
            <a:solidFill>
              <a:srgbClr val="FF0000"/>
            </a:solidFill>
            <a:effectLst/>
            <a:latin typeface="Calibri" panose="020F0502020204030204" pitchFamily="34" charset="0"/>
            <a:ea typeface="Calibri" panose="020F0502020204030204" pitchFamily="34" charset="0"/>
            <a:cs typeface="Calibri" panose="020F0502020204030204" pitchFamily="34" charset="0"/>
          </a:endParaRPr>
        </a:p>
        <a:p>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This document covers </a:t>
          </a:r>
          <a:r>
            <a:rPr lang="en-US" sz="11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V94 game variant</a:t>
          </a:r>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and all distribution platforms. All game wording and related media referencing the word “free” or its variations have been updated to comply with Connecticut regulatory requirements. The following terms will not appear in any player-facing content: “free,” “sweep,” “no-cost,” and “gift.”</a:t>
          </a: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51</xdr:col>
      <xdr:colOff>399596</xdr:colOff>
      <xdr:row>27</xdr:row>
      <xdr:rowOff>92529</xdr:rowOff>
    </xdr:from>
    <xdr:to>
      <xdr:col>62</xdr:col>
      <xdr:colOff>0</xdr:colOff>
      <xdr:row>57</xdr:row>
      <xdr:rowOff>63500</xdr:rowOff>
    </xdr:to>
    <xdr:sp macro="" textlink="">
      <xdr:nvSpPr>
        <xdr:cNvPr id="561" name="Rectangle 560">
          <a:extLst>
            <a:ext uri="{FF2B5EF4-FFF2-40B4-BE49-F238E27FC236}">
              <a16:creationId xmlns:a16="http://schemas.microsoft.com/office/drawing/2014/main" id="{D3F3B64D-D482-D050-71CE-D859A76BC399}"/>
            </a:ext>
          </a:extLst>
        </xdr:cNvPr>
        <xdr:cNvSpPr/>
      </xdr:nvSpPr>
      <xdr:spPr>
        <a:xfrm>
          <a:off x="32292471" y="4870904"/>
          <a:ext cx="6760029" cy="5209721"/>
        </a:xfrm>
        <a:prstGeom prst="rect">
          <a:avLst/>
        </a:prstGeom>
        <a:noFill/>
        <a:ln w="47625">
          <a:gradFill flip="none" rotWithShape="1">
            <a:gsLst>
              <a:gs pos="100000">
                <a:srgbClr val="FF0000"/>
              </a:gs>
              <a:gs pos="100000">
                <a:schemeClr val="accent1">
                  <a:lumMod val="0"/>
                  <a:lumOff val="100000"/>
                </a:schemeClr>
              </a:gs>
              <a:gs pos="100000">
                <a:schemeClr val="accent1">
                  <a:lumMod val="100000"/>
                </a:schemeClr>
              </a:gs>
            </a:gsLst>
            <a:path path="circle">
              <a:fillToRect l="50000" t="-80000" r="50000" b="180000"/>
            </a:path>
            <a:tileRect/>
          </a:gra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170719</xdr:colOff>
      <xdr:row>2</xdr:row>
      <xdr:rowOff>38101</xdr:rowOff>
    </xdr:from>
    <xdr:to>
      <xdr:col>10</xdr:col>
      <xdr:colOff>18319</xdr:colOff>
      <xdr:row>5</xdr:row>
      <xdr:rowOff>66678</xdr:rowOff>
    </xdr:to>
    <xdr:sp macro="" textlink="">
      <xdr:nvSpPr>
        <xdr:cNvPr id="2" name="Flowchart: Alternate Process 1">
          <a:extLst>
            <a:ext uri="{FF2B5EF4-FFF2-40B4-BE49-F238E27FC236}">
              <a16:creationId xmlns:a16="http://schemas.microsoft.com/office/drawing/2014/main" id="{00000000-0008-0000-0300-000002000000}"/>
            </a:ext>
          </a:extLst>
        </xdr:cNvPr>
        <xdr:cNvSpPr/>
      </xdr:nvSpPr>
      <xdr:spPr>
        <a:xfrm>
          <a:off x="5094411" y="463063"/>
          <a:ext cx="1078523" cy="600077"/>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Player Spins</a:t>
          </a:r>
        </a:p>
      </xdr:txBody>
    </xdr:sp>
    <xdr:clientData/>
  </xdr:twoCellAnchor>
  <xdr:twoCellAnchor>
    <xdr:from>
      <xdr:col>3</xdr:col>
      <xdr:colOff>608460</xdr:colOff>
      <xdr:row>8</xdr:row>
      <xdr:rowOff>43229</xdr:rowOff>
    </xdr:from>
    <xdr:to>
      <xdr:col>6</xdr:col>
      <xdr:colOff>443361</xdr:colOff>
      <xdr:row>10</xdr:row>
      <xdr:rowOff>128953</xdr:rowOff>
    </xdr:to>
    <xdr:sp macro="" textlink="">
      <xdr:nvSpPr>
        <xdr:cNvPr id="4" name="Flowchart: Terminator 3">
          <a:extLst>
            <a:ext uri="{FF2B5EF4-FFF2-40B4-BE49-F238E27FC236}">
              <a16:creationId xmlns:a16="http://schemas.microsoft.com/office/drawing/2014/main" id="{00000000-0008-0000-0300-000004000000}"/>
            </a:ext>
          </a:extLst>
        </xdr:cNvPr>
        <xdr:cNvSpPr/>
      </xdr:nvSpPr>
      <xdr:spPr>
        <a:xfrm>
          <a:off x="1827660" y="1590675"/>
          <a:ext cx="1663701" cy="460863"/>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BaseA</a:t>
          </a:r>
        </a:p>
      </xdr:txBody>
    </xdr:sp>
    <xdr:clientData/>
  </xdr:twoCellAnchor>
  <xdr:twoCellAnchor>
    <xdr:from>
      <xdr:col>4</xdr:col>
      <xdr:colOff>255115</xdr:colOff>
      <xdr:row>22</xdr:row>
      <xdr:rowOff>115345</xdr:rowOff>
    </xdr:from>
    <xdr:to>
      <xdr:col>6</xdr:col>
      <xdr:colOff>151701</xdr:colOff>
      <xdr:row>26</xdr:row>
      <xdr:rowOff>39145</xdr:rowOff>
    </xdr:to>
    <xdr:sp macro="" textlink="">
      <xdr:nvSpPr>
        <xdr:cNvPr id="6" name="Flowchart: Alternate Process 5">
          <a:extLst>
            <a:ext uri="{FF2B5EF4-FFF2-40B4-BE49-F238E27FC236}">
              <a16:creationId xmlns:a16="http://schemas.microsoft.com/office/drawing/2014/main" id="{00000000-0008-0000-0300-000006000000}"/>
            </a:ext>
          </a:extLst>
        </xdr:cNvPr>
        <xdr:cNvSpPr/>
      </xdr:nvSpPr>
      <xdr:spPr>
        <a:xfrm>
          <a:off x="2858615" y="4020595"/>
          <a:ext cx="1198336" cy="6223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Spin stops and Evaluate Paylines</a:t>
          </a:r>
        </a:p>
      </xdr:txBody>
    </xdr:sp>
    <xdr:clientData/>
  </xdr:twoCellAnchor>
  <xdr:twoCellAnchor>
    <xdr:from>
      <xdr:col>4</xdr:col>
      <xdr:colOff>266591</xdr:colOff>
      <xdr:row>42</xdr:row>
      <xdr:rowOff>140711</xdr:rowOff>
    </xdr:from>
    <xdr:to>
      <xdr:col>6</xdr:col>
      <xdr:colOff>172156</xdr:colOff>
      <xdr:row>46</xdr:row>
      <xdr:rowOff>56347</xdr:rowOff>
    </xdr:to>
    <xdr:sp macro="" textlink="">
      <xdr:nvSpPr>
        <xdr:cNvPr id="8" name="Flowchart: Alternate Process 7">
          <a:extLst>
            <a:ext uri="{FF2B5EF4-FFF2-40B4-BE49-F238E27FC236}">
              <a16:creationId xmlns:a16="http://schemas.microsoft.com/office/drawing/2014/main" id="{00000000-0008-0000-0300-000008000000}"/>
            </a:ext>
          </a:extLst>
        </xdr:cNvPr>
        <xdr:cNvSpPr/>
      </xdr:nvSpPr>
      <xdr:spPr>
        <a:xfrm>
          <a:off x="2870091" y="7538461"/>
          <a:ext cx="1207315" cy="614136"/>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Game Ends</a:t>
          </a:r>
        </a:p>
        <a:p>
          <a:pPr algn="l"/>
          <a:endParaRPr lang="en-GB" sz="1100"/>
        </a:p>
      </xdr:txBody>
    </xdr:sp>
    <xdr:clientData/>
  </xdr:twoCellAnchor>
  <xdr:twoCellAnchor>
    <xdr:from>
      <xdr:col>5</xdr:col>
      <xdr:colOff>193891</xdr:colOff>
      <xdr:row>18</xdr:row>
      <xdr:rowOff>88446</xdr:rowOff>
    </xdr:from>
    <xdr:to>
      <xdr:col>5</xdr:col>
      <xdr:colOff>204089</xdr:colOff>
      <xdr:row>22</xdr:row>
      <xdr:rowOff>115345</xdr:rowOff>
    </xdr:to>
    <xdr:cxnSp macro="">
      <xdr:nvCxnSpPr>
        <xdr:cNvPr id="15" name="Straight Arrow Connector 14">
          <a:extLst>
            <a:ext uri="{FF2B5EF4-FFF2-40B4-BE49-F238E27FC236}">
              <a16:creationId xmlns:a16="http://schemas.microsoft.com/office/drawing/2014/main" id="{00000000-0008-0000-0300-00000F000000}"/>
            </a:ext>
          </a:extLst>
        </xdr:cNvPr>
        <xdr:cNvCxnSpPr>
          <a:cxnSpLocks/>
          <a:stCxn id="96" idx="2"/>
          <a:endCxn id="6" idx="0"/>
        </xdr:cNvCxnSpPr>
      </xdr:nvCxnSpPr>
      <xdr:spPr>
        <a:xfrm>
          <a:off x="3448266" y="3295196"/>
          <a:ext cx="10198" cy="7253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218180</xdr:colOff>
      <xdr:row>5</xdr:row>
      <xdr:rowOff>66678</xdr:rowOff>
    </xdr:from>
    <xdr:to>
      <xdr:col>9</xdr:col>
      <xdr:colOff>94519</xdr:colOff>
      <xdr:row>8</xdr:row>
      <xdr:rowOff>43229</xdr:rowOff>
    </xdr:to>
    <xdr:cxnSp macro="">
      <xdr:nvCxnSpPr>
        <xdr:cNvPr id="25" name="Straight Arrow Connector 24">
          <a:extLst>
            <a:ext uri="{FF2B5EF4-FFF2-40B4-BE49-F238E27FC236}">
              <a16:creationId xmlns:a16="http://schemas.microsoft.com/office/drawing/2014/main" id="{00000000-0008-0000-0300-000019000000}"/>
            </a:ext>
          </a:extLst>
        </xdr:cNvPr>
        <xdr:cNvCxnSpPr>
          <a:cxnSpLocks/>
          <a:stCxn id="2" idx="2"/>
          <a:endCxn id="4" idx="0"/>
        </xdr:cNvCxnSpPr>
      </xdr:nvCxnSpPr>
      <xdr:spPr>
        <a:xfrm flipH="1">
          <a:off x="3295488" y="1063140"/>
          <a:ext cx="2338185" cy="5480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57150</xdr:colOff>
      <xdr:row>3</xdr:row>
      <xdr:rowOff>11906</xdr:rowOff>
    </xdr:from>
    <xdr:to>
      <xdr:col>28</xdr:col>
      <xdr:colOff>569594</xdr:colOff>
      <xdr:row>5</xdr:row>
      <xdr:rowOff>164306</xdr:rowOff>
    </xdr:to>
    <xdr:sp macro="" textlink="">
      <xdr:nvSpPr>
        <xdr:cNvPr id="26" name="Flowchart: Alternate Process 25">
          <a:extLst>
            <a:ext uri="{FF2B5EF4-FFF2-40B4-BE49-F238E27FC236}">
              <a16:creationId xmlns:a16="http://schemas.microsoft.com/office/drawing/2014/main" id="{00000000-0008-0000-0300-00001A000000}"/>
            </a:ext>
          </a:extLst>
        </xdr:cNvPr>
        <xdr:cNvSpPr/>
      </xdr:nvSpPr>
      <xdr:spPr>
        <a:xfrm>
          <a:off x="12201525" y="1202531"/>
          <a:ext cx="1119663" cy="533400"/>
        </a:xfrm>
        <a:prstGeom prst="flowChartAlternateProcess">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Bonus</a:t>
          </a:r>
          <a:r>
            <a:rPr lang="en-GB" sz="1100" baseline="0"/>
            <a:t> Game</a:t>
          </a:r>
          <a:endParaRPr lang="en-GB" sz="1100"/>
        </a:p>
        <a:p>
          <a:pPr algn="l"/>
          <a:endParaRPr lang="en-GB" sz="1100"/>
        </a:p>
      </xdr:txBody>
    </xdr:sp>
    <xdr:clientData/>
  </xdr:twoCellAnchor>
  <xdr:twoCellAnchor>
    <xdr:from>
      <xdr:col>26</xdr:col>
      <xdr:colOff>350645</xdr:colOff>
      <xdr:row>21</xdr:row>
      <xdr:rowOff>126128</xdr:rowOff>
    </xdr:from>
    <xdr:to>
      <xdr:col>29</xdr:col>
      <xdr:colOff>292030</xdr:colOff>
      <xdr:row>25</xdr:row>
      <xdr:rowOff>11828</xdr:rowOff>
    </xdr:to>
    <xdr:sp macro="" textlink="">
      <xdr:nvSpPr>
        <xdr:cNvPr id="28" name="Flowchart: Terminator 27">
          <a:extLst>
            <a:ext uri="{FF2B5EF4-FFF2-40B4-BE49-F238E27FC236}">
              <a16:creationId xmlns:a16="http://schemas.microsoft.com/office/drawing/2014/main" id="{00000000-0008-0000-0300-00001C000000}"/>
            </a:ext>
          </a:extLst>
        </xdr:cNvPr>
        <xdr:cNvSpPr/>
      </xdr:nvSpPr>
      <xdr:spPr>
        <a:xfrm>
          <a:off x="14434038" y="3228557"/>
          <a:ext cx="1778349" cy="647700"/>
        </a:xfrm>
        <a:prstGeom prst="flowChartTerminator">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counter = counter - 1</a:t>
          </a:r>
          <a:endParaRPr lang="en-GB" sz="1100"/>
        </a:p>
      </xdr:txBody>
    </xdr:sp>
    <xdr:clientData/>
  </xdr:twoCellAnchor>
  <xdr:twoCellAnchor>
    <xdr:from>
      <xdr:col>28</xdr:col>
      <xdr:colOff>15177</xdr:colOff>
      <xdr:row>25</xdr:row>
      <xdr:rowOff>11828</xdr:rowOff>
    </xdr:from>
    <xdr:to>
      <xdr:col>28</xdr:col>
      <xdr:colOff>17217</xdr:colOff>
      <xdr:row>33</xdr:row>
      <xdr:rowOff>95250</xdr:rowOff>
    </xdr:to>
    <xdr:cxnSp macro="">
      <xdr:nvCxnSpPr>
        <xdr:cNvPr id="42" name="Straight Arrow Connector 41">
          <a:extLst>
            <a:ext uri="{FF2B5EF4-FFF2-40B4-BE49-F238E27FC236}">
              <a16:creationId xmlns:a16="http://schemas.microsoft.com/office/drawing/2014/main" id="{00000000-0008-0000-0300-00002A000000}"/>
            </a:ext>
          </a:extLst>
        </xdr:cNvPr>
        <xdr:cNvCxnSpPr>
          <a:cxnSpLocks/>
          <a:stCxn id="28" idx="2"/>
          <a:endCxn id="106" idx="0"/>
        </xdr:cNvCxnSpPr>
      </xdr:nvCxnSpPr>
      <xdr:spPr>
        <a:xfrm>
          <a:off x="15323213" y="3876257"/>
          <a:ext cx="2040" cy="65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637449</xdr:colOff>
      <xdr:row>5</xdr:row>
      <xdr:rowOff>162945</xdr:rowOff>
    </xdr:from>
    <xdr:to>
      <xdr:col>27</xdr:col>
      <xdr:colOff>642274</xdr:colOff>
      <xdr:row>9</xdr:row>
      <xdr:rowOff>64722</xdr:rowOff>
    </xdr:to>
    <xdr:cxnSp macro="">
      <xdr:nvCxnSpPr>
        <xdr:cNvPr id="169" name="Straight Arrow Connector 168">
          <a:extLst>
            <a:ext uri="{FF2B5EF4-FFF2-40B4-BE49-F238E27FC236}">
              <a16:creationId xmlns:a16="http://schemas.microsoft.com/office/drawing/2014/main" id="{00000000-0008-0000-0300-0000A9000000}"/>
            </a:ext>
          </a:extLst>
        </xdr:cNvPr>
        <xdr:cNvCxnSpPr>
          <a:cxnSpLocks/>
          <a:stCxn id="26" idx="2"/>
          <a:endCxn id="100" idx="0"/>
        </xdr:cNvCxnSpPr>
      </xdr:nvCxnSpPr>
      <xdr:spPr>
        <a:xfrm>
          <a:off x="18211074" y="1099570"/>
          <a:ext cx="4825" cy="6002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293391</xdr:colOff>
      <xdr:row>23</xdr:row>
      <xdr:rowOff>67617</xdr:rowOff>
    </xdr:from>
    <xdr:to>
      <xdr:col>56</xdr:col>
      <xdr:colOff>543832</xdr:colOff>
      <xdr:row>23</xdr:row>
      <xdr:rowOff>92529</xdr:rowOff>
    </xdr:to>
    <xdr:cxnSp macro="">
      <xdr:nvCxnSpPr>
        <xdr:cNvPr id="217" name="Straight Arrow Connector 216">
          <a:extLst>
            <a:ext uri="{FF2B5EF4-FFF2-40B4-BE49-F238E27FC236}">
              <a16:creationId xmlns:a16="http://schemas.microsoft.com/office/drawing/2014/main" id="{00000000-0008-0000-0300-0000D9000000}"/>
            </a:ext>
          </a:extLst>
        </xdr:cNvPr>
        <xdr:cNvCxnSpPr>
          <a:cxnSpLocks/>
          <a:endCxn id="28" idx="3"/>
        </xdr:cNvCxnSpPr>
      </xdr:nvCxnSpPr>
      <xdr:spPr>
        <a:xfrm flipH="1" flipV="1">
          <a:off x="19168766" y="4147492"/>
          <a:ext cx="16522316" cy="249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605959</xdr:colOff>
      <xdr:row>14</xdr:row>
      <xdr:rowOff>6803</xdr:rowOff>
    </xdr:from>
    <xdr:to>
      <xdr:col>6</xdr:col>
      <xdr:colOff>439500</xdr:colOff>
      <xdr:row>18</xdr:row>
      <xdr:rowOff>89807</xdr:rowOff>
    </xdr:to>
    <xdr:sp macro="" textlink="">
      <xdr:nvSpPr>
        <xdr:cNvPr id="96" name="Flowchart: Terminator 95">
          <a:extLst>
            <a:ext uri="{FF2B5EF4-FFF2-40B4-BE49-F238E27FC236}">
              <a16:creationId xmlns:a16="http://schemas.microsoft.com/office/drawing/2014/main" id="{00000000-0008-0000-0300-000060000000}"/>
            </a:ext>
          </a:extLst>
        </xdr:cNvPr>
        <xdr:cNvSpPr/>
      </xdr:nvSpPr>
      <xdr:spPr>
        <a:xfrm>
          <a:off x="2558584" y="2515053"/>
          <a:ext cx="1786166" cy="781504"/>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Selects</a:t>
          </a:r>
          <a:r>
            <a:rPr lang="en-GB" sz="1100" baseline="0"/>
            <a:t> random symbol value for rn1</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a:solidFill>
              <a:srgbClr val="FF0000"/>
            </a:solidFill>
            <a:effectLst/>
          </a:endParaRPr>
        </a:p>
        <a:p>
          <a:pPr algn="ctr"/>
          <a:endParaRPr lang="en-GB" sz="1100"/>
        </a:p>
      </xdr:txBody>
    </xdr:sp>
    <xdr:clientData/>
  </xdr:twoCellAnchor>
  <xdr:twoCellAnchor>
    <xdr:from>
      <xdr:col>5</xdr:col>
      <xdr:colOff>193891</xdr:colOff>
      <xdr:row>10</xdr:row>
      <xdr:rowOff>131674</xdr:rowOff>
    </xdr:from>
    <xdr:to>
      <xdr:col>5</xdr:col>
      <xdr:colOff>199113</xdr:colOff>
      <xdr:row>14</xdr:row>
      <xdr:rowOff>10885</xdr:rowOff>
    </xdr:to>
    <xdr:cxnSp macro="">
      <xdr:nvCxnSpPr>
        <xdr:cNvPr id="99" name="Straight Arrow Connector 98">
          <a:extLst>
            <a:ext uri="{FF2B5EF4-FFF2-40B4-BE49-F238E27FC236}">
              <a16:creationId xmlns:a16="http://schemas.microsoft.com/office/drawing/2014/main" id="{00000000-0008-0000-0300-000063000000}"/>
            </a:ext>
          </a:extLst>
        </xdr:cNvPr>
        <xdr:cNvCxnSpPr>
          <a:cxnSpLocks/>
          <a:stCxn id="4" idx="2"/>
          <a:endCxn id="96" idx="0"/>
        </xdr:cNvCxnSpPr>
      </xdr:nvCxnSpPr>
      <xdr:spPr>
        <a:xfrm flipH="1">
          <a:off x="3448266" y="1941424"/>
          <a:ext cx="5222" cy="5777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204089</xdr:colOff>
      <xdr:row>26</xdr:row>
      <xdr:rowOff>39145</xdr:rowOff>
    </xdr:from>
    <xdr:to>
      <xdr:col>5</xdr:col>
      <xdr:colOff>222023</xdr:colOff>
      <xdr:row>34</xdr:row>
      <xdr:rowOff>107044</xdr:rowOff>
    </xdr:to>
    <xdr:cxnSp macro="">
      <xdr:nvCxnSpPr>
        <xdr:cNvPr id="50" name="Straight Arrow Connector 49">
          <a:extLst>
            <a:ext uri="{FF2B5EF4-FFF2-40B4-BE49-F238E27FC236}">
              <a16:creationId xmlns:a16="http://schemas.microsoft.com/office/drawing/2014/main" id="{00000000-0008-0000-0300-000032000000}"/>
            </a:ext>
          </a:extLst>
        </xdr:cNvPr>
        <xdr:cNvCxnSpPr>
          <a:cxnSpLocks/>
          <a:stCxn id="6" idx="2"/>
          <a:endCxn id="27" idx="0"/>
        </xdr:cNvCxnSpPr>
      </xdr:nvCxnSpPr>
      <xdr:spPr>
        <a:xfrm>
          <a:off x="3458464" y="4642895"/>
          <a:ext cx="17934" cy="14648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190499</xdr:colOff>
      <xdr:row>41</xdr:row>
      <xdr:rowOff>58616</xdr:rowOff>
    </xdr:from>
    <xdr:to>
      <xdr:col>29</xdr:col>
      <xdr:colOff>457199</xdr:colOff>
      <xdr:row>44</xdr:row>
      <xdr:rowOff>96715</xdr:rowOff>
    </xdr:to>
    <xdr:sp macro="" textlink="">
      <xdr:nvSpPr>
        <xdr:cNvPr id="85" name="Flowchart: Preparation 84">
          <a:extLst>
            <a:ext uri="{FF2B5EF4-FFF2-40B4-BE49-F238E27FC236}">
              <a16:creationId xmlns:a16="http://schemas.microsoft.com/office/drawing/2014/main" id="{00000000-0008-0000-0300-000055000000}"/>
            </a:ext>
          </a:extLst>
        </xdr:cNvPr>
        <xdr:cNvSpPr/>
      </xdr:nvSpPr>
      <xdr:spPr>
        <a:xfrm>
          <a:off x="11268807" y="3341078"/>
          <a:ext cx="2113084" cy="609599"/>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Symbol hit?</a:t>
          </a:r>
        </a:p>
        <a:p>
          <a:pPr algn="l"/>
          <a:endParaRPr lang="en-GB" sz="1100"/>
        </a:p>
      </xdr:txBody>
    </xdr:sp>
    <xdr:clientData/>
  </xdr:twoCellAnchor>
  <xdr:twoCellAnchor>
    <xdr:from>
      <xdr:col>28</xdr:col>
      <xdr:colOff>17688</xdr:colOff>
      <xdr:row>44</xdr:row>
      <xdr:rowOff>96715</xdr:rowOff>
    </xdr:from>
    <xdr:to>
      <xdr:col>28</xdr:col>
      <xdr:colOff>17689</xdr:colOff>
      <xdr:row>53</xdr:row>
      <xdr:rowOff>40822</xdr:rowOff>
    </xdr:to>
    <xdr:cxnSp macro="">
      <xdr:nvCxnSpPr>
        <xdr:cNvPr id="89" name="Straight Arrow Connector 88">
          <a:extLst>
            <a:ext uri="{FF2B5EF4-FFF2-40B4-BE49-F238E27FC236}">
              <a16:creationId xmlns:a16="http://schemas.microsoft.com/office/drawing/2014/main" id="{00000000-0008-0000-0300-000059000000}"/>
            </a:ext>
          </a:extLst>
        </xdr:cNvPr>
        <xdr:cNvCxnSpPr>
          <a:cxnSpLocks/>
          <a:stCxn id="85" idx="2"/>
          <a:endCxn id="114" idx="0"/>
        </xdr:cNvCxnSpPr>
      </xdr:nvCxnSpPr>
      <xdr:spPr>
        <a:xfrm>
          <a:off x="15325724" y="6628144"/>
          <a:ext cx="1" cy="896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457199</xdr:colOff>
      <xdr:row>42</xdr:row>
      <xdr:rowOff>162257</xdr:rowOff>
    </xdr:from>
    <xdr:to>
      <xdr:col>30</xdr:col>
      <xdr:colOff>202535</xdr:colOff>
      <xdr:row>42</xdr:row>
      <xdr:rowOff>163303</xdr:rowOff>
    </xdr:to>
    <xdr:cxnSp macro="">
      <xdr:nvCxnSpPr>
        <xdr:cNvPr id="101" name="Straight Arrow Connector 100">
          <a:extLst>
            <a:ext uri="{FF2B5EF4-FFF2-40B4-BE49-F238E27FC236}">
              <a16:creationId xmlns:a16="http://schemas.microsoft.com/office/drawing/2014/main" id="{00000000-0008-0000-0300-000065000000}"/>
            </a:ext>
          </a:extLst>
        </xdr:cNvPr>
        <xdr:cNvCxnSpPr>
          <a:stCxn id="85" idx="3"/>
          <a:endCxn id="94" idx="1"/>
        </xdr:cNvCxnSpPr>
      </xdr:nvCxnSpPr>
      <xdr:spPr>
        <a:xfrm>
          <a:off x="19332574" y="7560007"/>
          <a:ext cx="396211" cy="10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202535</xdr:colOff>
      <xdr:row>40</xdr:row>
      <xdr:rowOff>143712</xdr:rowOff>
    </xdr:from>
    <xdr:to>
      <xdr:col>32</xdr:col>
      <xdr:colOff>381000</xdr:colOff>
      <xdr:row>45</xdr:row>
      <xdr:rowOff>8268</xdr:rowOff>
    </xdr:to>
    <xdr:sp macro="" textlink="">
      <xdr:nvSpPr>
        <xdr:cNvPr id="94" name="Flowchart: Terminator 93">
          <a:extLst>
            <a:ext uri="{FF2B5EF4-FFF2-40B4-BE49-F238E27FC236}">
              <a16:creationId xmlns:a16="http://schemas.microsoft.com/office/drawing/2014/main" id="{00000000-0008-0000-0300-00005E000000}"/>
            </a:ext>
          </a:extLst>
        </xdr:cNvPr>
        <xdr:cNvSpPr/>
      </xdr:nvSpPr>
      <xdr:spPr>
        <a:xfrm>
          <a:off x="19728785" y="7192212"/>
          <a:ext cx="1480215" cy="737681"/>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counter</a:t>
          </a:r>
          <a:r>
            <a:rPr lang="en-GB" sz="1100" baseline="0"/>
            <a:t> resets to 3 </a:t>
          </a:r>
          <a:endParaRPr lang="en-GB" sz="1100"/>
        </a:p>
      </xdr:txBody>
    </xdr:sp>
    <xdr:clientData/>
  </xdr:twoCellAnchor>
  <xdr:twoCellAnchor>
    <xdr:from>
      <xdr:col>32</xdr:col>
      <xdr:colOff>381000</xdr:colOff>
      <xdr:row>42</xdr:row>
      <xdr:rowOff>163303</xdr:rowOff>
    </xdr:from>
    <xdr:to>
      <xdr:col>33</xdr:col>
      <xdr:colOff>68943</xdr:colOff>
      <xdr:row>42</xdr:row>
      <xdr:rowOff>164419</xdr:rowOff>
    </xdr:to>
    <xdr:cxnSp macro="">
      <xdr:nvCxnSpPr>
        <xdr:cNvPr id="98" name="Straight Arrow Connector 97">
          <a:extLst>
            <a:ext uri="{FF2B5EF4-FFF2-40B4-BE49-F238E27FC236}">
              <a16:creationId xmlns:a16="http://schemas.microsoft.com/office/drawing/2014/main" id="{00000000-0008-0000-0300-000062000000}"/>
            </a:ext>
          </a:extLst>
        </xdr:cNvPr>
        <xdr:cNvCxnSpPr>
          <a:stCxn id="94" idx="3"/>
          <a:endCxn id="316" idx="1"/>
        </xdr:cNvCxnSpPr>
      </xdr:nvCxnSpPr>
      <xdr:spPr>
        <a:xfrm>
          <a:off x="21209000" y="7561053"/>
          <a:ext cx="338818" cy="11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489438</xdr:colOff>
      <xdr:row>8</xdr:row>
      <xdr:rowOff>14655</xdr:rowOff>
    </xdr:from>
    <xdr:to>
      <xdr:col>10</xdr:col>
      <xdr:colOff>324340</xdr:colOff>
      <xdr:row>10</xdr:row>
      <xdr:rowOff>100379</xdr:rowOff>
    </xdr:to>
    <xdr:sp macro="" textlink="">
      <xdr:nvSpPr>
        <xdr:cNvPr id="45" name="Flowchart: Terminator 44">
          <a:extLst>
            <a:ext uri="{FF2B5EF4-FFF2-40B4-BE49-F238E27FC236}">
              <a16:creationId xmlns:a16="http://schemas.microsoft.com/office/drawing/2014/main" id="{00000000-0008-0000-0300-00002D000000}"/>
            </a:ext>
          </a:extLst>
        </xdr:cNvPr>
        <xdr:cNvSpPr/>
      </xdr:nvSpPr>
      <xdr:spPr>
        <a:xfrm>
          <a:off x="4797669" y="1582617"/>
          <a:ext cx="1681286" cy="466724"/>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BaseB</a:t>
          </a:r>
        </a:p>
      </xdr:txBody>
    </xdr:sp>
    <xdr:clientData/>
  </xdr:twoCellAnchor>
  <xdr:twoCellAnchor>
    <xdr:from>
      <xdr:col>9</xdr:col>
      <xdr:colOff>553915</xdr:colOff>
      <xdr:row>14</xdr:row>
      <xdr:rowOff>114299</xdr:rowOff>
    </xdr:from>
    <xdr:to>
      <xdr:col>11</xdr:col>
      <xdr:colOff>449140</xdr:colOff>
      <xdr:row>18</xdr:row>
      <xdr:rowOff>38100</xdr:rowOff>
    </xdr:to>
    <xdr:sp macro="" textlink="">
      <xdr:nvSpPr>
        <xdr:cNvPr id="47" name="Flowchart: Alternate Process 46">
          <a:extLst>
            <a:ext uri="{FF2B5EF4-FFF2-40B4-BE49-F238E27FC236}">
              <a16:creationId xmlns:a16="http://schemas.microsoft.com/office/drawing/2014/main" id="{00000000-0008-0000-0300-00002F000000}"/>
            </a:ext>
          </a:extLst>
        </xdr:cNvPr>
        <xdr:cNvSpPr/>
      </xdr:nvSpPr>
      <xdr:spPr>
        <a:xfrm>
          <a:off x="6093069" y="2825261"/>
          <a:ext cx="1126148" cy="68580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Spin stops and Evaluate Paylines</a:t>
          </a:r>
        </a:p>
      </xdr:txBody>
    </xdr:sp>
    <xdr:clientData/>
  </xdr:twoCellAnchor>
  <xdr:twoCellAnchor>
    <xdr:from>
      <xdr:col>9</xdr:col>
      <xdr:colOff>246184</xdr:colOff>
      <xdr:row>22</xdr:row>
      <xdr:rowOff>-1</xdr:rowOff>
    </xdr:from>
    <xdr:to>
      <xdr:col>12</xdr:col>
      <xdr:colOff>110454</xdr:colOff>
      <xdr:row>27</xdr:row>
      <xdr:rowOff>131883</xdr:rowOff>
    </xdr:to>
    <xdr:sp macro="" textlink="">
      <xdr:nvSpPr>
        <xdr:cNvPr id="51" name="Flowchart: Preparation 50">
          <a:extLst>
            <a:ext uri="{FF2B5EF4-FFF2-40B4-BE49-F238E27FC236}">
              <a16:creationId xmlns:a16="http://schemas.microsoft.com/office/drawing/2014/main" id="{00000000-0008-0000-0300-000033000000}"/>
            </a:ext>
          </a:extLst>
        </xdr:cNvPr>
        <xdr:cNvSpPr/>
      </xdr:nvSpPr>
      <xdr:spPr>
        <a:xfrm>
          <a:off x="5785338" y="4234961"/>
          <a:ext cx="1710654" cy="1084384"/>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"Collect" and "QH" symbol on reel?</a:t>
          </a:r>
          <a:endParaRPr lang="en-GB" sz="1100"/>
        </a:p>
      </xdr:txBody>
    </xdr:sp>
    <xdr:clientData/>
  </xdr:twoCellAnchor>
  <xdr:twoCellAnchor>
    <xdr:from>
      <xdr:col>9</xdr:col>
      <xdr:colOff>517908</xdr:colOff>
      <xdr:row>46</xdr:row>
      <xdr:rowOff>34123</xdr:rowOff>
    </xdr:from>
    <xdr:to>
      <xdr:col>11</xdr:col>
      <xdr:colOff>420752</xdr:colOff>
      <xdr:row>49</xdr:row>
      <xdr:rowOff>141829</xdr:rowOff>
    </xdr:to>
    <xdr:sp macro="" textlink="">
      <xdr:nvSpPr>
        <xdr:cNvPr id="54" name="Flowchart: Alternate Process 53">
          <a:extLst>
            <a:ext uri="{FF2B5EF4-FFF2-40B4-BE49-F238E27FC236}">
              <a16:creationId xmlns:a16="http://schemas.microsoft.com/office/drawing/2014/main" id="{00000000-0008-0000-0300-000036000000}"/>
            </a:ext>
          </a:extLst>
        </xdr:cNvPr>
        <xdr:cNvSpPr/>
      </xdr:nvSpPr>
      <xdr:spPr>
        <a:xfrm>
          <a:off x="6028801" y="8089552"/>
          <a:ext cx="1127487" cy="679206"/>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Game Ends</a:t>
          </a:r>
        </a:p>
        <a:p>
          <a:pPr algn="l"/>
          <a:endParaRPr lang="en-GB" sz="1100"/>
        </a:p>
      </xdr:txBody>
    </xdr:sp>
    <xdr:clientData/>
  </xdr:twoCellAnchor>
  <xdr:twoCellAnchor>
    <xdr:from>
      <xdr:col>9</xdr:col>
      <xdr:colOff>99158</xdr:colOff>
      <xdr:row>10</xdr:row>
      <xdr:rowOff>100379</xdr:rowOff>
    </xdr:from>
    <xdr:to>
      <xdr:col>10</xdr:col>
      <xdr:colOff>501528</xdr:colOff>
      <xdr:row>14</xdr:row>
      <xdr:rowOff>114299</xdr:rowOff>
    </xdr:to>
    <xdr:cxnSp macro="">
      <xdr:nvCxnSpPr>
        <xdr:cNvPr id="55" name="Straight Arrow Connector 54">
          <a:extLst>
            <a:ext uri="{FF2B5EF4-FFF2-40B4-BE49-F238E27FC236}">
              <a16:creationId xmlns:a16="http://schemas.microsoft.com/office/drawing/2014/main" id="{00000000-0008-0000-0300-000037000000}"/>
            </a:ext>
          </a:extLst>
        </xdr:cNvPr>
        <xdr:cNvCxnSpPr>
          <a:cxnSpLocks/>
          <a:stCxn id="45" idx="2"/>
          <a:endCxn id="47" idx="0"/>
        </xdr:cNvCxnSpPr>
      </xdr:nvCxnSpPr>
      <xdr:spPr>
        <a:xfrm>
          <a:off x="5638312" y="2049341"/>
          <a:ext cx="1017831" cy="7759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486050</xdr:colOff>
      <xdr:row>18</xdr:row>
      <xdr:rowOff>38100</xdr:rowOff>
    </xdr:from>
    <xdr:to>
      <xdr:col>10</xdr:col>
      <xdr:colOff>501528</xdr:colOff>
      <xdr:row>22</xdr:row>
      <xdr:rowOff>-1</xdr:rowOff>
    </xdr:to>
    <xdr:cxnSp macro="">
      <xdr:nvCxnSpPr>
        <xdr:cNvPr id="56" name="Straight Arrow Connector 55">
          <a:extLst>
            <a:ext uri="{FF2B5EF4-FFF2-40B4-BE49-F238E27FC236}">
              <a16:creationId xmlns:a16="http://schemas.microsoft.com/office/drawing/2014/main" id="{00000000-0008-0000-0300-000038000000}"/>
            </a:ext>
          </a:extLst>
        </xdr:cNvPr>
        <xdr:cNvCxnSpPr>
          <a:cxnSpLocks/>
          <a:stCxn id="47" idx="2"/>
          <a:endCxn id="51" idx="0"/>
        </xdr:cNvCxnSpPr>
      </xdr:nvCxnSpPr>
      <xdr:spPr>
        <a:xfrm flipH="1">
          <a:off x="6640665" y="3511062"/>
          <a:ext cx="15478" cy="7238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483225</xdr:colOff>
      <xdr:row>27</xdr:row>
      <xdr:rowOff>131883</xdr:rowOff>
    </xdr:from>
    <xdr:to>
      <xdr:col>10</xdr:col>
      <xdr:colOff>484480</xdr:colOff>
      <xdr:row>34</xdr:row>
      <xdr:rowOff>163285</xdr:rowOff>
    </xdr:to>
    <xdr:cxnSp macro="">
      <xdr:nvCxnSpPr>
        <xdr:cNvPr id="57" name="Straight Arrow Connector 56">
          <a:extLst>
            <a:ext uri="{FF2B5EF4-FFF2-40B4-BE49-F238E27FC236}">
              <a16:creationId xmlns:a16="http://schemas.microsoft.com/office/drawing/2014/main" id="{00000000-0008-0000-0300-000039000000}"/>
            </a:ext>
          </a:extLst>
        </xdr:cNvPr>
        <xdr:cNvCxnSpPr>
          <a:cxnSpLocks/>
          <a:stCxn id="51" idx="2"/>
          <a:endCxn id="76" idx="0"/>
        </xdr:cNvCxnSpPr>
      </xdr:nvCxnSpPr>
      <xdr:spPr>
        <a:xfrm flipH="1">
          <a:off x="6606439" y="5329812"/>
          <a:ext cx="1255" cy="6029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94519</xdr:colOff>
      <xdr:row>5</xdr:row>
      <xdr:rowOff>66678</xdr:rowOff>
    </xdr:from>
    <xdr:to>
      <xdr:col>9</xdr:col>
      <xdr:colOff>99158</xdr:colOff>
      <xdr:row>8</xdr:row>
      <xdr:rowOff>14655</xdr:rowOff>
    </xdr:to>
    <xdr:cxnSp macro="">
      <xdr:nvCxnSpPr>
        <xdr:cNvPr id="60" name="Straight Arrow Connector 59">
          <a:extLst>
            <a:ext uri="{FF2B5EF4-FFF2-40B4-BE49-F238E27FC236}">
              <a16:creationId xmlns:a16="http://schemas.microsoft.com/office/drawing/2014/main" id="{00000000-0008-0000-0300-00003C000000}"/>
            </a:ext>
          </a:extLst>
        </xdr:cNvPr>
        <xdr:cNvCxnSpPr>
          <a:cxnSpLocks/>
          <a:stCxn id="2" idx="2"/>
          <a:endCxn id="45" idx="0"/>
        </xdr:cNvCxnSpPr>
      </xdr:nvCxnSpPr>
      <xdr:spPr>
        <a:xfrm>
          <a:off x="5633673" y="1063140"/>
          <a:ext cx="4639" cy="5194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106372</xdr:colOff>
      <xdr:row>24</xdr:row>
      <xdr:rowOff>152034</xdr:rowOff>
    </xdr:from>
    <xdr:to>
      <xdr:col>13</xdr:col>
      <xdr:colOff>333131</xdr:colOff>
      <xdr:row>24</xdr:row>
      <xdr:rowOff>154614</xdr:rowOff>
    </xdr:to>
    <xdr:cxnSp macro="">
      <xdr:nvCxnSpPr>
        <xdr:cNvPr id="63" name="Straight Arrow Connector 62">
          <a:extLst>
            <a:ext uri="{FF2B5EF4-FFF2-40B4-BE49-F238E27FC236}">
              <a16:creationId xmlns:a16="http://schemas.microsoft.com/office/drawing/2014/main" id="{00000000-0008-0000-0300-00003F000000}"/>
            </a:ext>
          </a:extLst>
        </xdr:cNvPr>
        <xdr:cNvCxnSpPr>
          <a:cxnSpLocks/>
          <a:stCxn id="51" idx="3"/>
          <a:endCxn id="69" idx="1"/>
        </xdr:cNvCxnSpPr>
      </xdr:nvCxnSpPr>
      <xdr:spPr>
        <a:xfrm flipV="1">
          <a:off x="7916872" y="4406534"/>
          <a:ext cx="877634" cy="25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17217</xdr:colOff>
      <xdr:row>37</xdr:row>
      <xdr:rowOff>19050</xdr:rowOff>
    </xdr:from>
    <xdr:to>
      <xdr:col>28</xdr:col>
      <xdr:colOff>17688</xdr:colOff>
      <xdr:row>41</xdr:row>
      <xdr:rowOff>58616</xdr:rowOff>
    </xdr:to>
    <xdr:cxnSp macro="">
      <xdr:nvCxnSpPr>
        <xdr:cNvPr id="68" name="Straight Arrow Connector 67">
          <a:extLst>
            <a:ext uri="{FF2B5EF4-FFF2-40B4-BE49-F238E27FC236}">
              <a16:creationId xmlns:a16="http://schemas.microsoft.com/office/drawing/2014/main" id="{00000000-0008-0000-0300-000044000000}"/>
            </a:ext>
          </a:extLst>
        </xdr:cNvPr>
        <xdr:cNvCxnSpPr>
          <a:cxnSpLocks/>
          <a:stCxn id="106" idx="2"/>
          <a:endCxn id="85" idx="0"/>
        </xdr:cNvCxnSpPr>
      </xdr:nvCxnSpPr>
      <xdr:spPr>
        <a:xfrm>
          <a:off x="15325253" y="5216979"/>
          <a:ext cx="471" cy="8015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642274</xdr:colOff>
      <xdr:row>13</xdr:row>
      <xdr:rowOff>116847</xdr:rowOff>
    </xdr:from>
    <xdr:to>
      <xdr:col>27</xdr:col>
      <xdr:colOff>649497</xdr:colOff>
      <xdr:row>21</xdr:row>
      <xdr:rowOff>124767</xdr:rowOff>
    </xdr:to>
    <xdr:cxnSp macro="">
      <xdr:nvCxnSpPr>
        <xdr:cNvPr id="86" name="Straight Arrow Connector 85">
          <a:extLst>
            <a:ext uri="{FF2B5EF4-FFF2-40B4-BE49-F238E27FC236}">
              <a16:creationId xmlns:a16="http://schemas.microsoft.com/office/drawing/2014/main" id="{00000000-0008-0000-0300-000056000000}"/>
            </a:ext>
          </a:extLst>
        </xdr:cNvPr>
        <xdr:cNvCxnSpPr>
          <a:cxnSpLocks/>
          <a:stCxn id="100" idx="2"/>
          <a:endCxn id="28" idx="0"/>
        </xdr:cNvCxnSpPr>
      </xdr:nvCxnSpPr>
      <xdr:spPr>
        <a:xfrm>
          <a:off x="18215899" y="2450472"/>
          <a:ext cx="7223" cy="31511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542086</xdr:colOff>
      <xdr:row>9</xdr:row>
      <xdr:rowOff>68804</xdr:rowOff>
    </xdr:from>
    <xdr:to>
      <xdr:col>29</xdr:col>
      <xdr:colOff>95669</xdr:colOff>
      <xdr:row>13</xdr:row>
      <xdr:rowOff>116847</xdr:rowOff>
    </xdr:to>
    <xdr:sp macro="" textlink="">
      <xdr:nvSpPr>
        <xdr:cNvPr id="100" name="Flowchart: Alternate Process 99">
          <a:extLst>
            <a:ext uri="{FF2B5EF4-FFF2-40B4-BE49-F238E27FC236}">
              <a16:creationId xmlns:a16="http://schemas.microsoft.com/office/drawing/2014/main" id="{00000000-0008-0000-0300-000064000000}"/>
            </a:ext>
          </a:extLst>
        </xdr:cNvPr>
        <xdr:cNvSpPr/>
      </xdr:nvSpPr>
      <xdr:spPr>
        <a:xfrm>
          <a:off x="17464836" y="1703929"/>
          <a:ext cx="1506208" cy="746543"/>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Game</a:t>
          </a:r>
          <a:r>
            <a:rPr lang="en-GB" sz="1100" baseline="0"/>
            <a:t> Starts on Two 4x5 Grid Size. </a:t>
          </a:r>
        </a:p>
        <a:p>
          <a:pPr algn="l"/>
          <a:r>
            <a:rPr lang="en-GB" sz="1100" baseline="0"/>
            <a:t>counter = 3</a:t>
          </a:r>
        </a:p>
      </xdr:txBody>
    </xdr:sp>
    <xdr:clientData/>
  </xdr:twoCellAnchor>
  <xdr:twoCellAnchor>
    <xdr:from>
      <xdr:col>39</xdr:col>
      <xdr:colOff>313418</xdr:colOff>
      <xdr:row>42</xdr:row>
      <xdr:rowOff>141289</xdr:rowOff>
    </xdr:from>
    <xdr:to>
      <xdr:col>44</xdr:col>
      <xdr:colOff>141061</xdr:colOff>
      <xdr:row>51</xdr:row>
      <xdr:rowOff>144461</xdr:rowOff>
    </xdr:to>
    <xdr:cxnSp macro="">
      <xdr:nvCxnSpPr>
        <xdr:cNvPr id="102" name="Straight Arrow Connector 101">
          <a:extLst>
            <a:ext uri="{FF2B5EF4-FFF2-40B4-BE49-F238E27FC236}">
              <a16:creationId xmlns:a16="http://schemas.microsoft.com/office/drawing/2014/main" id="{00000000-0008-0000-0300-000066000000}"/>
            </a:ext>
          </a:extLst>
        </xdr:cNvPr>
        <xdr:cNvCxnSpPr>
          <a:cxnSpLocks/>
          <a:stCxn id="124" idx="3"/>
          <a:endCxn id="444" idx="1"/>
        </xdr:cNvCxnSpPr>
      </xdr:nvCxnSpPr>
      <xdr:spPr>
        <a:xfrm flipV="1">
          <a:off x="25697543" y="7539039"/>
          <a:ext cx="3732893" cy="15747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331770</xdr:colOff>
      <xdr:row>22</xdr:row>
      <xdr:rowOff>47346</xdr:rowOff>
    </xdr:from>
    <xdr:to>
      <xdr:col>16</xdr:col>
      <xdr:colOff>366485</xdr:colOff>
      <xdr:row>27</xdr:row>
      <xdr:rowOff>79375</xdr:rowOff>
    </xdr:to>
    <xdr:sp macro="" textlink="">
      <xdr:nvSpPr>
        <xdr:cNvPr id="69" name="Flowchart: Alternate Process 68">
          <a:extLst>
            <a:ext uri="{FF2B5EF4-FFF2-40B4-BE49-F238E27FC236}">
              <a16:creationId xmlns:a16="http://schemas.microsoft.com/office/drawing/2014/main" id="{00000000-0008-0000-0300-000045000000}"/>
            </a:ext>
          </a:extLst>
        </xdr:cNvPr>
        <xdr:cNvSpPr/>
      </xdr:nvSpPr>
      <xdr:spPr>
        <a:xfrm>
          <a:off x="8793145" y="3952596"/>
          <a:ext cx="1987340" cy="905154"/>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Each</a:t>
          </a:r>
          <a:r>
            <a:rPr lang="en-GB" sz="1100" baseline="0"/>
            <a:t> QH generate multiplier value independently and awarded to player x N no. of Collect</a:t>
          </a:r>
          <a:endParaRPr lang="en-GB" sz="1100"/>
        </a:p>
      </xdr:txBody>
    </xdr:sp>
    <xdr:clientData/>
  </xdr:twoCellAnchor>
  <xdr:twoCellAnchor>
    <xdr:from>
      <xdr:col>11</xdr:col>
      <xdr:colOff>161192</xdr:colOff>
      <xdr:row>8</xdr:row>
      <xdr:rowOff>0</xdr:rowOff>
    </xdr:from>
    <xdr:to>
      <xdr:col>13</xdr:col>
      <xdr:colOff>611555</xdr:colOff>
      <xdr:row>10</xdr:row>
      <xdr:rowOff>85724</xdr:rowOff>
    </xdr:to>
    <xdr:sp macro="" textlink="">
      <xdr:nvSpPr>
        <xdr:cNvPr id="74" name="Flowchart: Terminator 73">
          <a:extLst>
            <a:ext uri="{FF2B5EF4-FFF2-40B4-BE49-F238E27FC236}">
              <a16:creationId xmlns:a16="http://schemas.microsoft.com/office/drawing/2014/main" id="{00000000-0008-0000-0300-00004A000000}"/>
            </a:ext>
          </a:extLst>
        </xdr:cNvPr>
        <xdr:cNvSpPr/>
      </xdr:nvSpPr>
      <xdr:spPr>
        <a:xfrm>
          <a:off x="6931269" y="1567962"/>
          <a:ext cx="1681286" cy="466724"/>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BaseC</a:t>
          </a:r>
        </a:p>
      </xdr:txBody>
    </xdr:sp>
    <xdr:clientData/>
  </xdr:twoCellAnchor>
  <xdr:twoCellAnchor>
    <xdr:from>
      <xdr:col>10</xdr:col>
      <xdr:colOff>501528</xdr:colOff>
      <xdr:row>10</xdr:row>
      <xdr:rowOff>85724</xdr:rowOff>
    </xdr:from>
    <xdr:to>
      <xdr:col>12</xdr:col>
      <xdr:colOff>386374</xdr:colOff>
      <xdr:row>14</xdr:row>
      <xdr:rowOff>114299</xdr:rowOff>
    </xdr:to>
    <xdr:cxnSp macro="">
      <xdr:nvCxnSpPr>
        <xdr:cNvPr id="75" name="Straight Arrow Connector 74">
          <a:extLst>
            <a:ext uri="{FF2B5EF4-FFF2-40B4-BE49-F238E27FC236}">
              <a16:creationId xmlns:a16="http://schemas.microsoft.com/office/drawing/2014/main" id="{00000000-0008-0000-0300-00004B000000}"/>
            </a:ext>
          </a:extLst>
        </xdr:cNvPr>
        <xdr:cNvCxnSpPr>
          <a:cxnSpLocks/>
          <a:stCxn id="74" idx="2"/>
          <a:endCxn id="47" idx="0"/>
        </xdr:cNvCxnSpPr>
      </xdr:nvCxnSpPr>
      <xdr:spPr>
        <a:xfrm flipH="1">
          <a:off x="6656143" y="2034686"/>
          <a:ext cx="1115769" cy="790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94519</xdr:colOff>
      <xdr:row>5</xdr:row>
      <xdr:rowOff>66678</xdr:rowOff>
    </xdr:from>
    <xdr:to>
      <xdr:col>12</xdr:col>
      <xdr:colOff>386374</xdr:colOff>
      <xdr:row>8</xdr:row>
      <xdr:rowOff>0</xdr:rowOff>
    </xdr:to>
    <xdr:cxnSp macro="">
      <xdr:nvCxnSpPr>
        <xdr:cNvPr id="104" name="Straight Arrow Connector 103">
          <a:extLst>
            <a:ext uri="{FF2B5EF4-FFF2-40B4-BE49-F238E27FC236}">
              <a16:creationId xmlns:a16="http://schemas.microsoft.com/office/drawing/2014/main" id="{00000000-0008-0000-0300-000068000000}"/>
            </a:ext>
          </a:extLst>
        </xdr:cNvPr>
        <xdr:cNvCxnSpPr>
          <a:cxnSpLocks/>
          <a:stCxn id="2" idx="2"/>
          <a:endCxn id="74" idx="0"/>
        </xdr:cNvCxnSpPr>
      </xdr:nvCxnSpPr>
      <xdr:spPr>
        <a:xfrm>
          <a:off x="5633673" y="1063140"/>
          <a:ext cx="2138239" cy="5048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244929</xdr:colOff>
      <xdr:row>34</xdr:row>
      <xdr:rowOff>163285</xdr:rowOff>
    </xdr:from>
    <xdr:to>
      <xdr:col>12</xdr:col>
      <xdr:colOff>109199</xdr:colOff>
      <xdr:row>39</xdr:row>
      <xdr:rowOff>81642</xdr:rowOff>
    </xdr:to>
    <xdr:sp macro="" textlink="">
      <xdr:nvSpPr>
        <xdr:cNvPr id="76" name="Flowchart: Preparation 75">
          <a:extLst>
            <a:ext uri="{FF2B5EF4-FFF2-40B4-BE49-F238E27FC236}">
              <a16:creationId xmlns:a16="http://schemas.microsoft.com/office/drawing/2014/main" id="{00000000-0008-0000-0300-00004C000000}"/>
            </a:ext>
          </a:extLst>
        </xdr:cNvPr>
        <xdr:cNvSpPr/>
      </xdr:nvSpPr>
      <xdr:spPr>
        <a:xfrm>
          <a:off x="5755822" y="5932714"/>
          <a:ext cx="1701234" cy="870857"/>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"QH" symbol on the reel?</a:t>
          </a:r>
          <a:endParaRPr lang="en-GB" sz="1100"/>
        </a:p>
      </xdr:txBody>
    </xdr:sp>
    <xdr:clientData/>
  </xdr:twoCellAnchor>
  <xdr:twoCellAnchor>
    <xdr:from>
      <xdr:col>10</xdr:col>
      <xdr:colOff>469331</xdr:colOff>
      <xdr:row>39</xdr:row>
      <xdr:rowOff>81642</xdr:rowOff>
    </xdr:from>
    <xdr:to>
      <xdr:col>10</xdr:col>
      <xdr:colOff>483225</xdr:colOff>
      <xdr:row>46</xdr:row>
      <xdr:rowOff>34123</xdr:rowOff>
    </xdr:to>
    <xdr:cxnSp macro="">
      <xdr:nvCxnSpPr>
        <xdr:cNvPr id="77" name="Straight Arrow Connector 76">
          <a:extLst>
            <a:ext uri="{FF2B5EF4-FFF2-40B4-BE49-F238E27FC236}">
              <a16:creationId xmlns:a16="http://schemas.microsoft.com/office/drawing/2014/main" id="{00000000-0008-0000-0300-00004D000000}"/>
            </a:ext>
          </a:extLst>
        </xdr:cNvPr>
        <xdr:cNvCxnSpPr>
          <a:cxnSpLocks/>
          <a:stCxn id="76" idx="2"/>
          <a:endCxn id="54" idx="0"/>
        </xdr:cNvCxnSpPr>
      </xdr:nvCxnSpPr>
      <xdr:spPr>
        <a:xfrm flipH="1">
          <a:off x="6592545" y="6803571"/>
          <a:ext cx="13894" cy="12859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108857</xdr:colOff>
      <xdr:row>35</xdr:row>
      <xdr:rowOff>68036</xdr:rowOff>
    </xdr:from>
    <xdr:to>
      <xdr:col>15</xdr:col>
      <xdr:colOff>4083</xdr:colOff>
      <xdr:row>38</xdr:row>
      <xdr:rowOff>182337</xdr:rowOff>
    </xdr:to>
    <xdr:sp macro="" textlink="">
      <xdr:nvSpPr>
        <xdr:cNvPr id="81" name="Flowchart: Alternate Process 80">
          <a:extLst>
            <a:ext uri="{FF2B5EF4-FFF2-40B4-BE49-F238E27FC236}">
              <a16:creationId xmlns:a16="http://schemas.microsoft.com/office/drawing/2014/main" id="{00000000-0008-0000-0300-000051000000}"/>
            </a:ext>
          </a:extLst>
        </xdr:cNvPr>
        <xdr:cNvSpPr/>
      </xdr:nvSpPr>
      <xdr:spPr>
        <a:xfrm>
          <a:off x="8069036" y="6027965"/>
          <a:ext cx="1119868" cy="68580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Coin</a:t>
          </a:r>
          <a:r>
            <a:rPr lang="en-GB" sz="1100" baseline="0"/>
            <a:t> goes into the cup</a:t>
          </a:r>
          <a:endParaRPr lang="en-GB" sz="1100"/>
        </a:p>
      </xdr:txBody>
    </xdr:sp>
    <xdr:clientData/>
  </xdr:twoCellAnchor>
  <xdr:twoCellAnchor>
    <xdr:from>
      <xdr:col>15</xdr:col>
      <xdr:colOff>555626</xdr:colOff>
      <xdr:row>34</xdr:row>
      <xdr:rowOff>162379</xdr:rowOff>
    </xdr:from>
    <xdr:to>
      <xdr:col>18</xdr:col>
      <xdr:colOff>422616</xdr:colOff>
      <xdr:row>39</xdr:row>
      <xdr:rowOff>76654</xdr:rowOff>
    </xdr:to>
    <xdr:sp macro="" textlink="">
      <xdr:nvSpPr>
        <xdr:cNvPr id="83" name="Flowchart: Preparation 82">
          <a:extLst>
            <a:ext uri="{FF2B5EF4-FFF2-40B4-BE49-F238E27FC236}">
              <a16:creationId xmlns:a16="http://schemas.microsoft.com/office/drawing/2014/main" id="{00000000-0008-0000-0300-000053000000}"/>
            </a:ext>
          </a:extLst>
        </xdr:cNvPr>
        <xdr:cNvSpPr/>
      </xdr:nvSpPr>
      <xdr:spPr>
        <a:xfrm>
          <a:off x="10318751" y="6163129"/>
          <a:ext cx="1819615" cy="787400"/>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Cup filled?</a:t>
          </a:r>
          <a:endParaRPr lang="en-GB" sz="1100"/>
        </a:p>
      </xdr:txBody>
    </xdr:sp>
    <xdr:clientData/>
  </xdr:twoCellAnchor>
  <xdr:twoCellAnchor>
    <xdr:from>
      <xdr:col>19</xdr:col>
      <xdr:colOff>517979</xdr:colOff>
      <xdr:row>35</xdr:row>
      <xdr:rowOff>69850</xdr:rowOff>
    </xdr:from>
    <xdr:to>
      <xdr:col>21</xdr:col>
      <xdr:colOff>368300</xdr:colOff>
      <xdr:row>38</xdr:row>
      <xdr:rowOff>167141</xdr:rowOff>
    </xdr:to>
    <xdr:sp macro="" textlink="">
      <xdr:nvSpPr>
        <xdr:cNvPr id="84" name="Flowchart: Terminator 83">
          <a:extLst>
            <a:ext uri="{FF2B5EF4-FFF2-40B4-BE49-F238E27FC236}">
              <a16:creationId xmlns:a16="http://schemas.microsoft.com/office/drawing/2014/main" id="{00000000-0008-0000-0300-000054000000}"/>
            </a:ext>
          </a:extLst>
        </xdr:cNvPr>
        <xdr:cNvSpPr/>
      </xdr:nvSpPr>
      <xdr:spPr>
        <a:xfrm>
          <a:off x="12884604" y="6245225"/>
          <a:ext cx="1152071" cy="621166"/>
        </a:xfrm>
        <a:prstGeom prst="flowChartTerminator">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chemeClr val="lt1"/>
              </a:solidFill>
            </a:rPr>
            <a:t>Bonus game</a:t>
          </a:r>
          <a:endParaRPr lang="en-GB" sz="1100" baseline="0">
            <a:solidFill>
              <a:srgbClr val="FF0000"/>
            </a:solidFill>
          </a:endParaRPr>
        </a:p>
        <a:p>
          <a:pPr algn="l"/>
          <a:endParaRPr lang="en-GB" sz="1100"/>
        </a:p>
      </xdr:txBody>
    </xdr:sp>
    <xdr:clientData/>
  </xdr:twoCellAnchor>
  <xdr:twoCellAnchor>
    <xdr:from>
      <xdr:col>15</xdr:col>
      <xdr:colOff>8165</xdr:colOff>
      <xdr:row>37</xdr:row>
      <xdr:rowOff>31524</xdr:rowOff>
    </xdr:from>
    <xdr:to>
      <xdr:col>15</xdr:col>
      <xdr:colOff>552905</xdr:colOff>
      <xdr:row>37</xdr:row>
      <xdr:rowOff>33792</xdr:rowOff>
    </xdr:to>
    <xdr:cxnSp macro="">
      <xdr:nvCxnSpPr>
        <xdr:cNvPr id="87" name="Straight Arrow Connector 86">
          <a:extLst>
            <a:ext uri="{FF2B5EF4-FFF2-40B4-BE49-F238E27FC236}">
              <a16:creationId xmlns:a16="http://schemas.microsoft.com/office/drawing/2014/main" id="{00000000-0008-0000-0300-000057000000}"/>
            </a:ext>
          </a:extLst>
        </xdr:cNvPr>
        <xdr:cNvCxnSpPr>
          <a:cxnSpLocks/>
          <a:stCxn id="81" idx="3"/>
          <a:endCxn id="83" idx="1"/>
        </xdr:cNvCxnSpPr>
      </xdr:nvCxnSpPr>
      <xdr:spPr>
        <a:xfrm flipV="1">
          <a:off x="9771290" y="6556149"/>
          <a:ext cx="544740" cy="22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109199</xdr:colOff>
      <xdr:row>37</xdr:row>
      <xdr:rowOff>27214</xdr:rowOff>
    </xdr:from>
    <xdr:to>
      <xdr:col>13</xdr:col>
      <xdr:colOff>108857</xdr:colOff>
      <xdr:row>37</xdr:row>
      <xdr:rowOff>29937</xdr:rowOff>
    </xdr:to>
    <xdr:cxnSp macro="">
      <xdr:nvCxnSpPr>
        <xdr:cNvPr id="88" name="Straight Arrow Connector 87">
          <a:extLst>
            <a:ext uri="{FF2B5EF4-FFF2-40B4-BE49-F238E27FC236}">
              <a16:creationId xmlns:a16="http://schemas.microsoft.com/office/drawing/2014/main" id="{00000000-0008-0000-0300-000058000000}"/>
            </a:ext>
          </a:extLst>
        </xdr:cNvPr>
        <xdr:cNvCxnSpPr>
          <a:cxnSpLocks/>
          <a:stCxn id="76" idx="3"/>
          <a:endCxn id="81" idx="1"/>
        </xdr:cNvCxnSpPr>
      </xdr:nvCxnSpPr>
      <xdr:spPr>
        <a:xfrm>
          <a:off x="7457056" y="6368143"/>
          <a:ext cx="611980" cy="27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426698</xdr:colOff>
      <xdr:row>37</xdr:row>
      <xdr:rowOff>30503</xdr:rowOff>
    </xdr:from>
    <xdr:to>
      <xdr:col>19</xdr:col>
      <xdr:colOff>515258</xdr:colOff>
      <xdr:row>37</xdr:row>
      <xdr:rowOff>31524</xdr:rowOff>
    </xdr:to>
    <xdr:cxnSp macro="">
      <xdr:nvCxnSpPr>
        <xdr:cNvPr id="90" name="Straight Arrow Connector 89">
          <a:extLst>
            <a:ext uri="{FF2B5EF4-FFF2-40B4-BE49-F238E27FC236}">
              <a16:creationId xmlns:a16="http://schemas.microsoft.com/office/drawing/2014/main" id="{00000000-0008-0000-0300-00005A000000}"/>
            </a:ext>
          </a:extLst>
        </xdr:cNvPr>
        <xdr:cNvCxnSpPr>
          <a:cxnSpLocks/>
          <a:stCxn id="83" idx="3"/>
          <a:endCxn id="84" idx="1"/>
        </xdr:cNvCxnSpPr>
      </xdr:nvCxnSpPr>
      <xdr:spPr>
        <a:xfrm flipV="1">
          <a:off x="12142448" y="6555128"/>
          <a:ext cx="739435" cy="10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467970</xdr:colOff>
      <xdr:row>39</xdr:row>
      <xdr:rowOff>76654</xdr:rowOff>
    </xdr:from>
    <xdr:to>
      <xdr:col>17</xdr:col>
      <xdr:colOff>164364</xdr:colOff>
      <xdr:row>46</xdr:row>
      <xdr:rowOff>30041</xdr:rowOff>
    </xdr:to>
    <xdr:cxnSp macro="">
      <xdr:nvCxnSpPr>
        <xdr:cNvPr id="93" name="Straight Arrow Connector 92">
          <a:extLst>
            <a:ext uri="{FF2B5EF4-FFF2-40B4-BE49-F238E27FC236}">
              <a16:creationId xmlns:a16="http://schemas.microsoft.com/office/drawing/2014/main" id="{00000000-0008-0000-0300-00005D000000}"/>
            </a:ext>
          </a:extLst>
        </xdr:cNvPr>
        <xdr:cNvCxnSpPr>
          <a:cxnSpLocks/>
          <a:stCxn id="83" idx="2"/>
          <a:endCxn id="54" idx="0"/>
        </xdr:cNvCxnSpPr>
      </xdr:nvCxnSpPr>
      <xdr:spPr>
        <a:xfrm flipH="1">
          <a:off x="6976720" y="6950529"/>
          <a:ext cx="4252519" cy="11757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344262</xdr:colOff>
      <xdr:row>41</xdr:row>
      <xdr:rowOff>20861</xdr:rowOff>
    </xdr:from>
    <xdr:to>
      <xdr:col>39</xdr:col>
      <xdr:colOff>334736</xdr:colOff>
      <xdr:row>44</xdr:row>
      <xdr:rowOff>126999</xdr:rowOff>
    </xdr:to>
    <xdr:sp macro="" textlink="">
      <xdr:nvSpPr>
        <xdr:cNvPr id="92" name="Flowchart: Alternate Process 91">
          <a:extLst>
            <a:ext uri="{FF2B5EF4-FFF2-40B4-BE49-F238E27FC236}">
              <a16:creationId xmlns:a16="http://schemas.microsoft.com/office/drawing/2014/main" id="{00000000-0008-0000-0300-00005C000000}"/>
            </a:ext>
          </a:extLst>
        </xdr:cNvPr>
        <xdr:cNvSpPr/>
      </xdr:nvSpPr>
      <xdr:spPr>
        <a:xfrm>
          <a:off x="26379262" y="8117111"/>
          <a:ext cx="1292224" cy="630013"/>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QH Symbol?</a:t>
          </a:r>
          <a:endParaRPr lang="en-GB" sz="1100"/>
        </a:p>
      </xdr:txBody>
    </xdr:sp>
    <xdr:clientData/>
  </xdr:twoCellAnchor>
  <xdr:twoCellAnchor>
    <xdr:from>
      <xdr:col>39</xdr:col>
      <xdr:colOff>638630</xdr:colOff>
      <xdr:row>59</xdr:row>
      <xdr:rowOff>64179</xdr:rowOff>
    </xdr:from>
    <xdr:to>
      <xdr:col>42</xdr:col>
      <xdr:colOff>27669</xdr:colOff>
      <xdr:row>59</xdr:row>
      <xdr:rowOff>64862</xdr:rowOff>
    </xdr:to>
    <xdr:cxnSp macro="">
      <xdr:nvCxnSpPr>
        <xdr:cNvPr id="107" name="Straight Arrow Connector 106">
          <a:extLst>
            <a:ext uri="{FF2B5EF4-FFF2-40B4-BE49-F238E27FC236}">
              <a16:creationId xmlns:a16="http://schemas.microsoft.com/office/drawing/2014/main" id="{00000000-0008-0000-0300-00006B000000}"/>
            </a:ext>
          </a:extLst>
        </xdr:cNvPr>
        <xdr:cNvCxnSpPr>
          <a:cxnSpLocks/>
          <a:stCxn id="125" idx="3"/>
          <a:endCxn id="129" idx="1"/>
        </xdr:cNvCxnSpPr>
      </xdr:nvCxnSpPr>
      <xdr:spPr>
        <a:xfrm>
          <a:off x="26022755" y="10430554"/>
          <a:ext cx="1992539" cy="6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68036</xdr:colOff>
      <xdr:row>59</xdr:row>
      <xdr:rowOff>95249</xdr:rowOff>
    </xdr:from>
    <xdr:to>
      <xdr:col>28</xdr:col>
      <xdr:colOff>575581</xdr:colOff>
      <xdr:row>63</xdr:row>
      <xdr:rowOff>19049</xdr:rowOff>
    </xdr:to>
    <xdr:sp macro="" textlink="">
      <xdr:nvSpPr>
        <xdr:cNvPr id="110" name="Flowchart: Alternate Process 109">
          <a:extLst>
            <a:ext uri="{FF2B5EF4-FFF2-40B4-BE49-F238E27FC236}">
              <a16:creationId xmlns:a16="http://schemas.microsoft.com/office/drawing/2014/main" id="{00000000-0008-0000-0300-00006E000000}"/>
            </a:ext>
          </a:extLst>
        </xdr:cNvPr>
        <xdr:cNvSpPr/>
      </xdr:nvSpPr>
      <xdr:spPr>
        <a:xfrm>
          <a:off x="14763750" y="8722178"/>
          <a:ext cx="1119867" cy="6858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Game</a:t>
          </a:r>
          <a:r>
            <a:rPr lang="en-GB" sz="1100" baseline="0"/>
            <a:t> Ends and Awards QH win</a:t>
          </a:r>
          <a:endParaRPr lang="en-GB" sz="1100"/>
        </a:p>
      </xdr:txBody>
    </xdr:sp>
    <xdr:clientData/>
  </xdr:twoCellAnchor>
  <xdr:twoCellAnchor>
    <xdr:from>
      <xdr:col>28</xdr:col>
      <xdr:colOff>15648</xdr:colOff>
      <xdr:row>56</xdr:row>
      <xdr:rowOff>78921</xdr:rowOff>
    </xdr:from>
    <xdr:to>
      <xdr:col>28</xdr:col>
      <xdr:colOff>17689</xdr:colOff>
      <xdr:row>59</xdr:row>
      <xdr:rowOff>95249</xdr:rowOff>
    </xdr:to>
    <xdr:cxnSp macro="">
      <xdr:nvCxnSpPr>
        <xdr:cNvPr id="113" name="Straight Arrow Connector 112">
          <a:extLst>
            <a:ext uri="{FF2B5EF4-FFF2-40B4-BE49-F238E27FC236}">
              <a16:creationId xmlns:a16="http://schemas.microsoft.com/office/drawing/2014/main" id="{00000000-0008-0000-0300-000071000000}"/>
            </a:ext>
          </a:extLst>
        </xdr:cNvPr>
        <xdr:cNvCxnSpPr>
          <a:cxnSpLocks/>
          <a:stCxn id="114" idx="2"/>
          <a:endCxn id="110" idx="0"/>
        </xdr:cNvCxnSpPr>
      </xdr:nvCxnSpPr>
      <xdr:spPr>
        <a:xfrm flipH="1">
          <a:off x="15323684" y="8134350"/>
          <a:ext cx="2041" cy="5878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68035</xdr:colOff>
      <xdr:row>33</xdr:row>
      <xdr:rowOff>95250</xdr:rowOff>
    </xdr:from>
    <xdr:to>
      <xdr:col>28</xdr:col>
      <xdr:colOff>578721</xdr:colOff>
      <xdr:row>37</xdr:row>
      <xdr:rowOff>19050</xdr:rowOff>
    </xdr:to>
    <xdr:sp macro="" textlink="">
      <xdr:nvSpPr>
        <xdr:cNvPr id="106" name="Flowchart: Alternate Process 105">
          <a:extLst>
            <a:ext uri="{FF2B5EF4-FFF2-40B4-BE49-F238E27FC236}">
              <a16:creationId xmlns:a16="http://schemas.microsoft.com/office/drawing/2014/main" id="{00000000-0008-0000-0300-00006A000000}"/>
            </a:ext>
          </a:extLst>
        </xdr:cNvPr>
        <xdr:cNvSpPr/>
      </xdr:nvSpPr>
      <xdr:spPr>
        <a:xfrm>
          <a:off x="14763749" y="4531179"/>
          <a:ext cx="1123008" cy="68580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Reel</a:t>
          </a:r>
          <a:r>
            <a:rPr lang="en-GB" sz="1100" baseline="0"/>
            <a:t> spins</a:t>
          </a:r>
          <a:endParaRPr lang="en-GB" sz="1100"/>
        </a:p>
      </xdr:txBody>
    </xdr:sp>
    <xdr:clientData/>
  </xdr:twoCellAnchor>
  <xdr:twoCellAnchor>
    <xdr:from>
      <xdr:col>26</xdr:col>
      <xdr:colOff>190500</xdr:colOff>
      <xdr:row>53</xdr:row>
      <xdr:rowOff>40822</xdr:rowOff>
    </xdr:from>
    <xdr:to>
      <xdr:col>29</xdr:col>
      <xdr:colOff>457200</xdr:colOff>
      <xdr:row>56</xdr:row>
      <xdr:rowOff>78921</xdr:rowOff>
    </xdr:to>
    <xdr:sp macro="" textlink="">
      <xdr:nvSpPr>
        <xdr:cNvPr id="114" name="Flowchart: Preparation 113">
          <a:extLst>
            <a:ext uri="{FF2B5EF4-FFF2-40B4-BE49-F238E27FC236}">
              <a16:creationId xmlns:a16="http://schemas.microsoft.com/office/drawing/2014/main" id="{00000000-0008-0000-0300-000072000000}"/>
            </a:ext>
          </a:extLst>
        </xdr:cNvPr>
        <xdr:cNvSpPr/>
      </xdr:nvSpPr>
      <xdr:spPr>
        <a:xfrm>
          <a:off x="14273893" y="7524751"/>
          <a:ext cx="2103664" cy="609599"/>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Are there Spins Left?</a:t>
          </a:r>
        </a:p>
        <a:p>
          <a:pPr algn="l"/>
          <a:endParaRPr lang="en-GB" sz="1100"/>
        </a:p>
      </xdr:txBody>
    </xdr:sp>
    <xdr:clientData/>
  </xdr:twoCellAnchor>
  <xdr:twoCellAnchor>
    <xdr:from>
      <xdr:col>37</xdr:col>
      <xdr:colOff>363765</xdr:colOff>
      <xdr:row>50</xdr:row>
      <xdr:rowOff>27212</xdr:rowOff>
    </xdr:from>
    <xdr:to>
      <xdr:col>39</xdr:col>
      <xdr:colOff>314779</xdr:colOff>
      <xdr:row>53</xdr:row>
      <xdr:rowOff>87084</xdr:rowOff>
    </xdr:to>
    <xdr:sp macro="" textlink="">
      <xdr:nvSpPr>
        <xdr:cNvPr id="124" name="Flowchart: Alternate Process 123">
          <a:extLst>
            <a:ext uri="{FF2B5EF4-FFF2-40B4-BE49-F238E27FC236}">
              <a16:creationId xmlns:a16="http://schemas.microsoft.com/office/drawing/2014/main" id="{00000000-0008-0000-0300-00007C000000}"/>
            </a:ext>
          </a:extLst>
        </xdr:cNvPr>
        <xdr:cNvSpPr/>
      </xdr:nvSpPr>
      <xdr:spPr>
        <a:xfrm>
          <a:off x="21842640" y="8821962"/>
          <a:ext cx="1252764" cy="583747"/>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Jackpot token on New QH Symbol?</a:t>
          </a:r>
          <a:endParaRPr lang="en-GB" sz="1100"/>
        </a:p>
      </xdr:txBody>
    </xdr:sp>
    <xdr:clientData/>
  </xdr:twoCellAnchor>
  <xdr:twoCellAnchor>
    <xdr:from>
      <xdr:col>37</xdr:col>
      <xdr:colOff>24495</xdr:colOff>
      <xdr:row>57</xdr:row>
      <xdr:rowOff>131081</xdr:rowOff>
    </xdr:from>
    <xdr:to>
      <xdr:col>39</xdr:col>
      <xdr:colOff>637269</xdr:colOff>
      <xdr:row>60</xdr:row>
      <xdr:rowOff>171902</xdr:rowOff>
    </xdr:to>
    <xdr:sp macro="" textlink="">
      <xdr:nvSpPr>
        <xdr:cNvPr id="125" name="Flowchart: Preparation 124">
          <a:extLst>
            <a:ext uri="{FF2B5EF4-FFF2-40B4-BE49-F238E27FC236}">
              <a16:creationId xmlns:a16="http://schemas.microsoft.com/office/drawing/2014/main" id="{00000000-0008-0000-0300-00007D000000}"/>
            </a:ext>
          </a:extLst>
        </xdr:cNvPr>
        <xdr:cNvSpPr/>
      </xdr:nvSpPr>
      <xdr:spPr>
        <a:xfrm>
          <a:off x="21503370" y="10148206"/>
          <a:ext cx="1914524" cy="564696"/>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Jackpot Meter filled?</a:t>
          </a:r>
        </a:p>
        <a:p>
          <a:pPr algn="l"/>
          <a:endParaRPr lang="en-GB" sz="1100"/>
        </a:p>
      </xdr:txBody>
    </xdr:sp>
    <xdr:clientData/>
  </xdr:twoCellAnchor>
  <xdr:twoCellAnchor>
    <xdr:from>
      <xdr:col>42</xdr:col>
      <xdr:colOff>26308</xdr:colOff>
      <xdr:row>57</xdr:row>
      <xdr:rowOff>159658</xdr:rowOff>
    </xdr:from>
    <xdr:to>
      <xdr:col>44</xdr:col>
      <xdr:colOff>125640</xdr:colOff>
      <xdr:row>60</xdr:row>
      <xdr:rowOff>144690</xdr:rowOff>
    </xdr:to>
    <xdr:sp macro="" textlink="">
      <xdr:nvSpPr>
        <xdr:cNvPr id="129" name="Flowchart: Alternate Process 128">
          <a:extLst>
            <a:ext uri="{FF2B5EF4-FFF2-40B4-BE49-F238E27FC236}">
              <a16:creationId xmlns:a16="http://schemas.microsoft.com/office/drawing/2014/main" id="{00000000-0008-0000-0300-000081000000}"/>
            </a:ext>
          </a:extLst>
        </xdr:cNvPr>
        <xdr:cNvSpPr/>
      </xdr:nvSpPr>
      <xdr:spPr>
        <a:xfrm>
          <a:off x="28013933" y="10176783"/>
          <a:ext cx="1401082" cy="508907"/>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Awards</a:t>
          </a:r>
          <a:r>
            <a:rPr lang="en-GB" sz="1100" baseline="0"/>
            <a:t> Jackpot Win</a:t>
          </a:r>
          <a:endParaRPr lang="en-GB" sz="1100"/>
        </a:p>
      </xdr:txBody>
    </xdr:sp>
    <xdr:clientData/>
  </xdr:twoCellAnchor>
  <xdr:twoCellAnchor>
    <xdr:from>
      <xdr:col>38</xdr:col>
      <xdr:colOff>332243</xdr:colOff>
      <xdr:row>53</xdr:row>
      <xdr:rowOff>85723</xdr:rowOff>
    </xdr:from>
    <xdr:to>
      <xdr:col>38</xdr:col>
      <xdr:colOff>337231</xdr:colOff>
      <xdr:row>57</xdr:row>
      <xdr:rowOff>133802</xdr:rowOff>
    </xdr:to>
    <xdr:cxnSp macro="">
      <xdr:nvCxnSpPr>
        <xdr:cNvPr id="145" name="Straight Arrow Connector 144">
          <a:extLst>
            <a:ext uri="{FF2B5EF4-FFF2-40B4-BE49-F238E27FC236}">
              <a16:creationId xmlns:a16="http://schemas.microsoft.com/office/drawing/2014/main" id="{00000000-0008-0000-0300-000091000000}"/>
            </a:ext>
          </a:extLst>
        </xdr:cNvPr>
        <xdr:cNvCxnSpPr>
          <a:stCxn id="124" idx="2"/>
          <a:endCxn id="125" idx="0"/>
        </xdr:cNvCxnSpPr>
      </xdr:nvCxnSpPr>
      <xdr:spPr>
        <a:xfrm flipH="1">
          <a:off x="22461993" y="9404348"/>
          <a:ext cx="4988" cy="7465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337231</xdr:colOff>
      <xdr:row>44</xdr:row>
      <xdr:rowOff>125638</xdr:rowOff>
    </xdr:from>
    <xdr:to>
      <xdr:col>38</xdr:col>
      <xdr:colOff>337458</xdr:colOff>
      <xdr:row>50</xdr:row>
      <xdr:rowOff>28573</xdr:rowOff>
    </xdr:to>
    <xdr:cxnSp macro="">
      <xdr:nvCxnSpPr>
        <xdr:cNvPr id="150" name="Straight Arrow Connector 149">
          <a:extLst>
            <a:ext uri="{FF2B5EF4-FFF2-40B4-BE49-F238E27FC236}">
              <a16:creationId xmlns:a16="http://schemas.microsoft.com/office/drawing/2014/main" id="{00000000-0008-0000-0300-000096000000}"/>
            </a:ext>
          </a:extLst>
        </xdr:cNvPr>
        <xdr:cNvCxnSpPr>
          <a:stCxn id="92" idx="2"/>
          <a:endCxn id="124" idx="0"/>
        </xdr:cNvCxnSpPr>
      </xdr:nvCxnSpPr>
      <xdr:spPr>
        <a:xfrm flipH="1">
          <a:off x="22466981" y="7872638"/>
          <a:ext cx="227" cy="9506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571500</xdr:colOff>
      <xdr:row>23</xdr:row>
      <xdr:rowOff>95250</xdr:rowOff>
    </xdr:from>
    <xdr:to>
      <xdr:col>23</xdr:col>
      <xdr:colOff>571500</xdr:colOff>
      <xdr:row>55</xdr:row>
      <xdr:rowOff>18596</xdr:rowOff>
    </xdr:to>
    <xdr:cxnSp macro="">
      <xdr:nvCxnSpPr>
        <xdr:cNvPr id="158" name="Straight Arrow Connector 157">
          <a:extLst>
            <a:ext uri="{FF2B5EF4-FFF2-40B4-BE49-F238E27FC236}">
              <a16:creationId xmlns:a16="http://schemas.microsoft.com/office/drawing/2014/main" id="{00000000-0008-0000-0300-00009E000000}"/>
            </a:ext>
          </a:extLst>
        </xdr:cNvPr>
        <xdr:cNvCxnSpPr>
          <a:cxnSpLocks/>
        </xdr:cNvCxnSpPr>
      </xdr:nvCxnSpPr>
      <xdr:spPr>
        <a:xfrm flipV="1">
          <a:off x="20097750" y="5222875"/>
          <a:ext cx="0" cy="46382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555625</xdr:colOff>
      <xdr:row>54</xdr:row>
      <xdr:rowOff>142875</xdr:rowOff>
    </xdr:from>
    <xdr:to>
      <xdr:col>26</xdr:col>
      <xdr:colOff>190500</xdr:colOff>
      <xdr:row>54</xdr:row>
      <xdr:rowOff>149225</xdr:rowOff>
    </xdr:to>
    <xdr:cxnSp macro="">
      <xdr:nvCxnSpPr>
        <xdr:cNvPr id="159" name="Straight Arrow Connector 158">
          <a:extLst>
            <a:ext uri="{FF2B5EF4-FFF2-40B4-BE49-F238E27FC236}">
              <a16:creationId xmlns:a16="http://schemas.microsoft.com/office/drawing/2014/main" id="{00000000-0008-0000-0300-00009F000000}"/>
            </a:ext>
          </a:extLst>
        </xdr:cNvPr>
        <xdr:cNvCxnSpPr>
          <a:cxnSpLocks/>
          <a:stCxn id="114" idx="1"/>
        </xdr:cNvCxnSpPr>
      </xdr:nvCxnSpPr>
      <xdr:spPr>
        <a:xfrm flipH="1" flipV="1">
          <a:off x="20081875" y="9810750"/>
          <a:ext cx="1587500"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587375</xdr:colOff>
      <xdr:row>23</xdr:row>
      <xdr:rowOff>67617</xdr:rowOff>
    </xdr:from>
    <xdr:to>
      <xdr:col>26</xdr:col>
      <xdr:colOff>354727</xdr:colOff>
      <xdr:row>23</xdr:row>
      <xdr:rowOff>79375</xdr:rowOff>
    </xdr:to>
    <xdr:cxnSp macro="">
      <xdr:nvCxnSpPr>
        <xdr:cNvPr id="163" name="Straight Arrow Connector 162">
          <a:extLst>
            <a:ext uri="{FF2B5EF4-FFF2-40B4-BE49-F238E27FC236}">
              <a16:creationId xmlns:a16="http://schemas.microsoft.com/office/drawing/2014/main" id="{00000000-0008-0000-0300-0000A3000000}"/>
            </a:ext>
          </a:extLst>
        </xdr:cNvPr>
        <xdr:cNvCxnSpPr>
          <a:cxnSpLocks/>
          <a:endCxn id="28" idx="1"/>
        </xdr:cNvCxnSpPr>
      </xdr:nvCxnSpPr>
      <xdr:spPr>
        <a:xfrm flipV="1">
          <a:off x="20113625" y="5195242"/>
          <a:ext cx="1719977" cy="117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218013</xdr:colOff>
      <xdr:row>38</xdr:row>
      <xdr:rowOff>21317</xdr:rowOff>
    </xdr:from>
    <xdr:to>
      <xdr:col>5</xdr:col>
      <xdr:colOff>222023</xdr:colOff>
      <xdr:row>42</xdr:row>
      <xdr:rowOff>142072</xdr:rowOff>
    </xdr:to>
    <xdr:cxnSp macro="">
      <xdr:nvCxnSpPr>
        <xdr:cNvPr id="149" name="Straight Arrow Connector 148">
          <a:extLst>
            <a:ext uri="{FF2B5EF4-FFF2-40B4-BE49-F238E27FC236}">
              <a16:creationId xmlns:a16="http://schemas.microsoft.com/office/drawing/2014/main" id="{00000000-0008-0000-0300-000095000000}"/>
            </a:ext>
          </a:extLst>
        </xdr:cNvPr>
        <xdr:cNvCxnSpPr>
          <a:cxnSpLocks/>
          <a:stCxn id="27" idx="2"/>
          <a:endCxn id="8" idx="0"/>
        </xdr:cNvCxnSpPr>
      </xdr:nvCxnSpPr>
      <xdr:spPr>
        <a:xfrm flipH="1">
          <a:off x="3472388" y="6720567"/>
          <a:ext cx="4010" cy="819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103416</xdr:colOff>
      <xdr:row>36</xdr:row>
      <xdr:rowOff>64181</xdr:rowOff>
    </xdr:from>
    <xdr:to>
      <xdr:col>3</xdr:col>
      <xdr:colOff>559254</xdr:colOff>
      <xdr:row>36</xdr:row>
      <xdr:rowOff>66902</xdr:rowOff>
    </xdr:to>
    <xdr:cxnSp macro="">
      <xdr:nvCxnSpPr>
        <xdr:cNvPr id="153" name="Straight Arrow Connector 152">
          <a:extLst>
            <a:ext uri="{FF2B5EF4-FFF2-40B4-BE49-F238E27FC236}">
              <a16:creationId xmlns:a16="http://schemas.microsoft.com/office/drawing/2014/main" id="{00000000-0008-0000-0300-000099000000}"/>
            </a:ext>
          </a:extLst>
        </xdr:cNvPr>
        <xdr:cNvCxnSpPr>
          <a:cxnSpLocks/>
          <a:stCxn id="27" idx="1"/>
          <a:endCxn id="156" idx="3"/>
        </xdr:cNvCxnSpPr>
      </xdr:nvCxnSpPr>
      <xdr:spPr>
        <a:xfrm flipH="1">
          <a:off x="2056041" y="6414181"/>
          <a:ext cx="455838" cy="27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275317</xdr:colOff>
      <xdr:row>34</xdr:row>
      <xdr:rowOff>37193</xdr:rowOff>
    </xdr:from>
    <xdr:to>
      <xdr:col>3</xdr:col>
      <xdr:colOff>102055</xdr:colOff>
      <xdr:row>38</xdr:row>
      <xdr:rowOff>93890</xdr:rowOff>
    </xdr:to>
    <xdr:sp macro="" textlink="">
      <xdr:nvSpPr>
        <xdr:cNvPr id="156" name="Flowchart: Terminator 155">
          <a:extLst>
            <a:ext uri="{FF2B5EF4-FFF2-40B4-BE49-F238E27FC236}">
              <a16:creationId xmlns:a16="http://schemas.microsoft.com/office/drawing/2014/main" id="{00000000-0008-0000-0300-00009C000000}"/>
            </a:ext>
          </a:extLst>
        </xdr:cNvPr>
        <xdr:cNvSpPr/>
      </xdr:nvSpPr>
      <xdr:spPr>
        <a:xfrm>
          <a:off x="275317" y="6037943"/>
          <a:ext cx="1779363" cy="755197"/>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Adds</a:t>
          </a:r>
          <a:r>
            <a:rPr lang="en-GB" sz="1100" baseline="0"/>
            <a:t> increment to Selected Jackpot</a:t>
          </a:r>
          <a:endParaRPr lang="en-GB" sz="1100"/>
        </a:p>
      </xdr:txBody>
    </xdr:sp>
    <xdr:clientData/>
  </xdr:twoCellAnchor>
  <xdr:twoCellAnchor>
    <xdr:from>
      <xdr:col>1</xdr:col>
      <xdr:colOff>514124</xdr:colOff>
      <xdr:row>38</xdr:row>
      <xdr:rowOff>96611</xdr:rowOff>
    </xdr:from>
    <xdr:to>
      <xdr:col>5</xdr:col>
      <xdr:colOff>218013</xdr:colOff>
      <xdr:row>42</xdr:row>
      <xdr:rowOff>142072</xdr:rowOff>
    </xdr:to>
    <xdr:cxnSp macro="">
      <xdr:nvCxnSpPr>
        <xdr:cNvPr id="160" name="Straight Arrow Connector 159">
          <a:extLst>
            <a:ext uri="{FF2B5EF4-FFF2-40B4-BE49-F238E27FC236}">
              <a16:creationId xmlns:a16="http://schemas.microsoft.com/office/drawing/2014/main" id="{00000000-0008-0000-0300-0000A0000000}"/>
            </a:ext>
          </a:extLst>
        </xdr:cNvPr>
        <xdr:cNvCxnSpPr>
          <a:cxnSpLocks/>
          <a:stCxn id="156" idx="2"/>
          <a:endCxn id="8" idx="0"/>
        </xdr:cNvCxnSpPr>
      </xdr:nvCxnSpPr>
      <xdr:spPr>
        <a:xfrm>
          <a:off x="1164999" y="6795861"/>
          <a:ext cx="2307389" cy="743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563336</xdr:colOff>
      <xdr:row>34</xdr:row>
      <xdr:rowOff>105683</xdr:rowOff>
    </xdr:from>
    <xdr:to>
      <xdr:col>6</xdr:col>
      <xdr:colOff>535667</xdr:colOff>
      <xdr:row>38</xdr:row>
      <xdr:rowOff>18596</xdr:rowOff>
    </xdr:to>
    <xdr:sp macro="" textlink="">
      <xdr:nvSpPr>
        <xdr:cNvPr id="27" name="Flowchart: Preparation 26">
          <a:extLst>
            <a:ext uri="{FF2B5EF4-FFF2-40B4-BE49-F238E27FC236}">
              <a16:creationId xmlns:a16="http://schemas.microsoft.com/office/drawing/2014/main" id="{EC5AF0F4-D82D-471D-B4B4-CAC8B60039C1}"/>
            </a:ext>
          </a:extLst>
        </xdr:cNvPr>
        <xdr:cNvSpPr/>
      </xdr:nvSpPr>
      <xdr:spPr>
        <a:xfrm>
          <a:off x="2515961" y="6106433"/>
          <a:ext cx="1924956" cy="611413"/>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Subscript symbol on Reel?</a:t>
          </a:r>
          <a:endParaRPr lang="en-GB" sz="1100"/>
        </a:p>
      </xdr:txBody>
    </xdr:sp>
    <xdr:clientData/>
  </xdr:twoCellAnchor>
  <xdr:twoCellAnchor>
    <xdr:from>
      <xdr:col>10</xdr:col>
      <xdr:colOff>501821</xdr:colOff>
      <xdr:row>27</xdr:row>
      <xdr:rowOff>83457</xdr:rowOff>
    </xdr:from>
    <xdr:to>
      <xdr:col>15</xdr:col>
      <xdr:colOff>23010</xdr:colOff>
      <xdr:row>34</xdr:row>
      <xdr:rowOff>161924</xdr:rowOff>
    </xdr:to>
    <xdr:cxnSp macro="">
      <xdr:nvCxnSpPr>
        <xdr:cNvPr id="133" name="Straight Arrow Connector 132">
          <a:extLst>
            <a:ext uri="{FF2B5EF4-FFF2-40B4-BE49-F238E27FC236}">
              <a16:creationId xmlns:a16="http://schemas.microsoft.com/office/drawing/2014/main" id="{7A9BE4C1-3D28-4BB8-BB28-E92C9766D9C0}"/>
            </a:ext>
          </a:extLst>
        </xdr:cNvPr>
        <xdr:cNvCxnSpPr>
          <a:cxnSpLocks/>
          <a:stCxn id="69" idx="2"/>
          <a:endCxn id="76" idx="0"/>
        </xdr:cNvCxnSpPr>
      </xdr:nvCxnSpPr>
      <xdr:spPr>
        <a:xfrm flipH="1">
          <a:off x="7010571" y="4861832"/>
          <a:ext cx="2775564" cy="13008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483054</xdr:colOff>
      <xdr:row>30</xdr:row>
      <xdr:rowOff>150585</xdr:rowOff>
    </xdr:from>
    <xdr:to>
      <xdr:col>56</xdr:col>
      <xdr:colOff>92075</xdr:colOff>
      <xdr:row>34</xdr:row>
      <xdr:rowOff>14059</xdr:rowOff>
    </xdr:to>
    <xdr:sp macro="" textlink="">
      <xdr:nvSpPr>
        <xdr:cNvPr id="181" name="Flowchart: Preparation 180">
          <a:extLst>
            <a:ext uri="{FF2B5EF4-FFF2-40B4-BE49-F238E27FC236}">
              <a16:creationId xmlns:a16="http://schemas.microsoft.com/office/drawing/2014/main" id="{A824A361-41A5-4F49-88A5-469422ABA15C}"/>
            </a:ext>
          </a:extLst>
        </xdr:cNvPr>
        <xdr:cNvSpPr/>
      </xdr:nvSpPr>
      <xdr:spPr>
        <a:xfrm>
          <a:off x="33026804" y="5452835"/>
          <a:ext cx="2212521" cy="561974"/>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rgbClr val="FF0000"/>
              </a:solidFill>
            </a:rPr>
            <a:t>If Bonus1 </a:t>
          </a:r>
          <a:r>
            <a:rPr lang="en-GB" sz="1100" baseline="0"/>
            <a:t>- Fireball</a:t>
          </a:r>
        </a:p>
        <a:p>
          <a:pPr algn="l"/>
          <a:endParaRPr lang="en-GB" sz="1100"/>
        </a:p>
      </xdr:txBody>
    </xdr:sp>
    <xdr:clientData/>
  </xdr:twoCellAnchor>
  <xdr:twoCellAnchor>
    <xdr:from>
      <xdr:col>57</xdr:col>
      <xdr:colOff>369206</xdr:colOff>
      <xdr:row>30</xdr:row>
      <xdr:rowOff>48078</xdr:rowOff>
    </xdr:from>
    <xdr:to>
      <xdr:col>60</xdr:col>
      <xdr:colOff>460375</xdr:colOff>
      <xdr:row>34</xdr:row>
      <xdr:rowOff>106136</xdr:rowOff>
    </xdr:to>
    <xdr:sp macro="" textlink="">
      <xdr:nvSpPr>
        <xdr:cNvPr id="215" name="Flowchart: Alternate Process 91">
          <a:extLst>
            <a:ext uri="{FF2B5EF4-FFF2-40B4-BE49-F238E27FC236}">
              <a16:creationId xmlns:a16="http://schemas.microsoft.com/office/drawing/2014/main" id="{27FA147A-C316-4C56-8C3D-B16020B8A2AB}"/>
            </a:ext>
          </a:extLst>
        </xdr:cNvPr>
        <xdr:cNvSpPr/>
      </xdr:nvSpPr>
      <xdr:spPr>
        <a:xfrm>
          <a:off x="37469081" y="5350328"/>
          <a:ext cx="2043794" cy="75655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Increase value of 4 other QHs on its Slot grid and generates value for itself and sticks</a:t>
          </a:r>
          <a:endParaRPr lang="en-GB" sz="1100"/>
        </a:p>
      </xdr:txBody>
    </xdr:sp>
    <xdr:clientData/>
  </xdr:twoCellAnchor>
  <xdr:twoCellAnchor>
    <xdr:from>
      <xdr:col>39</xdr:col>
      <xdr:colOff>330654</xdr:colOff>
      <xdr:row>42</xdr:row>
      <xdr:rowOff>141289</xdr:rowOff>
    </xdr:from>
    <xdr:to>
      <xdr:col>44</xdr:col>
      <xdr:colOff>141061</xdr:colOff>
      <xdr:row>42</xdr:row>
      <xdr:rowOff>159202</xdr:rowOff>
    </xdr:to>
    <xdr:cxnSp macro="">
      <xdr:nvCxnSpPr>
        <xdr:cNvPr id="216" name="Straight Arrow Connector 215">
          <a:extLst>
            <a:ext uri="{FF2B5EF4-FFF2-40B4-BE49-F238E27FC236}">
              <a16:creationId xmlns:a16="http://schemas.microsoft.com/office/drawing/2014/main" id="{BBBF2371-206C-4A1E-9A63-3B81308C7D21}"/>
            </a:ext>
          </a:extLst>
        </xdr:cNvPr>
        <xdr:cNvCxnSpPr>
          <a:stCxn id="92" idx="3"/>
          <a:endCxn id="444" idx="1"/>
        </xdr:cNvCxnSpPr>
      </xdr:nvCxnSpPr>
      <xdr:spPr>
        <a:xfrm flipV="1">
          <a:off x="25714779" y="7539039"/>
          <a:ext cx="3715657" cy="179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68943</xdr:colOff>
      <xdr:row>41</xdr:row>
      <xdr:rowOff>58057</xdr:rowOff>
    </xdr:from>
    <xdr:to>
      <xdr:col>36</xdr:col>
      <xdr:colOff>47625</xdr:colOff>
      <xdr:row>44</xdr:row>
      <xdr:rowOff>96156</xdr:rowOff>
    </xdr:to>
    <xdr:sp macro="" textlink="">
      <xdr:nvSpPr>
        <xdr:cNvPr id="316" name="Flowchart: Preparation 315">
          <a:extLst>
            <a:ext uri="{FF2B5EF4-FFF2-40B4-BE49-F238E27FC236}">
              <a16:creationId xmlns:a16="http://schemas.microsoft.com/office/drawing/2014/main" id="{8AA0C3E1-C688-4250-9A66-BFEDC202938E}"/>
            </a:ext>
          </a:extLst>
        </xdr:cNvPr>
        <xdr:cNvSpPr/>
      </xdr:nvSpPr>
      <xdr:spPr>
        <a:xfrm>
          <a:off x="21547818" y="7281182"/>
          <a:ext cx="1931307" cy="561974"/>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Maximizer Symbol on Reel?</a:t>
          </a:r>
        </a:p>
        <a:p>
          <a:pPr algn="l"/>
          <a:endParaRPr lang="en-GB" sz="1100"/>
        </a:p>
      </xdr:txBody>
    </xdr:sp>
    <xdr:clientData/>
  </xdr:twoCellAnchor>
  <xdr:twoCellAnchor>
    <xdr:from>
      <xdr:col>33</xdr:col>
      <xdr:colOff>347889</xdr:colOff>
      <xdr:row>35</xdr:row>
      <xdr:rowOff>55338</xdr:rowOff>
    </xdr:from>
    <xdr:to>
      <xdr:col>35</xdr:col>
      <xdr:colOff>408668</xdr:colOff>
      <xdr:row>39</xdr:row>
      <xdr:rowOff>44905</xdr:rowOff>
    </xdr:to>
    <xdr:sp macro="" textlink="">
      <xdr:nvSpPr>
        <xdr:cNvPr id="321" name="Flowchart: Alternate Process 91">
          <a:extLst>
            <a:ext uri="{FF2B5EF4-FFF2-40B4-BE49-F238E27FC236}">
              <a16:creationId xmlns:a16="http://schemas.microsoft.com/office/drawing/2014/main" id="{4FC98167-4BF0-44CA-89B4-B302B1CD971D}"/>
            </a:ext>
          </a:extLst>
        </xdr:cNvPr>
        <xdr:cNvSpPr/>
      </xdr:nvSpPr>
      <xdr:spPr>
        <a:xfrm>
          <a:off x="21826764" y="6230713"/>
          <a:ext cx="1362529" cy="688067"/>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Increases Jackpot value to Maximum</a:t>
          </a:r>
          <a:endParaRPr lang="en-GB" sz="1100"/>
        </a:p>
      </xdr:txBody>
    </xdr:sp>
    <xdr:clientData/>
  </xdr:twoCellAnchor>
  <xdr:twoCellAnchor>
    <xdr:from>
      <xdr:col>39</xdr:col>
      <xdr:colOff>638630</xdr:colOff>
      <xdr:row>42</xdr:row>
      <xdr:rowOff>141289</xdr:rowOff>
    </xdr:from>
    <xdr:to>
      <xdr:col>44</xdr:col>
      <xdr:colOff>141061</xdr:colOff>
      <xdr:row>59</xdr:row>
      <xdr:rowOff>64179</xdr:rowOff>
    </xdr:to>
    <xdr:cxnSp macro="">
      <xdr:nvCxnSpPr>
        <xdr:cNvPr id="329" name="Straight Arrow Connector 328">
          <a:extLst>
            <a:ext uri="{FF2B5EF4-FFF2-40B4-BE49-F238E27FC236}">
              <a16:creationId xmlns:a16="http://schemas.microsoft.com/office/drawing/2014/main" id="{EAEF2DD0-B695-4AF8-9E0E-326CD26A800C}"/>
            </a:ext>
          </a:extLst>
        </xdr:cNvPr>
        <xdr:cNvCxnSpPr>
          <a:cxnSpLocks/>
          <a:stCxn id="125" idx="3"/>
          <a:endCxn id="444" idx="1"/>
        </xdr:cNvCxnSpPr>
      </xdr:nvCxnSpPr>
      <xdr:spPr>
        <a:xfrm flipV="1">
          <a:off x="26022755" y="7539039"/>
          <a:ext cx="3407681" cy="2891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94796</xdr:colOff>
      <xdr:row>32</xdr:row>
      <xdr:rowOff>77107</xdr:rowOff>
    </xdr:from>
    <xdr:to>
      <xdr:col>57</xdr:col>
      <xdr:colOff>369206</xdr:colOff>
      <xdr:row>32</xdr:row>
      <xdr:rowOff>83683</xdr:rowOff>
    </xdr:to>
    <xdr:cxnSp macro="">
      <xdr:nvCxnSpPr>
        <xdr:cNvPr id="340" name="Straight Arrow Connector 339">
          <a:extLst>
            <a:ext uri="{FF2B5EF4-FFF2-40B4-BE49-F238E27FC236}">
              <a16:creationId xmlns:a16="http://schemas.microsoft.com/office/drawing/2014/main" id="{96A16C0A-E468-4045-9C2E-5762D48BD5BC}"/>
            </a:ext>
          </a:extLst>
        </xdr:cNvPr>
        <xdr:cNvCxnSpPr>
          <a:stCxn id="181" idx="3"/>
          <a:endCxn id="215" idx="1"/>
        </xdr:cNvCxnSpPr>
      </xdr:nvCxnSpPr>
      <xdr:spPr>
        <a:xfrm flipV="1">
          <a:off x="36543796" y="5728607"/>
          <a:ext cx="925285" cy="65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64619</xdr:colOff>
      <xdr:row>32</xdr:row>
      <xdr:rowOff>83683</xdr:rowOff>
    </xdr:from>
    <xdr:to>
      <xdr:col>52</xdr:col>
      <xdr:colOff>484415</xdr:colOff>
      <xdr:row>42</xdr:row>
      <xdr:rowOff>142508</xdr:rowOff>
    </xdr:to>
    <xdr:cxnSp macro="">
      <xdr:nvCxnSpPr>
        <xdr:cNvPr id="341" name="Straight Arrow Connector 340">
          <a:extLst>
            <a:ext uri="{FF2B5EF4-FFF2-40B4-BE49-F238E27FC236}">
              <a16:creationId xmlns:a16="http://schemas.microsoft.com/office/drawing/2014/main" id="{894A5D2E-3F16-482E-9109-566070E44AAA}"/>
            </a:ext>
          </a:extLst>
        </xdr:cNvPr>
        <xdr:cNvCxnSpPr>
          <a:cxnSpLocks/>
          <a:stCxn id="490" idx="3"/>
          <a:endCxn id="181" idx="1"/>
        </xdr:cNvCxnSpPr>
      </xdr:nvCxnSpPr>
      <xdr:spPr>
        <a:xfrm flipV="1">
          <a:off x="32608369" y="5735183"/>
          <a:ext cx="1721546" cy="1805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47625</xdr:colOff>
      <xdr:row>42</xdr:row>
      <xdr:rowOff>159202</xdr:rowOff>
    </xdr:from>
    <xdr:to>
      <xdr:col>37</xdr:col>
      <xdr:colOff>344262</xdr:colOff>
      <xdr:row>42</xdr:row>
      <xdr:rowOff>164419</xdr:rowOff>
    </xdr:to>
    <xdr:cxnSp macro="">
      <xdr:nvCxnSpPr>
        <xdr:cNvPr id="344" name="Straight Arrow Connector 343">
          <a:extLst>
            <a:ext uri="{FF2B5EF4-FFF2-40B4-BE49-F238E27FC236}">
              <a16:creationId xmlns:a16="http://schemas.microsoft.com/office/drawing/2014/main" id="{C9B90DD5-4463-4A6A-9892-03FA2C0AC758}"/>
            </a:ext>
          </a:extLst>
        </xdr:cNvPr>
        <xdr:cNvCxnSpPr>
          <a:stCxn id="316" idx="3"/>
          <a:endCxn id="92" idx="1"/>
        </xdr:cNvCxnSpPr>
      </xdr:nvCxnSpPr>
      <xdr:spPr>
        <a:xfrm flipV="1">
          <a:off x="23479125" y="7556952"/>
          <a:ext cx="947512" cy="52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490765</xdr:colOff>
      <xdr:row>37</xdr:row>
      <xdr:rowOff>66222</xdr:rowOff>
    </xdr:from>
    <xdr:to>
      <xdr:col>56</xdr:col>
      <xdr:colOff>105229</xdr:colOff>
      <xdr:row>40</xdr:row>
      <xdr:rowOff>104321</xdr:rowOff>
    </xdr:to>
    <xdr:sp macro="" textlink="">
      <xdr:nvSpPr>
        <xdr:cNvPr id="362" name="Flowchart: Preparation 361">
          <a:extLst>
            <a:ext uri="{FF2B5EF4-FFF2-40B4-BE49-F238E27FC236}">
              <a16:creationId xmlns:a16="http://schemas.microsoft.com/office/drawing/2014/main" id="{1D1A31A9-282E-47C7-BF8F-B48193D7F093}"/>
            </a:ext>
          </a:extLst>
        </xdr:cNvPr>
        <xdr:cNvSpPr/>
      </xdr:nvSpPr>
      <xdr:spPr>
        <a:xfrm>
          <a:off x="33034515" y="6590847"/>
          <a:ext cx="2217964" cy="561974"/>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rgbClr val="FF0000"/>
              </a:solidFill>
            </a:rPr>
            <a:t>If Bonus2 </a:t>
          </a:r>
          <a:r>
            <a:rPr lang="en-GB" sz="1100" baseline="0"/>
            <a:t>- Collect</a:t>
          </a:r>
        </a:p>
        <a:p>
          <a:pPr algn="l"/>
          <a:endParaRPr lang="en-GB" sz="1100"/>
        </a:p>
      </xdr:txBody>
    </xdr:sp>
    <xdr:clientData/>
  </xdr:twoCellAnchor>
  <xdr:twoCellAnchor>
    <xdr:from>
      <xdr:col>52</xdr:col>
      <xdr:colOff>531586</xdr:colOff>
      <xdr:row>43</xdr:row>
      <xdr:rowOff>55788</xdr:rowOff>
    </xdr:from>
    <xdr:to>
      <xdr:col>56</xdr:col>
      <xdr:colOff>140608</xdr:colOff>
      <xdr:row>46</xdr:row>
      <xdr:rowOff>93887</xdr:rowOff>
    </xdr:to>
    <xdr:sp macro="" textlink="">
      <xdr:nvSpPr>
        <xdr:cNvPr id="363" name="Flowchart: Preparation 362">
          <a:extLst>
            <a:ext uri="{FF2B5EF4-FFF2-40B4-BE49-F238E27FC236}">
              <a16:creationId xmlns:a16="http://schemas.microsoft.com/office/drawing/2014/main" id="{E2B143BD-231A-4F8D-B88F-9007B9A0DCC6}"/>
            </a:ext>
          </a:extLst>
        </xdr:cNvPr>
        <xdr:cNvSpPr/>
      </xdr:nvSpPr>
      <xdr:spPr>
        <a:xfrm>
          <a:off x="33075336" y="7628163"/>
          <a:ext cx="2212522" cy="561974"/>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rgbClr val="FF0000"/>
              </a:solidFill>
            </a:rPr>
            <a:t>If Bonus3 </a:t>
          </a:r>
          <a:r>
            <a:rPr lang="en-GB" sz="1100" baseline="0"/>
            <a:t>- Multiplier</a:t>
          </a:r>
        </a:p>
        <a:p>
          <a:pPr algn="l"/>
          <a:endParaRPr lang="en-GB" sz="1100"/>
        </a:p>
      </xdr:txBody>
    </xdr:sp>
    <xdr:clientData/>
  </xdr:twoCellAnchor>
  <xdr:twoCellAnchor>
    <xdr:from>
      <xdr:col>45</xdr:col>
      <xdr:colOff>279627</xdr:colOff>
      <xdr:row>23</xdr:row>
      <xdr:rowOff>95250</xdr:rowOff>
    </xdr:from>
    <xdr:to>
      <xdr:col>45</xdr:col>
      <xdr:colOff>285750</xdr:colOff>
      <xdr:row>40</xdr:row>
      <xdr:rowOff>142424</xdr:rowOff>
    </xdr:to>
    <xdr:cxnSp macro="">
      <xdr:nvCxnSpPr>
        <xdr:cNvPr id="398" name="Straight Arrow Connector 397">
          <a:extLst>
            <a:ext uri="{FF2B5EF4-FFF2-40B4-BE49-F238E27FC236}">
              <a16:creationId xmlns:a16="http://schemas.microsoft.com/office/drawing/2014/main" id="{133795D4-4FED-4EA9-A7CC-C033EF8D8D35}"/>
            </a:ext>
          </a:extLst>
        </xdr:cNvPr>
        <xdr:cNvCxnSpPr>
          <a:stCxn id="444" idx="0"/>
        </xdr:cNvCxnSpPr>
      </xdr:nvCxnSpPr>
      <xdr:spPr>
        <a:xfrm flipV="1">
          <a:off x="30219877" y="4175125"/>
          <a:ext cx="6123" cy="30157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141969</xdr:colOff>
      <xdr:row>44</xdr:row>
      <xdr:rowOff>164871</xdr:rowOff>
    </xdr:from>
    <xdr:to>
      <xdr:col>57</xdr:col>
      <xdr:colOff>373290</xdr:colOff>
      <xdr:row>44</xdr:row>
      <xdr:rowOff>172584</xdr:rowOff>
    </xdr:to>
    <xdr:cxnSp macro="">
      <xdr:nvCxnSpPr>
        <xdr:cNvPr id="399" name="Straight Arrow Connector 398">
          <a:extLst>
            <a:ext uri="{FF2B5EF4-FFF2-40B4-BE49-F238E27FC236}">
              <a16:creationId xmlns:a16="http://schemas.microsoft.com/office/drawing/2014/main" id="{1054F2EB-ADCA-4CAF-B613-A4BF1C645E98}"/>
            </a:ext>
          </a:extLst>
        </xdr:cNvPr>
        <xdr:cNvCxnSpPr>
          <a:stCxn id="363" idx="3"/>
          <a:endCxn id="419" idx="1"/>
        </xdr:cNvCxnSpPr>
      </xdr:nvCxnSpPr>
      <xdr:spPr>
        <a:xfrm>
          <a:off x="35289219" y="7911871"/>
          <a:ext cx="882196" cy="77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106590</xdr:colOff>
      <xdr:row>38</xdr:row>
      <xdr:rowOff>162152</xdr:rowOff>
    </xdr:from>
    <xdr:to>
      <xdr:col>57</xdr:col>
      <xdr:colOff>478971</xdr:colOff>
      <xdr:row>38</xdr:row>
      <xdr:rowOff>173945</xdr:rowOff>
    </xdr:to>
    <xdr:cxnSp macro="">
      <xdr:nvCxnSpPr>
        <xdr:cNvPr id="400" name="Straight Arrow Connector 399">
          <a:extLst>
            <a:ext uri="{FF2B5EF4-FFF2-40B4-BE49-F238E27FC236}">
              <a16:creationId xmlns:a16="http://schemas.microsoft.com/office/drawing/2014/main" id="{20E30378-E398-40AA-B525-EB358A23F407}"/>
            </a:ext>
          </a:extLst>
        </xdr:cNvPr>
        <xdr:cNvCxnSpPr>
          <a:stCxn id="362" idx="3"/>
          <a:endCxn id="418" idx="1"/>
        </xdr:cNvCxnSpPr>
      </xdr:nvCxnSpPr>
      <xdr:spPr>
        <a:xfrm flipV="1">
          <a:off x="36555590" y="6861402"/>
          <a:ext cx="1023256" cy="117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64619</xdr:colOff>
      <xdr:row>42</xdr:row>
      <xdr:rowOff>142508</xdr:rowOff>
    </xdr:from>
    <xdr:to>
      <xdr:col>52</xdr:col>
      <xdr:colOff>531586</xdr:colOff>
      <xdr:row>44</xdr:row>
      <xdr:rowOff>164871</xdr:rowOff>
    </xdr:to>
    <xdr:cxnSp macro="">
      <xdr:nvCxnSpPr>
        <xdr:cNvPr id="401" name="Straight Arrow Connector 400">
          <a:extLst>
            <a:ext uri="{FF2B5EF4-FFF2-40B4-BE49-F238E27FC236}">
              <a16:creationId xmlns:a16="http://schemas.microsoft.com/office/drawing/2014/main" id="{A7587472-9FAD-4561-91C9-91875889C2D3}"/>
            </a:ext>
          </a:extLst>
        </xdr:cNvPr>
        <xdr:cNvCxnSpPr>
          <a:cxnSpLocks/>
          <a:stCxn id="490" idx="3"/>
          <a:endCxn id="363" idx="1"/>
        </xdr:cNvCxnSpPr>
      </xdr:nvCxnSpPr>
      <xdr:spPr>
        <a:xfrm>
          <a:off x="32608369" y="7540258"/>
          <a:ext cx="1768717" cy="3716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64619</xdr:colOff>
      <xdr:row>38</xdr:row>
      <xdr:rowOff>173945</xdr:rowOff>
    </xdr:from>
    <xdr:to>
      <xdr:col>52</xdr:col>
      <xdr:colOff>486683</xdr:colOff>
      <xdr:row>42</xdr:row>
      <xdr:rowOff>142508</xdr:rowOff>
    </xdr:to>
    <xdr:cxnSp macro="">
      <xdr:nvCxnSpPr>
        <xdr:cNvPr id="402" name="Straight Arrow Connector 401">
          <a:extLst>
            <a:ext uri="{FF2B5EF4-FFF2-40B4-BE49-F238E27FC236}">
              <a16:creationId xmlns:a16="http://schemas.microsoft.com/office/drawing/2014/main" id="{C044E8D6-B371-4D83-92B4-A796838DD5DE}"/>
            </a:ext>
          </a:extLst>
        </xdr:cNvPr>
        <xdr:cNvCxnSpPr>
          <a:cxnSpLocks/>
          <a:stCxn id="490" idx="3"/>
          <a:endCxn id="362" idx="1"/>
        </xdr:cNvCxnSpPr>
      </xdr:nvCxnSpPr>
      <xdr:spPr>
        <a:xfrm flipV="1">
          <a:off x="32608369" y="6873195"/>
          <a:ext cx="1723814" cy="6670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478971</xdr:colOff>
      <xdr:row>37</xdr:row>
      <xdr:rowOff>8163</xdr:rowOff>
    </xdr:from>
    <xdr:to>
      <xdr:col>60</xdr:col>
      <xdr:colOff>222250</xdr:colOff>
      <xdr:row>40</xdr:row>
      <xdr:rowOff>141515</xdr:rowOff>
    </xdr:to>
    <xdr:sp macro="" textlink="">
      <xdr:nvSpPr>
        <xdr:cNvPr id="418" name="Flowchart: Alternate Process 91">
          <a:extLst>
            <a:ext uri="{FF2B5EF4-FFF2-40B4-BE49-F238E27FC236}">
              <a16:creationId xmlns:a16="http://schemas.microsoft.com/office/drawing/2014/main" id="{D85138CB-23D0-4BFC-8650-F9C1AFF77C90}"/>
            </a:ext>
          </a:extLst>
        </xdr:cNvPr>
        <xdr:cNvSpPr/>
      </xdr:nvSpPr>
      <xdr:spPr>
        <a:xfrm>
          <a:off x="37578846" y="6532788"/>
          <a:ext cx="1695904" cy="657227"/>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Collects all QH values on its Slot Grid and sticks</a:t>
          </a:r>
          <a:endParaRPr lang="en-GB" sz="1100"/>
        </a:p>
      </xdr:txBody>
    </xdr:sp>
    <xdr:clientData/>
  </xdr:twoCellAnchor>
  <xdr:twoCellAnchor>
    <xdr:from>
      <xdr:col>57</xdr:col>
      <xdr:colOff>371929</xdr:colOff>
      <xdr:row>42</xdr:row>
      <xdr:rowOff>64861</xdr:rowOff>
    </xdr:from>
    <xdr:to>
      <xdr:col>60</xdr:col>
      <xdr:colOff>121559</xdr:colOff>
      <xdr:row>47</xdr:row>
      <xdr:rowOff>102960</xdr:rowOff>
    </xdr:to>
    <xdr:sp macro="" textlink="">
      <xdr:nvSpPr>
        <xdr:cNvPr id="419" name="Flowchart: Alternate Process 91">
          <a:extLst>
            <a:ext uri="{FF2B5EF4-FFF2-40B4-BE49-F238E27FC236}">
              <a16:creationId xmlns:a16="http://schemas.microsoft.com/office/drawing/2014/main" id="{64FC94EC-B5A8-4442-A830-FDA056C00C87}"/>
            </a:ext>
          </a:extLst>
        </xdr:cNvPr>
        <xdr:cNvSpPr/>
      </xdr:nvSpPr>
      <xdr:spPr>
        <a:xfrm>
          <a:off x="36170054" y="7462611"/>
          <a:ext cx="1702255" cy="911224"/>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Multiplies values of all existing QHs on its Slot grid. It does not stick</a:t>
          </a:r>
          <a:endParaRPr lang="en-GB" sz="1100"/>
        </a:p>
      </xdr:txBody>
    </xdr:sp>
    <xdr:clientData/>
  </xdr:twoCellAnchor>
  <xdr:twoCellAnchor>
    <xdr:from>
      <xdr:col>44</xdr:col>
      <xdr:colOff>145143</xdr:colOff>
      <xdr:row>40</xdr:row>
      <xdr:rowOff>146506</xdr:rowOff>
    </xdr:from>
    <xdr:to>
      <xdr:col>46</xdr:col>
      <xdr:colOff>418192</xdr:colOff>
      <xdr:row>44</xdr:row>
      <xdr:rowOff>144236</xdr:rowOff>
    </xdr:to>
    <xdr:sp macro="" textlink="">
      <xdr:nvSpPr>
        <xdr:cNvPr id="444" name="Flowchart: Preparation 443">
          <a:extLst>
            <a:ext uri="{FF2B5EF4-FFF2-40B4-BE49-F238E27FC236}">
              <a16:creationId xmlns:a16="http://schemas.microsoft.com/office/drawing/2014/main" id="{01736492-93EE-4DF9-A802-68CCD11BFCE1}"/>
            </a:ext>
          </a:extLst>
        </xdr:cNvPr>
        <xdr:cNvSpPr/>
      </xdr:nvSpPr>
      <xdr:spPr>
        <a:xfrm>
          <a:off x="29434518" y="7195006"/>
          <a:ext cx="1574799" cy="696230"/>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Feature hit?</a:t>
          </a:r>
          <a:endParaRPr lang="en-GB" sz="1100" baseline="0">
            <a:solidFill>
              <a:srgbClr val="FF0000"/>
            </a:solidFill>
          </a:endParaRPr>
        </a:p>
        <a:p>
          <a:pPr algn="l"/>
          <a:endParaRPr lang="en-GB" sz="1100"/>
        </a:p>
      </xdr:txBody>
    </xdr:sp>
    <xdr:clientData/>
  </xdr:twoCellAnchor>
  <xdr:twoCellAnchor>
    <xdr:from>
      <xdr:col>43</xdr:col>
      <xdr:colOff>75974</xdr:colOff>
      <xdr:row>42</xdr:row>
      <xdr:rowOff>141289</xdr:rowOff>
    </xdr:from>
    <xdr:to>
      <xdr:col>44</xdr:col>
      <xdr:colOff>141061</xdr:colOff>
      <xdr:row>57</xdr:row>
      <xdr:rowOff>163740</xdr:rowOff>
    </xdr:to>
    <xdr:cxnSp macro="">
      <xdr:nvCxnSpPr>
        <xdr:cNvPr id="457" name="Straight Arrow Connector 456">
          <a:extLst>
            <a:ext uri="{FF2B5EF4-FFF2-40B4-BE49-F238E27FC236}">
              <a16:creationId xmlns:a16="http://schemas.microsoft.com/office/drawing/2014/main" id="{5B89045B-E08F-45FB-9900-F454833686F3}"/>
            </a:ext>
          </a:extLst>
        </xdr:cNvPr>
        <xdr:cNvCxnSpPr>
          <a:stCxn id="129" idx="0"/>
          <a:endCxn id="444" idx="1"/>
        </xdr:cNvCxnSpPr>
      </xdr:nvCxnSpPr>
      <xdr:spPr>
        <a:xfrm flipV="1">
          <a:off x="28714474" y="7539039"/>
          <a:ext cx="715962" cy="2641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410029</xdr:colOff>
      <xdr:row>37</xdr:row>
      <xdr:rowOff>53523</xdr:rowOff>
    </xdr:from>
    <xdr:to>
      <xdr:col>37</xdr:col>
      <xdr:colOff>344262</xdr:colOff>
      <xdr:row>42</xdr:row>
      <xdr:rowOff>159202</xdr:rowOff>
    </xdr:to>
    <xdr:cxnSp macro="">
      <xdr:nvCxnSpPr>
        <xdr:cNvPr id="458" name="Straight Arrow Connector 457">
          <a:extLst>
            <a:ext uri="{FF2B5EF4-FFF2-40B4-BE49-F238E27FC236}">
              <a16:creationId xmlns:a16="http://schemas.microsoft.com/office/drawing/2014/main" id="{DDDA6840-DA61-4395-895F-CA2790238FA8}"/>
            </a:ext>
          </a:extLst>
        </xdr:cNvPr>
        <xdr:cNvCxnSpPr>
          <a:stCxn id="321" idx="3"/>
          <a:endCxn id="92" idx="1"/>
        </xdr:cNvCxnSpPr>
      </xdr:nvCxnSpPr>
      <xdr:spPr>
        <a:xfrm>
          <a:off x="23190654" y="6578148"/>
          <a:ext cx="1235983" cy="9788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381000</xdr:colOff>
      <xdr:row>39</xdr:row>
      <xdr:rowOff>48987</xdr:rowOff>
    </xdr:from>
    <xdr:to>
      <xdr:col>34</xdr:col>
      <xdr:colOff>383722</xdr:colOff>
      <xdr:row>41</xdr:row>
      <xdr:rowOff>58057</xdr:rowOff>
    </xdr:to>
    <xdr:cxnSp macro="">
      <xdr:nvCxnSpPr>
        <xdr:cNvPr id="488" name="Straight Arrow Connector 487">
          <a:extLst>
            <a:ext uri="{FF2B5EF4-FFF2-40B4-BE49-F238E27FC236}">
              <a16:creationId xmlns:a16="http://schemas.microsoft.com/office/drawing/2014/main" id="{EB134970-F5F3-4058-BA3E-F2B80CDFEA01}"/>
            </a:ext>
          </a:extLst>
        </xdr:cNvPr>
        <xdr:cNvCxnSpPr>
          <a:stCxn id="316" idx="0"/>
          <a:endCxn id="321" idx="2"/>
        </xdr:cNvCxnSpPr>
      </xdr:nvCxnSpPr>
      <xdr:spPr>
        <a:xfrm flipH="1" flipV="1">
          <a:off x="22510750" y="6922862"/>
          <a:ext cx="2722" cy="358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539750</xdr:colOff>
      <xdr:row>23</xdr:row>
      <xdr:rowOff>127000</xdr:rowOff>
    </xdr:from>
    <xdr:to>
      <xdr:col>56</xdr:col>
      <xdr:colOff>544286</xdr:colOff>
      <xdr:row>27</xdr:row>
      <xdr:rowOff>83005</xdr:rowOff>
    </xdr:to>
    <xdr:cxnSp macro="">
      <xdr:nvCxnSpPr>
        <xdr:cNvPr id="562" name="Straight Arrow Connector 561">
          <a:extLst>
            <a:ext uri="{FF2B5EF4-FFF2-40B4-BE49-F238E27FC236}">
              <a16:creationId xmlns:a16="http://schemas.microsoft.com/office/drawing/2014/main" id="{97601670-1139-42F6-A64C-DFCBA3AF916A}"/>
            </a:ext>
          </a:extLst>
        </xdr:cNvPr>
        <xdr:cNvCxnSpPr/>
      </xdr:nvCxnSpPr>
      <xdr:spPr>
        <a:xfrm flipH="1" flipV="1">
          <a:off x="35687000" y="4206875"/>
          <a:ext cx="4536" cy="6545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418192</xdr:colOff>
      <xdr:row>42</xdr:row>
      <xdr:rowOff>141289</xdr:rowOff>
    </xdr:from>
    <xdr:to>
      <xdr:col>47</xdr:col>
      <xdr:colOff>535668</xdr:colOff>
      <xdr:row>42</xdr:row>
      <xdr:rowOff>142508</xdr:rowOff>
    </xdr:to>
    <xdr:cxnSp macro="">
      <xdr:nvCxnSpPr>
        <xdr:cNvPr id="486" name="Straight Arrow Connector 485">
          <a:extLst>
            <a:ext uri="{FF2B5EF4-FFF2-40B4-BE49-F238E27FC236}">
              <a16:creationId xmlns:a16="http://schemas.microsoft.com/office/drawing/2014/main" id="{DF278A54-88CF-4F81-AF3F-D9A9502587F1}"/>
            </a:ext>
          </a:extLst>
        </xdr:cNvPr>
        <xdr:cNvCxnSpPr>
          <a:cxnSpLocks/>
          <a:stCxn id="444" idx="3"/>
          <a:endCxn id="490" idx="1"/>
        </xdr:cNvCxnSpPr>
      </xdr:nvCxnSpPr>
      <xdr:spPr>
        <a:xfrm>
          <a:off x="30358442" y="7539039"/>
          <a:ext cx="768351" cy="12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535668</xdr:colOff>
      <xdr:row>40</xdr:row>
      <xdr:rowOff>125639</xdr:rowOff>
    </xdr:from>
    <xdr:to>
      <xdr:col>50</xdr:col>
      <xdr:colOff>68701</xdr:colOff>
      <xdr:row>44</xdr:row>
      <xdr:rowOff>162098</xdr:rowOff>
    </xdr:to>
    <xdr:sp macro="" textlink="">
      <xdr:nvSpPr>
        <xdr:cNvPr id="490" name="Flowchart: Terminator 489">
          <a:extLst>
            <a:ext uri="{FF2B5EF4-FFF2-40B4-BE49-F238E27FC236}">
              <a16:creationId xmlns:a16="http://schemas.microsoft.com/office/drawing/2014/main" id="{4578A8C6-713C-4961-8AA8-0A6CDD63A6CE}"/>
            </a:ext>
          </a:extLst>
        </xdr:cNvPr>
        <xdr:cNvSpPr/>
      </xdr:nvSpPr>
      <xdr:spPr>
        <a:xfrm>
          <a:off x="31126793" y="7174139"/>
          <a:ext cx="1485658" cy="734959"/>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counter</a:t>
          </a:r>
          <a:r>
            <a:rPr lang="en-GB" sz="1100" baseline="0"/>
            <a:t> resets to 3 </a:t>
          </a:r>
          <a:endParaRPr lang="en-GB" sz="1100"/>
        </a:p>
      </xdr:txBody>
    </xdr:sp>
    <xdr:clientData/>
  </xdr:twoCellAnchor>
  <xdr:twoCellAnchor>
    <xdr:from>
      <xdr:col>52</xdr:col>
      <xdr:colOff>571500</xdr:colOff>
      <xdr:row>49</xdr:row>
      <xdr:rowOff>0</xdr:rowOff>
    </xdr:from>
    <xdr:to>
      <xdr:col>56</xdr:col>
      <xdr:colOff>177801</xdr:colOff>
      <xdr:row>52</xdr:row>
      <xdr:rowOff>38099</xdr:rowOff>
    </xdr:to>
    <xdr:sp macro="" textlink="">
      <xdr:nvSpPr>
        <xdr:cNvPr id="507" name="Flowchart: Preparation 506">
          <a:extLst>
            <a:ext uri="{FF2B5EF4-FFF2-40B4-BE49-F238E27FC236}">
              <a16:creationId xmlns:a16="http://schemas.microsoft.com/office/drawing/2014/main" id="{76B157AD-5D39-4434-873F-DAAF1B7D2B04}"/>
            </a:ext>
          </a:extLst>
        </xdr:cNvPr>
        <xdr:cNvSpPr/>
      </xdr:nvSpPr>
      <xdr:spPr>
        <a:xfrm>
          <a:off x="34417000" y="8620125"/>
          <a:ext cx="2209801" cy="561974"/>
        </a:xfrm>
        <a:prstGeom prst="flowChartPreparat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rgbClr val="FF0000"/>
              </a:solidFill>
            </a:rPr>
            <a:t>If Bonus4 </a:t>
          </a:r>
          <a:r>
            <a:rPr lang="en-GB" sz="1100" baseline="0"/>
            <a:t>- Mirror</a:t>
          </a:r>
        </a:p>
        <a:p>
          <a:pPr algn="l"/>
          <a:endParaRPr lang="en-GB" sz="1100"/>
        </a:p>
      </xdr:txBody>
    </xdr:sp>
    <xdr:clientData/>
  </xdr:twoCellAnchor>
  <xdr:twoCellAnchor>
    <xdr:from>
      <xdr:col>50</xdr:col>
      <xdr:colOff>64619</xdr:colOff>
      <xdr:row>42</xdr:row>
      <xdr:rowOff>142508</xdr:rowOff>
    </xdr:from>
    <xdr:to>
      <xdr:col>52</xdr:col>
      <xdr:colOff>571500</xdr:colOff>
      <xdr:row>50</xdr:row>
      <xdr:rowOff>106362</xdr:rowOff>
    </xdr:to>
    <xdr:cxnSp macro="">
      <xdr:nvCxnSpPr>
        <xdr:cNvPr id="508" name="Straight Arrow Connector 507">
          <a:extLst>
            <a:ext uri="{FF2B5EF4-FFF2-40B4-BE49-F238E27FC236}">
              <a16:creationId xmlns:a16="http://schemas.microsoft.com/office/drawing/2014/main" id="{75A2E2C1-3799-4480-AFE0-C83E7306AD58}"/>
            </a:ext>
          </a:extLst>
        </xdr:cNvPr>
        <xdr:cNvCxnSpPr>
          <a:cxnSpLocks/>
          <a:stCxn id="490" idx="3"/>
          <a:endCxn id="507" idx="1"/>
        </xdr:cNvCxnSpPr>
      </xdr:nvCxnSpPr>
      <xdr:spPr>
        <a:xfrm>
          <a:off x="32608369" y="7540258"/>
          <a:ext cx="1808631" cy="13608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425905</xdr:colOff>
      <xdr:row>48</xdr:row>
      <xdr:rowOff>76654</xdr:rowOff>
    </xdr:from>
    <xdr:to>
      <xdr:col>60</xdr:col>
      <xdr:colOff>35833</xdr:colOff>
      <xdr:row>52</xdr:row>
      <xdr:rowOff>127000</xdr:rowOff>
    </xdr:to>
    <xdr:sp macro="" textlink="">
      <xdr:nvSpPr>
        <xdr:cNvPr id="511" name="Flowchart: Alternate Process 91">
          <a:extLst>
            <a:ext uri="{FF2B5EF4-FFF2-40B4-BE49-F238E27FC236}">
              <a16:creationId xmlns:a16="http://schemas.microsoft.com/office/drawing/2014/main" id="{92F62B97-C0EC-4533-A41C-FE9BB9A60756}"/>
            </a:ext>
          </a:extLst>
        </xdr:cNvPr>
        <xdr:cNvSpPr/>
      </xdr:nvSpPr>
      <xdr:spPr>
        <a:xfrm>
          <a:off x="37525780" y="8522154"/>
          <a:ext cx="1562553" cy="748846"/>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Mirror its value to the other Slot Grid</a:t>
          </a:r>
        </a:p>
      </xdr:txBody>
    </xdr:sp>
    <xdr:clientData/>
  </xdr:twoCellAnchor>
  <xdr:twoCellAnchor>
    <xdr:from>
      <xdr:col>56</xdr:col>
      <xdr:colOff>179162</xdr:colOff>
      <xdr:row>50</xdr:row>
      <xdr:rowOff>101147</xdr:rowOff>
    </xdr:from>
    <xdr:to>
      <xdr:col>57</xdr:col>
      <xdr:colOff>429987</xdr:colOff>
      <xdr:row>50</xdr:row>
      <xdr:rowOff>106362</xdr:rowOff>
    </xdr:to>
    <xdr:cxnSp macro="">
      <xdr:nvCxnSpPr>
        <xdr:cNvPr id="512" name="Straight Arrow Connector 511">
          <a:extLst>
            <a:ext uri="{FF2B5EF4-FFF2-40B4-BE49-F238E27FC236}">
              <a16:creationId xmlns:a16="http://schemas.microsoft.com/office/drawing/2014/main" id="{45280C20-74EC-4D9D-A58C-C99DD8BA705C}"/>
            </a:ext>
          </a:extLst>
        </xdr:cNvPr>
        <xdr:cNvCxnSpPr>
          <a:stCxn id="507" idx="3"/>
          <a:endCxn id="511" idx="1"/>
        </xdr:cNvCxnSpPr>
      </xdr:nvCxnSpPr>
      <xdr:spPr>
        <a:xfrm flipV="1">
          <a:off x="36628162" y="8895897"/>
          <a:ext cx="901700" cy="52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1066800</xdr:colOff>
          <xdr:row>17</xdr:row>
          <xdr:rowOff>152400</xdr:rowOff>
        </xdr:from>
        <xdr:to>
          <xdr:col>10</xdr:col>
          <xdr:colOff>95250</xdr:colOff>
          <xdr:row>21</xdr:row>
          <xdr:rowOff>31750</xdr:rowOff>
        </xdr:to>
        <xdr:sp macro="" textlink="">
          <xdr:nvSpPr>
            <xdr:cNvPr id="60418" name="CommandButton2" hidden="1">
              <a:extLst>
                <a:ext uri="{63B3BB69-23CF-44E3-9099-C40C66FF867C}">
                  <a14:compatExt spid="_x0000_s60418"/>
                </a:ext>
                <a:ext uri="{FF2B5EF4-FFF2-40B4-BE49-F238E27FC236}">
                  <a16:creationId xmlns:a16="http://schemas.microsoft.com/office/drawing/2014/main" id="{00000000-0008-0000-0600-000002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279400</xdr:colOff>
          <xdr:row>2</xdr:row>
          <xdr:rowOff>127000</xdr:rowOff>
        </xdr:from>
        <xdr:to>
          <xdr:col>10</xdr:col>
          <xdr:colOff>342900</xdr:colOff>
          <xdr:row>6</xdr:row>
          <xdr:rowOff>69850</xdr:rowOff>
        </xdr:to>
        <xdr:sp macro="" textlink="">
          <xdr:nvSpPr>
            <xdr:cNvPr id="119809" name="CommandButton1" hidden="1">
              <a:extLst>
                <a:ext uri="{63B3BB69-23CF-44E3-9099-C40C66FF867C}">
                  <a14:compatExt spid="_x0000_s119809"/>
                </a:ext>
                <a:ext uri="{FF2B5EF4-FFF2-40B4-BE49-F238E27FC236}">
                  <a16:creationId xmlns:a16="http://schemas.microsoft.com/office/drawing/2014/main" id="{00000000-0008-0000-0700-000001D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222250</xdr:colOff>
          <xdr:row>10</xdr:row>
          <xdr:rowOff>88900</xdr:rowOff>
        </xdr:from>
        <xdr:to>
          <xdr:col>30</xdr:col>
          <xdr:colOff>400050</xdr:colOff>
          <xdr:row>14</xdr:row>
          <xdr:rowOff>31750</xdr:rowOff>
        </xdr:to>
        <xdr:sp macro="" textlink="">
          <xdr:nvSpPr>
            <xdr:cNvPr id="119810" name="CommandButton2" hidden="1">
              <a:extLst>
                <a:ext uri="{63B3BB69-23CF-44E3-9099-C40C66FF867C}">
                  <a14:compatExt spid="_x0000_s119810"/>
                </a:ext>
                <a:ext uri="{FF2B5EF4-FFF2-40B4-BE49-F238E27FC236}">
                  <a16:creationId xmlns:a16="http://schemas.microsoft.com/office/drawing/2014/main" id="{00000000-0008-0000-0700-000002D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412750</xdr:colOff>
          <xdr:row>15</xdr:row>
          <xdr:rowOff>152400</xdr:rowOff>
        </xdr:from>
        <xdr:to>
          <xdr:col>10</xdr:col>
          <xdr:colOff>590550</xdr:colOff>
          <xdr:row>19</xdr:row>
          <xdr:rowOff>38100</xdr:rowOff>
        </xdr:to>
        <xdr:sp macro="" textlink="">
          <xdr:nvSpPr>
            <xdr:cNvPr id="119811" name="CommandButton3" hidden="1">
              <a:extLst>
                <a:ext uri="{63B3BB69-23CF-44E3-9099-C40C66FF867C}">
                  <a14:compatExt spid="_x0000_s119811"/>
                </a:ext>
                <a:ext uri="{FF2B5EF4-FFF2-40B4-BE49-F238E27FC236}">
                  <a16:creationId xmlns:a16="http://schemas.microsoft.com/office/drawing/2014/main" id="{00000000-0008-0000-0700-000003D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781050</xdr:colOff>
          <xdr:row>17</xdr:row>
          <xdr:rowOff>19050</xdr:rowOff>
        </xdr:from>
        <xdr:to>
          <xdr:col>8</xdr:col>
          <xdr:colOff>0</xdr:colOff>
          <xdr:row>20</xdr:row>
          <xdr:rowOff>69850</xdr:rowOff>
        </xdr:to>
        <xdr:sp macro="" textlink="">
          <xdr:nvSpPr>
            <xdr:cNvPr id="228353" name="CommandButton1" hidden="1">
              <a:extLst>
                <a:ext uri="{63B3BB69-23CF-44E3-9099-C40C66FF867C}">
                  <a14:compatExt spid="_x0000_s228353"/>
                </a:ext>
                <a:ext uri="{FF2B5EF4-FFF2-40B4-BE49-F238E27FC236}">
                  <a16:creationId xmlns:a16="http://schemas.microsoft.com/office/drawing/2014/main" id="{00000000-0008-0000-0800-0000017C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279400</xdr:colOff>
          <xdr:row>2</xdr:row>
          <xdr:rowOff>127000</xdr:rowOff>
        </xdr:from>
        <xdr:to>
          <xdr:col>10</xdr:col>
          <xdr:colOff>342900</xdr:colOff>
          <xdr:row>6</xdr:row>
          <xdr:rowOff>69850</xdr:rowOff>
        </xdr:to>
        <xdr:sp macro="" textlink="">
          <xdr:nvSpPr>
            <xdr:cNvPr id="197633" name="CommandButton1" hidden="1">
              <a:extLst>
                <a:ext uri="{63B3BB69-23CF-44E3-9099-C40C66FF867C}">
                  <a14:compatExt spid="_x0000_s197633"/>
                </a:ext>
                <a:ext uri="{FF2B5EF4-FFF2-40B4-BE49-F238E27FC236}">
                  <a16:creationId xmlns:a16="http://schemas.microsoft.com/office/drawing/2014/main" id="{00000000-0008-0000-0900-0000010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222250</xdr:colOff>
          <xdr:row>10</xdr:row>
          <xdr:rowOff>88900</xdr:rowOff>
        </xdr:from>
        <xdr:to>
          <xdr:col>30</xdr:col>
          <xdr:colOff>400050</xdr:colOff>
          <xdr:row>14</xdr:row>
          <xdr:rowOff>31750</xdr:rowOff>
        </xdr:to>
        <xdr:sp macro="" textlink="">
          <xdr:nvSpPr>
            <xdr:cNvPr id="197634" name="CommandButton2" hidden="1">
              <a:extLst>
                <a:ext uri="{63B3BB69-23CF-44E3-9099-C40C66FF867C}">
                  <a14:compatExt spid="_x0000_s197634"/>
                </a:ext>
                <a:ext uri="{FF2B5EF4-FFF2-40B4-BE49-F238E27FC236}">
                  <a16:creationId xmlns:a16="http://schemas.microsoft.com/office/drawing/2014/main" id="{00000000-0008-0000-0900-0000020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412750</xdr:colOff>
          <xdr:row>15</xdr:row>
          <xdr:rowOff>152400</xdr:rowOff>
        </xdr:from>
        <xdr:to>
          <xdr:col>10</xdr:col>
          <xdr:colOff>590550</xdr:colOff>
          <xdr:row>19</xdr:row>
          <xdr:rowOff>38100</xdr:rowOff>
        </xdr:to>
        <xdr:sp macro="" textlink="">
          <xdr:nvSpPr>
            <xdr:cNvPr id="197635" name="CommandButton3" hidden="1">
              <a:extLst>
                <a:ext uri="{63B3BB69-23CF-44E3-9099-C40C66FF867C}">
                  <a14:compatExt spid="_x0000_s197635"/>
                </a:ext>
                <a:ext uri="{FF2B5EF4-FFF2-40B4-BE49-F238E27FC236}">
                  <a16:creationId xmlns:a16="http://schemas.microsoft.com/office/drawing/2014/main" id="{00000000-0008-0000-0900-0000030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450850</xdr:colOff>
          <xdr:row>20</xdr:row>
          <xdr:rowOff>31750</xdr:rowOff>
        </xdr:from>
        <xdr:to>
          <xdr:col>5</xdr:col>
          <xdr:colOff>19050</xdr:colOff>
          <xdr:row>23</xdr:row>
          <xdr:rowOff>31750</xdr:rowOff>
        </xdr:to>
        <xdr:sp macro="" textlink="">
          <xdr:nvSpPr>
            <xdr:cNvPr id="5121" name="CommandButton1" hidden="1">
              <a:extLst>
                <a:ext uri="{63B3BB69-23CF-44E3-9099-C40C66FF867C}">
                  <a14:compatExt spid="_x0000_s5121"/>
                </a:ext>
                <a:ext uri="{FF2B5EF4-FFF2-40B4-BE49-F238E27FC236}">
                  <a16:creationId xmlns:a16="http://schemas.microsoft.com/office/drawing/2014/main" id="{00000000-0008-0000-0A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450850</xdr:colOff>
          <xdr:row>24</xdr:row>
          <xdr:rowOff>50800</xdr:rowOff>
        </xdr:from>
        <xdr:to>
          <xdr:col>4</xdr:col>
          <xdr:colOff>450850</xdr:colOff>
          <xdr:row>26</xdr:row>
          <xdr:rowOff>184150</xdr:rowOff>
        </xdr:to>
        <xdr:sp macro="" textlink="">
          <xdr:nvSpPr>
            <xdr:cNvPr id="5122" name="CommandButton2" hidden="1">
              <a:extLst>
                <a:ext uri="{63B3BB69-23CF-44E3-9099-C40C66FF867C}">
                  <a14:compatExt spid="_x0000_s5122"/>
                </a:ext>
                <a:ext uri="{FF2B5EF4-FFF2-40B4-BE49-F238E27FC236}">
                  <a16:creationId xmlns:a16="http://schemas.microsoft.com/office/drawing/2014/main" id="{00000000-0008-0000-0A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374650</xdr:colOff>
          <xdr:row>16</xdr:row>
          <xdr:rowOff>88900</xdr:rowOff>
        </xdr:from>
        <xdr:to>
          <xdr:col>8</xdr:col>
          <xdr:colOff>666750</xdr:colOff>
          <xdr:row>20</xdr:row>
          <xdr:rowOff>57150</xdr:rowOff>
        </xdr:to>
        <xdr:sp macro="" textlink="">
          <xdr:nvSpPr>
            <xdr:cNvPr id="229377" name="CommandButton1" hidden="1">
              <a:extLst>
                <a:ext uri="{63B3BB69-23CF-44E3-9099-C40C66FF867C}">
                  <a14:compatExt spid="_x0000_s229377"/>
                </a:ext>
                <a:ext uri="{FF2B5EF4-FFF2-40B4-BE49-F238E27FC236}">
                  <a16:creationId xmlns:a16="http://schemas.microsoft.com/office/drawing/2014/main" id="{00000000-0008-0000-0B00-0000018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279400</xdr:colOff>
          <xdr:row>2</xdr:row>
          <xdr:rowOff>127000</xdr:rowOff>
        </xdr:from>
        <xdr:to>
          <xdr:col>10</xdr:col>
          <xdr:colOff>342900</xdr:colOff>
          <xdr:row>6</xdr:row>
          <xdr:rowOff>69850</xdr:rowOff>
        </xdr:to>
        <xdr:sp macro="" textlink="">
          <xdr:nvSpPr>
            <xdr:cNvPr id="217089" name="CommandButton1" hidden="1">
              <a:extLst>
                <a:ext uri="{63B3BB69-23CF-44E3-9099-C40C66FF867C}">
                  <a14:compatExt spid="_x0000_s217089"/>
                </a:ext>
                <a:ext uri="{FF2B5EF4-FFF2-40B4-BE49-F238E27FC236}">
                  <a16:creationId xmlns:a16="http://schemas.microsoft.com/office/drawing/2014/main" id="{00000000-0008-0000-0C00-0000015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222250</xdr:colOff>
          <xdr:row>10</xdr:row>
          <xdr:rowOff>88900</xdr:rowOff>
        </xdr:from>
        <xdr:to>
          <xdr:col>30</xdr:col>
          <xdr:colOff>400050</xdr:colOff>
          <xdr:row>14</xdr:row>
          <xdr:rowOff>31750</xdr:rowOff>
        </xdr:to>
        <xdr:sp macro="" textlink="">
          <xdr:nvSpPr>
            <xdr:cNvPr id="217090" name="CommandButton2" hidden="1">
              <a:extLst>
                <a:ext uri="{63B3BB69-23CF-44E3-9099-C40C66FF867C}">
                  <a14:compatExt spid="_x0000_s217090"/>
                </a:ext>
                <a:ext uri="{FF2B5EF4-FFF2-40B4-BE49-F238E27FC236}">
                  <a16:creationId xmlns:a16="http://schemas.microsoft.com/office/drawing/2014/main" id="{00000000-0008-0000-0C00-0000025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412750</xdr:colOff>
          <xdr:row>15</xdr:row>
          <xdr:rowOff>152400</xdr:rowOff>
        </xdr:from>
        <xdr:to>
          <xdr:col>10</xdr:col>
          <xdr:colOff>590550</xdr:colOff>
          <xdr:row>19</xdr:row>
          <xdr:rowOff>38100</xdr:rowOff>
        </xdr:to>
        <xdr:sp macro="" textlink="">
          <xdr:nvSpPr>
            <xdr:cNvPr id="217091" name="CommandButton3" hidden="1">
              <a:extLst>
                <a:ext uri="{63B3BB69-23CF-44E3-9099-C40C66FF867C}">
                  <a14:compatExt spid="_x0000_s217091"/>
                </a:ext>
                <a:ext uri="{FF2B5EF4-FFF2-40B4-BE49-F238E27FC236}">
                  <a16:creationId xmlns:a16="http://schemas.microsoft.com/office/drawing/2014/main" id="{00000000-0008-0000-0C00-0000035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6</xdr:col>
      <xdr:colOff>171449</xdr:colOff>
      <xdr:row>2</xdr:row>
      <xdr:rowOff>52387</xdr:rowOff>
    </xdr:from>
    <xdr:to>
      <xdr:col>20</xdr:col>
      <xdr:colOff>190500</xdr:colOff>
      <xdr:row>16</xdr:row>
      <xdr:rowOff>19050</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16</xdr:row>
      <xdr:rowOff>71437</xdr:rowOff>
    </xdr:from>
    <xdr:to>
      <xdr:col>20</xdr:col>
      <xdr:colOff>171451</xdr:colOff>
      <xdr:row>30</xdr:row>
      <xdr:rowOff>0</xdr:rowOff>
    </xdr:to>
    <xdr:graphicFrame macro="">
      <xdr:nvGraphicFramePr>
        <xdr:cNvPr id="3" name="Chart 2">
          <a:extLst>
            <a:ext uri="{FF2B5EF4-FFF2-40B4-BE49-F238E27FC236}">
              <a16:creationId xmlns:a16="http://schemas.microsoft.com/office/drawing/2014/main" id="{00000000-0008-0000-2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104775</xdr:colOff>
      <xdr:row>33</xdr:row>
      <xdr:rowOff>1</xdr:rowOff>
    </xdr:from>
    <xdr:to>
      <xdr:col>20</xdr:col>
      <xdr:colOff>247650</xdr:colOff>
      <xdr:row>48</xdr:row>
      <xdr:rowOff>57150</xdr:rowOff>
    </xdr:to>
    <xdr:graphicFrame macro="">
      <xdr:nvGraphicFramePr>
        <xdr:cNvPr id="6" name="Chart 5">
          <a:extLst>
            <a:ext uri="{FF2B5EF4-FFF2-40B4-BE49-F238E27FC236}">
              <a16:creationId xmlns:a16="http://schemas.microsoft.com/office/drawing/2014/main" id="{00000000-0008-0000-2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76201</xdr:colOff>
      <xdr:row>48</xdr:row>
      <xdr:rowOff>76201</xdr:rowOff>
    </xdr:from>
    <xdr:to>
      <xdr:col>20</xdr:col>
      <xdr:colOff>247651</xdr:colOff>
      <xdr:row>61</xdr:row>
      <xdr:rowOff>161925</xdr:rowOff>
    </xdr:to>
    <xdr:graphicFrame macro="">
      <xdr:nvGraphicFramePr>
        <xdr:cNvPr id="7" name="Chart 6">
          <a:extLst>
            <a:ext uri="{FF2B5EF4-FFF2-40B4-BE49-F238E27FC236}">
              <a16:creationId xmlns:a16="http://schemas.microsoft.com/office/drawing/2014/main" id="{00000000-0008-0000-2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391583</xdr:colOff>
      <xdr:row>2</xdr:row>
      <xdr:rowOff>52917</xdr:rowOff>
    </xdr:from>
    <xdr:to>
      <xdr:col>29</xdr:col>
      <xdr:colOff>554302</xdr:colOff>
      <xdr:row>48</xdr:row>
      <xdr:rowOff>10750</xdr:rowOff>
    </xdr:to>
    <xdr:pic>
      <xdr:nvPicPr>
        <xdr:cNvPr id="4" name="Picture 3">
          <a:extLst>
            <a:ext uri="{FF2B5EF4-FFF2-40B4-BE49-F238E27FC236}">
              <a16:creationId xmlns:a16="http://schemas.microsoft.com/office/drawing/2014/main" id="{B78ADEEB-17FE-24EB-0E59-959CC326330F}"/>
            </a:ext>
          </a:extLst>
        </xdr:cNvPr>
        <xdr:cNvPicPr>
          <a:picLocks noChangeAspect="1"/>
        </xdr:cNvPicPr>
      </xdr:nvPicPr>
      <xdr:blipFill>
        <a:blip xmlns:r="http://schemas.openxmlformats.org/officeDocument/2006/relationships" r:embed="rId5"/>
        <a:stretch>
          <a:fillRect/>
        </a:stretch>
      </xdr:blipFill>
      <xdr:spPr>
        <a:xfrm>
          <a:off x="15441083" y="486834"/>
          <a:ext cx="5687219" cy="87737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171449</xdr:colOff>
      <xdr:row>2</xdr:row>
      <xdr:rowOff>52387</xdr:rowOff>
    </xdr:from>
    <xdr:to>
      <xdr:col>20</xdr:col>
      <xdr:colOff>190500</xdr:colOff>
      <xdr:row>16</xdr:row>
      <xdr:rowOff>19050</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16</xdr:row>
      <xdr:rowOff>71437</xdr:rowOff>
    </xdr:from>
    <xdr:to>
      <xdr:col>20</xdr:col>
      <xdr:colOff>171451</xdr:colOff>
      <xdr:row>30</xdr:row>
      <xdr:rowOff>0</xdr:rowOff>
    </xdr:to>
    <xdr:graphicFrame macro="">
      <xdr:nvGraphicFramePr>
        <xdr:cNvPr id="3" name="Chart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486833</xdr:colOff>
      <xdr:row>2</xdr:row>
      <xdr:rowOff>98662</xdr:rowOff>
    </xdr:from>
    <xdr:to>
      <xdr:col>27</xdr:col>
      <xdr:colOff>198027</xdr:colOff>
      <xdr:row>26</xdr:row>
      <xdr:rowOff>30494</xdr:rowOff>
    </xdr:to>
    <xdr:pic>
      <xdr:nvPicPr>
        <xdr:cNvPr id="4" name="Picture 3">
          <a:extLst>
            <a:ext uri="{FF2B5EF4-FFF2-40B4-BE49-F238E27FC236}">
              <a16:creationId xmlns:a16="http://schemas.microsoft.com/office/drawing/2014/main" id="{0BB6DBF1-2656-C3A7-F127-E1EA8448078C}"/>
            </a:ext>
          </a:extLst>
        </xdr:cNvPr>
        <xdr:cNvPicPr>
          <a:picLocks noChangeAspect="1"/>
        </xdr:cNvPicPr>
      </xdr:nvPicPr>
      <xdr:blipFill>
        <a:blip xmlns:r="http://schemas.openxmlformats.org/officeDocument/2006/relationships" r:embed="rId3"/>
        <a:stretch>
          <a:fillRect/>
        </a:stretch>
      </xdr:blipFill>
      <xdr:spPr>
        <a:xfrm>
          <a:off x="16869833" y="521995"/>
          <a:ext cx="4304361" cy="42498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171449</xdr:colOff>
      <xdr:row>2</xdr:row>
      <xdr:rowOff>52387</xdr:rowOff>
    </xdr:from>
    <xdr:to>
      <xdr:col>20</xdr:col>
      <xdr:colOff>190500</xdr:colOff>
      <xdr:row>16</xdr:row>
      <xdr:rowOff>19050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16</xdr:row>
      <xdr:rowOff>71437</xdr:rowOff>
    </xdr:from>
    <xdr:to>
      <xdr:col>20</xdr:col>
      <xdr:colOff>171451</xdr:colOff>
      <xdr:row>30</xdr:row>
      <xdr:rowOff>0</xdr:rowOff>
    </xdr:to>
    <xdr:graphicFrame macro="">
      <xdr:nvGraphicFramePr>
        <xdr:cNvPr id="3" name="Chart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459165</xdr:colOff>
      <xdr:row>2</xdr:row>
      <xdr:rowOff>168767</xdr:rowOff>
    </xdr:from>
    <xdr:to>
      <xdr:col>26</xdr:col>
      <xdr:colOff>339705</xdr:colOff>
      <xdr:row>25</xdr:row>
      <xdr:rowOff>60534</xdr:rowOff>
    </xdr:to>
    <xdr:pic>
      <xdr:nvPicPr>
        <xdr:cNvPr id="4" name="Picture 3">
          <a:extLst>
            <a:ext uri="{FF2B5EF4-FFF2-40B4-BE49-F238E27FC236}">
              <a16:creationId xmlns:a16="http://schemas.microsoft.com/office/drawing/2014/main" id="{FB168953-D3D3-D139-A00C-5D8DD327987A}"/>
            </a:ext>
          </a:extLst>
        </xdr:cNvPr>
        <xdr:cNvPicPr>
          <a:picLocks noChangeAspect="1"/>
        </xdr:cNvPicPr>
      </xdr:nvPicPr>
      <xdr:blipFill>
        <a:blip xmlns:r="http://schemas.openxmlformats.org/officeDocument/2006/relationships" r:embed="rId3"/>
        <a:stretch>
          <a:fillRect/>
        </a:stretch>
      </xdr:blipFill>
      <xdr:spPr>
        <a:xfrm>
          <a:off x="16842165" y="592100"/>
          <a:ext cx="3817540" cy="402985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171449</xdr:colOff>
      <xdr:row>2</xdr:row>
      <xdr:rowOff>52387</xdr:rowOff>
    </xdr:from>
    <xdr:to>
      <xdr:col>20</xdr:col>
      <xdr:colOff>190500</xdr:colOff>
      <xdr:row>16</xdr:row>
      <xdr:rowOff>19050</xdr:rowOff>
    </xdr:to>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16</xdr:row>
      <xdr:rowOff>71437</xdr:rowOff>
    </xdr:from>
    <xdr:to>
      <xdr:col>20</xdr:col>
      <xdr:colOff>171451</xdr:colOff>
      <xdr:row>30</xdr:row>
      <xdr:rowOff>0</xdr:rowOff>
    </xdr:to>
    <xdr:graphicFrame macro="">
      <xdr:nvGraphicFramePr>
        <xdr:cNvPr id="3" name="Chart 2">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392944</xdr:colOff>
      <xdr:row>2</xdr:row>
      <xdr:rowOff>140437</xdr:rowOff>
    </xdr:from>
    <xdr:to>
      <xdr:col>26</xdr:col>
      <xdr:colOff>563687</xdr:colOff>
      <xdr:row>23</xdr:row>
      <xdr:rowOff>142346</xdr:rowOff>
    </xdr:to>
    <xdr:pic>
      <xdr:nvPicPr>
        <xdr:cNvPr id="5" name="Picture 4">
          <a:extLst>
            <a:ext uri="{FF2B5EF4-FFF2-40B4-BE49-F238E27FC236}">
              <a16:creationId xmlns:a16="http://schemas.microsoft.com/office/drawing/2014/main" id="{FE10A84D-CE27-4E1A-1D8D-0827B743B01C}"/>
            </a:ext>
          </a:extLst>
        </xdr:cNvPr>
        <xdr:cNvPicPr>
          <a:picLocks noChangeAspect="1"/>
        </xdr:cNvPicPr>
      </xdr:nvPicPr>
      <xdr:blipFill>
        <a:blip xmlns:r="http://schemas.openxmlformats.org/officeDocument/2006/relationships" r:embed="rId3"/>
        <a:stretch>
          <a:fillRect/>
        </a:stretch>
      </xdr:blipFill>
      <xdr:spPr>
        <a:xfrm>
          <a:off x="16775944" y="563770"/>
          <a:ext cx="4107743" cy="378015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171449</xdr:colOff>
      <xdr:row>2</xdr:row>
      <xdr:rowOff>52387</xdr:rowOff>
    </xdr:from>
    <xdr:to>
      <xdr:col>20</xdr:col>
      <xdr:colOff>190500</xdr:colOff>
      <xdr:row>16</xdr:row>
      <xdr:rowOff>19050</xdr:rowOff>
    </xdr:to>
    <xdr:graphicFrame macro="">
      <xdr:nvGraphicFramePr>
        <xdr:cNvPr id="2" name="Chart 1">
          <a:extLst>
            <a:ext uri="{FF2B5EF4-FFF2-40B4-BE49-F238E27FC236}">
              <a16:creationId xmlns:a16="http://schemas.microsoft.com/office/drawing/2014/main" id="{86B7809C-833C-46C3-A733-BB2C7C6AB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16</xdr:row>
      <xdr:rowOff>71437</xdr:rowOff>
    </xdr:from>
    <xdr:to>
      <xdr:col>20</xdr:col>
      <xdr:colOff>171451</xdr:colOff>
      <xdr:row>30</xdr:row>
      <xdr:rowOff>0</xdr:rowOff>
    </xdr:to>
    <xdr:graphicFrame macro="">
      <xdr:nvGraphicFramePr>
        <xdr:cNvPr id="3" name="Chart 2">
          <a:extLst>
            <a:ext uri="{FF2B5EF4-FFF2-40B4-BE49-F238E27FC236}">
              <a16:creationId xmlns:a16="http://schemas.microsoft.com/office/drawing/2014/main" id="{F9819F2D-BA65-4F9C-817B-DBC5956F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338243</xdr:colOff>
      <xdr:row>2</xdr:row>
      <xdr:rowOff>21167</xdr:rowOff>
    </xdr:from>
    <xdr:to>
      <xdr:col>27</xdr:col>
      <xdr:colOff>242099</xdr:colOff>
      <xdr:row>25</xdr:row>
      <xdr:rowOff>189251</xdr:rowOff>
    </xdr:to>
    <xdr:pic>
      <xdr:nvPicPr>
        <xdr:cNvPr id="4" name="Picture 3">
          <a:extLst>
            <a:ext uri="{FF2B5EF4-FFF2-40B4-BE49-F238E27FC236}">
              <a16:creationId xmlns:a16="http://schemas.microsoft.com/office/drawing/2014/main" id="{5F379BD1-1447-E169-9018-B15B870E0DD4}"/>
            </a:ext>
          </a:extLst>
        </xdr:cNvPr>
        <xdr:cNvPicPr>
          <a:picLocks noChangeAspect="1"/>
        </xdr:cNvPicPr>
      </xdr:nvPicPr>
      <xdr:blipFill>
        <a:blip xmlns:r="http://schemas.openxmlformats.org/officeDocument/2006/relationships" r:embed="rId3"/>
        <a:stretch>
          <a:fillRect/>
        </a:stretch>
      </xdr:blipFill>
      <xdr:spPr>
        <a:xfrm>
          <a:off x="15705243" y="455084"/>
          <a:ext cx="4200689" cy="454958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8</xdr:row>
      <xdr:rowOff>133349</xdr:rowOff>
    </xdr:from>
    <xdr:to>
      <xdr:col>23</xdr:col>
      <xdr:colOff>1676400</xdr:colOff>
      <xdr:row>35</xdr:row>
      <xdr:rowOff>57149</xdr:rowOff>
    </xdr:to>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8</xdr:row>
      <xdr:rowOff>47625</xdr:rowOff>
    </xdr:from>
    <xdr:to>
      <xdr:col>23</xdr:col>
      <xdr:colOff>1678780</xdr:colOff>
      <xdr:row>47</xdr:row>
      <xdr:rowOff>47625</xdr:rowOff>
    </xdr:to>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control" Target="../activeX/activeX1.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4.xml"/><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ontrol" Target="../activeX/activeX3.xml"/><Relationship Id="rId5" Type="http://schemas.openxmlformats.org/officeDocument/2006/relationships/image" Target="../media/image3.emf"/><Relationship Id="rId4" Type="http://schemas.openxmlformats.org/officeDocument/2006/relationships/control" Target="../activeX/activeX2.xml"/><Relationship Id="rId9" Type="http://schemas.openxmlformats.org/officeDocument/2006/relationships/image" Target="../media/image5.emf"/></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6.emf"/><Relationship Id="rId4" Type="http://schemas.openxmlformats.org/officeDocument/2006/relationships/control" Target="../activeX/activeX5.xml"/></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8.xml"/><Relationship Id="rId3" Type="http://schemas.openxmlformats.org/officeDocument/2006/relationships/vmlDrawing" Target="../drawings/vmlDrawing4.vml"/><Relationship Id="rId7" Type="http://schemas.openxmlformats.org/officeDocument/2006/relationships/image" Target="../media/image4.emf"/><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control" Target="../activeX/activeX7.xml"/><Relationship Id="rId5" Type="http://schemas.openxmlformats.org/officeDocument/2006/relationships/image" Target="../media/image7.emf"/><Relationship Id="rId4" Type="http://schemas.openxmlformats.org/officeDocument/2006/relationships/control" Target="../activeX/activeX6.xml"/><Relationship Id="rId9" Type="http://schemas.openxmlformats.org/officeDocument/2006/relationships/image" Target="../media/image3.emf"/></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image" Target="../media/image9.emf"/><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control" Target="../activeX/activeX10.xml"/><Relationship Id="rId5" Type="http://schemas.openxmlformats.org/officeDocument/2006/relationships/image" Target="../media/image8.emf"/><Relationship Id="rId4" Type="http://schemas.openxmlformats.org/officeDocument/2006/relationships/control" Target="../activeX/activeX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image" Target="../media/image10.emf"/><Relationship Id="rId4" Type="http://schemas.openxmlformats.org/officeDocument/2006/relationships/control" Target="../activeX/activeX11.xml"/></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14.xml"/><Relationship Id="rId3" Type="http://schemas.openxmlformats.org/officeDocument/2006/relationships/vmlDrawing" Target="../drawings/vmlDrawing7.vml"/><Relationship Id="rId7" Type="http://schemas.openxmlformats.org/officeDocument/2006/relationships/image" Target="../media/image4.emf"/><Relationship Id="rId2" Type="http://schemas.openxmlformats.org/officeDocument/2006/relationships/drawing" Target="../drawings/drawing10.xml"/><Relationship Id="rId1" Type="http://schemas.openxmlformats.org/officeDocument/2006/relationships/printerSettings" Target="../printerSettings/printerSettings11.bin"/><Relationship Id="rId6" Type="http://schemas.openxmlformats.org/officeDocument/2006/relationships/control" Target="../activeX/activeX13.xml"/><Relationship Id="rId5" Type="http://schemas.openxmlformats.org/officeDocument/2006/relationships/image" Target="../media/image5.emf"/><Relationship Id="rId4" Type="http://schemas.openxmlformats.org/officeDocument/2006/relationships/control" Target="../activeX/activeX12.xml"/><Relationship Id="rId9" Type="http://schemas.openxmlformats.org/officeDocument/2006/relationships/image" Target="../media/image3.emf"/></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5"/>
  </sheetPr>
  <dimension ref="A1:X122"/>
  <sheetViews>
    <sheetView zoomScaleNormal="100" workbookViewId="0">
      <selection activeCell="K22" sqref="K22"/>
    </sheetView>
  </sheetViews>
  <sheetFormatPr defaultColWidth="8.7265625" defaultRowHeight="14.5" x14ac:dyDescent="0.35"/>
  <cols>
    <col min="1" max="2" width="9.1796875" customWidth="1"/>
    <col min="3" max="3" width="16.1796875" customWidth="1"/>
    <col min="4" max="4" width="15.1796875" bestFit="1" customWidth="1"/>
    <col min="5" max="5" width="17.81640625" bestFit="1" customWidth="1"/>
    <col min="6" max="6" width="20.81640625" bestFit="1" customWidth="1"/>
    <col min="7" max="7" width="11.54296875" customWidth="1"/>
    <col min="8" max="8" width="6.7265625" customWidth="1"/>
    <col min="9" max="9" width="8.1796875" customWidth="1"/>
    <col min="10" max="10" width="8.54296875" customWidth="1"/>
    <col min="11" max="11" width="17.7265625" customWidth="1"/>
    <col min="12" max="12" width="17.54296875" customWidth="1"/>
    <col min="13" max="13" width="9.26953125" customWidth="1"/>
    <col min="14" max="14" width="17.81640625" customWidth="1"/>
    <col min="15" max="15" width="35.81640625" bestFit="1" customWidth="1"/>
    <col min="16" max="16" width="11.81640625" customWidth="1"/>
    <col min="17" max="17" width="11.81640625" bestFit="1" customWidth="1"/>
    <col min="18" max="18" width="11.81640625" customWidth="1"/>
    <col min="19" max="19" width="9.81640625" bestFit="1" customWidth="1"/>
    <col min="20" max="20" width="21.7265625" bestFit="1" customWidth="1"/>
    <col min="21" max="21" width="21.81640625" bestFit="1" customWidth="1"/>
    <col min="22" max="23" width="9.1796875" customWidth="1"/>
  </cols>
  <sheetData>
    <row r="1" spans="1:24" ht="19" thickBot="1" x14ac:dyDescent="0.5">
      <c r="A1" s="10" t="s">
        <v>13</v>
      </c>
      <c r="N1" s="1"/>
      <c r="O1" s="402"/>
      <c r="P1" s="402"/>
      <c r="Q1" s="402"/>
      <c r="R1" s="402"/>
      <c r="S1" s="402"/>
      <c r="T1" s="403" t="s">
        <v>384</v>
      </c>
      <c r="U1" s="404"/>
      <c r="V1" s="404"/>
      <c r="W1" s="404"/>
      <c r="X1" s="402"/>
    </row>
    <row r="2" spans="1:24" x14ac:dyDescent="0.35">
      <c r="A2" s="394" t="s">
        <v>377</v>
      </c>
      <c r="D2" s="395" t="s">
        <v>378</v>
      </c>
      <c r="E2" s="396" t="s">
        <v>379</v>
      </c>
      <c r="O2" s="402"/>
      <c r="P2" s="402"/>
      <c r="Q2" s="402"/>
      <c r="R2" s="402"/>
      <c r="S2" s="402"/>
      <c r="T2" s="405" t="s">
        <v>385</v>
      </c>
      <c r="U2" s="404">
        <v>10</v>
      </c>
      <c r="V2" s="406" t="s">
        <v>386</v>
      </c>
      <c r="W2" s="404">
        <v>40</v>
      </c>
      <c r="X2" s="403"/>
    </row>
    <row r="3" spans="1:24" ht="15" thickBot="1" x14ac:dyDescent="0.4">
      <c r="A3" t="s">
        <v>84</v>
      </c>
      <c r="D3" s="397" t="s">
        <v>383</v>
      </c>
      <c r="E3" s="398">
        <v>102571</v>
      </c>
      <c r="O3" s="403" t="s">
        <v>210</v>
      </c>
      <c r="P3" s="402"/>
      <c r="Q3" s="402"/>
      <c r="R3" s="402"/>
      <c r="S3" s="402"/>
      <c r="T3" s="405" t="s">
        <v>387</v>
      </c>
      <c r="U3" s="404">
        <v>2500</v>
      </c>
      <c r="V3" s="404"/>
      <c r="W3" s="404"/>
      <c r="X3" s="402"/>
    </row>
    <row r="4" spans="1:24" x14ac:dyDescent="0.35">
      <c r="A4" t="s">
        <v>72</v>
      </c>
      <c r="O4" s="407" t="s">
        <v>0</v>
      </c>
      <c r="P4" s="408" t="s">
        <v>45</v>
      </c>
      <c r="Q4" s="408" t="s">
        <v>46</v>
      </c>
      <c r="R4" s="409" t="s">
        <v>47</v>
      </c>
      <c r="S4" s="402"/>
      <c r="T4" s="407" t="s">
        <v>0</v>
      </c>
      <c r="U4" s="410" t="s">
        <v>45</v>
      </c>
      <c r="V4" s="410" t="s">
        <v>46</v>
      </c>
      <c r="W4" s="411" t="s">
        <v>47</v>
      </c>
      <c r="X4" s="402"/>
    </row>
    <row r="5" spans="1:24" x14ac:dyDescent="0.35">
      <c r="A5" t="s">
        <v>85</v>
      </c>
      <c r="O5" s="412" t="str">
        <f>BaseA!M4</f>
        <v>H1</v>
      </c>
      <c r="P5" s="470">
        <f>BaseA!N4</f>
        <v>20</v>
      </c>
      <c r="Q5" s="470">
        <f>BaseA!O4</f>
        <v>80</v>
      </c>
      <c r="R5" s="471">
        <f>BaseA!P4</f>
        <v>400</v>
      </c>
      <c r="S5" s="402"/>
      <c r="T5" s="413" t="s">
        <v>37</v>
      </c>
      <c r="U5" s="414">
        <f>P5*$U$3/$W$2</f>
        <v>1250</v>
      </c>
      <c r="V5" s="414">
        <f>Q5*$U$3/$W$2</f>
        <v>5000</v>
      </c>
      <c r="W5" s="415">
        <f>R5*$U$3/$W$2</f>
        <v>25000</v>
      </c>
      <c r="X5" s="402"/>
    </row>
    <row r="6" spans="1:24" x14ac:dyDescent="0.35">
      <c r="A6" t="s">
        <v>165</v>
      </c>
      <c r="O6" s="412" t="s">
        <v>38</v>
      </c>
      <c r="P6" s="470">
        <f>BaseA!N5</f>
        <v>16</v>
      </c>
      <c r="Q6" s="470">
        <f>BaseA!O5</f>
        <v>60</v>
      </c>
      <c r="R6" s="471">
        <f>BaseA!P5</f>
        <v>200</v>
      </c>
      <c r="S6" s="402"/>
      <c r="T6" s="413" t="s">
        <v>38</v>
      </c>
      <c r="U6" s="414">
        <f t="shared" ref="U6:W14" si="0">P6*$U$3/$W$2</f>
        <v>1000</v>
      </c>
      <c r="V6" s="414">
        <f t="shared" si="0"/>
        <v>3750</v>
      </c>
      <c r="W6" s="415">
        <f t="shared" si="0"/>
        <v>12500</v>
      </c>
      <c r="X6" s="402"/>
    </row>
    <row r="7" spans="1:24" x14ac:dyDescent="0.35">
      <c r="A7" t="s">
        <v>288</v>
      </c>
      <c r="O7" s="412" t="s">
        <v>39</v>
      </c>
      <c r="P7" s="470">
        <f>BaseA!N6</f>
        <v>12</v>
      </c>
      <c r="Q7" s="470">
        <f>BaseA!O6</f>
        <v>40</v>
      </c>
      <c r="R7" s="471">
        <f>BaseA!P6</f>
        <v>120</v>
      </c>
      <c r="S7" s="402"/>
      <c r="T7" s="413" t="s">
        <v>39</v>
      </c>
      <c r="U7" s="414">
        <f t="shared" si="0"/>
        <v>750</v>
      </c>
      <c r="V7" s="414">
        <f t="shared" si="0"/>
        <v>2500</v>
      </c>
      <c r="W7" s="415">
        <f t="shared" si="0"/>
        <v>7500</v>
      </c>
      <c r="X7" s="402"/>
    </row>
    <row r="8" spans="1:24" x14ac:dyDescent="0.35">
      <c r="A8" t="s">
        <v>171</v>
      </c>
      <c r="O8" s="412" t="s">
        <v>40</v>
      </c>
      <c r="P8" s="470">
        <f>BaseA!N7</f>
        <v>8</v>
      </c>
      <c r="Q8" s="470">
        <f>BaseA!O7</f>
        <v>28</v>
      </c>
      <c r="R8" s="471">
        <f>BaseA!P7</f>
        <v>80</v>
      </c>
      <c r="S8" s="402"/>
      <c r="T8" s="413" t="s">
        <v>40</v>
      </c>
      <c r="U8" s="414">
        <f t="shared" si="0"/>
        <v>500</v>
      </c>
      <c r="V8" s="414">
        <f t="shared" si="0"/>
        <v>1750</v>
      </c>
      <c r="W8" s="415">
        <f t="shared" si="0"/>
        <v>5000</v>
      </c>
      <c r="X8" s="402"/>
    </row>
    <row r="9" spans="1:24" x14ac:dyDescent="0.35">
      <c r="O9" s="412" t="s">
        <v>173</v>
      </c>
      <c r="P9" s="470">
        <f>BaseA!N8</f>
        <v>8</v>
      </c>
      <c r="Q9" s="470">
        <f>BaseA!O8</f>
        <v>28</v>
      </c>
      <c r="R9" s="471">
        <f>BaseA!P8</f>
        <v>80</v>
      </c>
      <c r="S9" s="402"/>
      <c r="T9" s="413" t="s">
        <v>173</v>
      </c>
      <c r="U9" s="414">
        <f t="shared" si="0"/>
        <v>500</v>
      </c>
      <c r="V9" s="414">
        <f t="shared" si="0"/>
        <v>1750</v>
      </c>
      <c r="W9" s="415">
        <f t="shared" si="0"/>
        <v>5000</v>
      </c>
      <c r="X9" s="402"/>
    </row>
    <row r="10" spans="1:24" x14ac:dyDescent="0.35">
      <c r="A10" s="50" t="s">
        <v>14</v>
      </c>
      <c r="O10" s="416" t="s">
        <v>41</v>
      </c>
      <c r="P10" s="472">
        <f>BaseA!N9</f>
        <v>8</v>
      </c>
      <c r="Q10" s="472">
        <f>BaseA!O9</f>
        <v>16</v>
      </c>
      <c r="R10" s="473">
        <f>BaseA!P9</f>
        <v>60</v>
      </c>
      <c r="S10" s="402"/>
      <c r="T10" s="417" t="s">
        <v>41</v>
      </c>
      <c r="U10" s="418">
        <f t="shared" si="0"/>
        <v>500</v>
      </c>
      <c r="V10" s="418">
        <f t="shared" si="0"/>
        <v>1000</v>
      </c>
      <c r="W10" s="419">
        <f t="shared" si="0"/>
        <v>3750</v>
      </c>
      <c r="X10" s="402"/>
    </row>
    <row r="11" spans="1:24" x14ac:dyDescent="0.35">
      <c r="A11" s="43" t="s">
        <v>184</v>
      </c>
      <c r="O11" s="416" t="s">
        <v>42</v>
      </c>
      <c r="P11" s="472">
        <f>BaseA!N10</f>
        <v>8</v>
      </c>
      <c r="Q11" s="472">
        <f>BaseA!O10</f>
        <v>16</v>
      </c>
      <c r="R11" s="473">
        <f>BaseA!P10</f>
        <v>60</v>
      </c>
      <c r="S11" s="402"/>
      <c r="T11" s="417" t="s">
        <v>42</v>
      </c>
      <c r="U11" s="418">
        <f t="shared" si="0"/>
        <v>500</v>
      </c>
      <c r="V11" s="418">
        <f t="shared" si="0"/>
        <v>1000</v>
      </c>
      <c r="W11" s="419">
        <f t="shared" si="0"/>
        <v>3750</v>
      </c>
      <c r="X11" s="402"/>
    </row>
    <row r="12" spans="1:24" x14ac:dyDescent="0.35">
      <c r="A12" t="s">
        <v>185</v>
      </c>
      <c r="O12" s="416" t="s">
        <v>43</v>
      </c>
      <c r="P12" s="472">
        <f>BaseA!N11</f>
        <v>4</v>
      </c>
      <c r="Q12" s="472">
        <f>BaseA!O11</f>
        <v>12</v>
      </c>
      <c r="R12" s="473">
        <f>BaseA!P11</f>
        <v>40</v>
      </c>
      <c r="S12" s="402"/>
      <c r="T12" s="417" t="s">
        <v>43</v>
      </c>
      <c r="U12" s="418">
        <f t="shared" si="0"/>
        <v>250</v>
      </c>
      <c r="V12" s="418">
        <f t="shared" si="0"/>
        <v>750</v>
      </c>
      <c r="W12" s="419">
        <f t="shared" si="0"/>
        <v>2500</v>
      </c>
      <c r="X12" s="402"/>
    </row>
    <row r="13" spans="1:24" x14ac:dyDescent="0.35">
      <c r="A13" t="s">
        <v>186</v>
      </c>
      <c r="O13" s="416" t="s">
        <v>44</v>
      </c>
      <c r="P13" s="472">
        <f>BaseA!N12</f>
        <v>4</v>
      </c>
      <c r="Q13" s="472">
        <f>BaseA!O12</f>
        <v>12</v>
      </c>
      <c r="R13" s="473">
        <f>BaseA!P12</f>
        <v>40</v>
      </c>
      <c r="S13" s="402"/>
      <c r="T13" s="417" t="s">
        <v>44</v>
      </c>
      <c r="U13" s="418">
        <f t="shared" si="0"/>
        <v>250</v>
      </c>
      <c r="V13" s="418">
        <f t="shared" si="0"/>
        <v>750</v>
      </c>
      <c r="W13" s="419">
        <f t="shared" si="0"/>
        <v>2500</v>
      </c>
      <c r="X13" s="402"/>
    </row>
    <row r="14" spans="1:24" ht="15" thickBot="1" x14ac:dyDescent="0.4">
      <c r="A14" t="s">
        <v>188</v>
      </c>
      <c r="B14" s="3"/>
      <c r="E14" s="3"/>
      <c r="F14" s="3"/>
      <c r="H14" s="3"/>
      <c r="I14" s="3"/>
      <c r="O14" s="420" t="s">
        <v>36</v>
      </c>
      <c r="P14" s="474">
        <f>BaseA!N13</f>
        <v>40</v>
      </c>
      <c r="Q14" s="474">
        <f>BaseA!O13</f>
        <v>200</v>
      </c>
      <c r="R14" s="475">
        <f>BaseA!P13</f>
        <v>1000</v>
      </c>
      <c r="S14" s="402"/>
      <c r="T14" s="421" t="s">
        <v>36</v>
      </c>
      <c r="U14" s="422">
        <f t="shared" si="0"/>
        <v>2500</v>
      </c>
      <c r="V14" s="422">
        <f t="shared" si="0"/>
        <v>12500</v>
      </c>
      <c r="W14" s="423">
        <f t="shared" si="0"/>
        <v>62500</v>
      </c>
      <c r="X14" s="403" t="s">
        <v>388</v>
      </c>
    </row>
    <row r="15" spans="1:24" x14ac:dyDescent="0.35">
      <c r="A15" s="43" t="s">
        <v>380</v>
      </c>
      <c r="B15" s="3"/>
      <c r="E15" s="3"/>
      <c r="F15" s="3"/>
      <c r="H15" s="3"/>
      <c r="I15" s="3"/>
    </row>
    <row r="16" spans="1:24" x14ac:dyDescent="0.35">
      <c r="A16" s="43" t="s">
        <v>289</v>
      </c>
      <c r="B16" s="3"/>
      <c r="E16" s="3"/>
      <c r="F16" s="3"/>
      <c r="H16" s="3"/>
      <c r="I16" s="3"/>
    </row>
    <row r="17" spans="1:22" ht="15" thickBot="1" x14ac:dyDescent="0.4">
      <c r="A17" s="43"/>
      <c r="B17" s="3"/>
      <c r="E17" s="3"/>
      <c r="F17" s="3"/>
      <c r="H17" s="3"/>
      <c r="I17" s="3"/>
      <c r="O17" s="424" t="s">
        <v>389</v>
      </c>
      <c r="P17" s="402"/>
      <c r="Q17" s="402"/>
      <c r="R17" s="402"/>
      <c r="S17" s="402"/>
      <c r="T17" s="402"/>
      <c r="U17" s="402"/>
    </row>
    <row r="18" spans="1:22" ht="15" thickBot="1" x14ac:dyDescent="0.4">
      <c r="A18" s="50" t="s">
        <v>252</v>
      </c>
      <c r="E18" s="3"/>
      <c r="F18" s="3"/>
      <c r="H18" s="3"/>
      <c r="I18" s="3"/>
      <c r="K18" s="1"/>
      <c r="O18" s="425"/>
      <c r="P18" s="426" t="s">
        <v>58</v>
      </c>
      <c r="Q18" s="426" t="s">
        <v>211</v>
      </c>
      <c r="R18" s="426" t="s">
        <v>212</v>
      </c>
      <c r="S18" s="426" t="s">
        <v>213</v>
      </c>
      <c r="T18" s="426" t="s">
        <v>214</v>
      </c>
      <c r="U18" s="427" t="s">
        <v>215</v>
      </c>
    </row>
    <row r="19" spans="1:22" x14ac:dyDescent="0.35">
      <c r="A19" s="43" t="s">
        <v>290</v>
      </c>
      <c r="E19" s="3"/>
      <c r="F19" s="3"/>
      <c r="H19" s="3"/>
      <c r="I19" s="3"/>
      <c r="K19" s="1"/>
      <c r="O19" s="428" t="s">
        <v>216</v>
      </c>
      <c r="P19" s="429">
        <f>Summary!B16</f>
        <v>0.37003550681022779</v>
      </c>
      <c r="Q19" s="429">
        <f>MathSheet!E3 - Q20</f>
        <v>0.19192361942196279</v>
      </c>
      <c r="R19" s="430">
        <f>MathSheet!E5</f>
        <v>3.2267684325505002</v>
      </c>
      <c r="S19" s="431"/>
      <c r="T19" s="432">
        <f>1/Q19</f>
        <v>5.2104061137019437</v>
      </c>
      <c r="U19" s="433"/>
    </row>
    <row r="20" spans="1:22" x14ac:dyDescent="0.35">
      <c r="A20" s="43" t="s">
        <v>187</v>
      </c>
      <c r="E20" s="3"/>
      <c r="F20" s="3"/>
      <c r="H20" s="3"/>
      <c r="I20" s="3"/>
      <c r="L20" s="8"/>
      <c r="M20" s="7"/>
      <c r="O20" s="434" t="s">
        <v>423</v>
      </c>
      <c r="P20" s="435">
        <f>Summary!B17</f>
        <v>0.3360049379857053</v>
      </c>
      <c r="Q20" s="435">
        <f>MathSheet!E24</f>
        <v>4.5661840578037176E-2</v>
      </c>
      <c r="R20" s="436"/>
      <c r="S20" s="436"/>
      <c r="T20" s="437">
        <f>1/Q20</f>
        <v>21.900124641076964</v>
      </c>
      <c r="U20" s="438"/>
    </row>
    <row r="21" spans="1:22" x14ac:dyDescent="0.35">
      <c r="A21" s="43" t="s">
        <v>291</v>
      </c>
      <c r="E21" s="3"/>
      <c r="F21" s="3"/>
      <c r="H21" s="3"/>
      <c r="I21" s="3"/>
      <c r="L21" s="8"/>
      <c r="M21" s="7"/>
      <c r="O21" s="444" t="s">
        <v>222</v>
      </c>
      <c r="P21" s="439">
        <f>Summary!G24</f>
        <v>5.5556590915104474E-2</v>
      </c>
      <c r="Q21" s="439"/>
      <c r="R21" s="440"/>
      <c r="S21" s="441">
        <f>Summary!D24</f>
        <v>1.9345391461494869E-3</v>
      </c>
      <c r="T21" s="442">
        <f>1/S21</f>
        <v>516.9189788639859</v>
      </c>
      <c r="U21" s="443">
        <f>Summary!F24</f>
        <v>28.718256245000003</v>
      </c>
    </row>
    <row r="22" spans="1:22" x14ac:dyDescent="0.35">
      <c r="A22" s="43"/>
      <c r="B22" s="399" t="s">
        <v>192</v>
      </c>
      <c r="C22" s="84" t="s">
        <v>292</v>
      </c>
      <c r="D22" s="264"/>
      <c r="E22" s="3"/>
      <c r="F22" s="3"/>
      <c r="H22" s="3"/>
      <c r="I22" s="3"/>
      <c r="L22" s="8"/>
      <c r="M22" s="7"/>
      <c r="O22" s="444" t="s">
        <v>223</v>
      </c>
      <c r="P22" s="439">
        <f>Summary!G25</f>
        <v>5.5773064758685896E-2</v>
      </c>
      <c r="Q22" s="439"/>
      <c r="R22" s="440"/>
      <c r="S22" s="441">
        <f>Summary!D25</f>
        <v>1.7989157707198377E-3</v>
      </c>
      <c r="T22" s="442">
        <f t="shared" ref="T22:T25" si="1">1/S22</f>
        <v>555.89039591322785</v>
      </c>
      <c r="U22" s="443">
        <f>Summary!F25</f>
        <v>31.00371105</v>
      </c>
    </row>
    <row r="23" spans="1:22" x14ac:dyDescent="0.35">
      <c r="A23" s="43"/>
      <c r="B23" s="263"/>
      <c r="C23" s="265"/>
      <c r="D23" s="264"/>
      <c r="E23" s="3"/>
      <c r="F23" s="3"/>
      <c r="H23" s="3"/>
      <c r="I23" s="3"/>
      <c r="L23" s="8"/>
      <c r="M23" s="7"/>
      <c r="O23" s="444" t="s">
        <v>224</v>
      </c>
      <c r="P23" s="439">
        <f>Summary!G26</f>
        <v>5.6884678080826583E-2</v>
      </c>
      <c r="Q23" s="439"/>
      <c r="R23" s="440"/>
      <c r="S23" s="441">
        <f>Summary!D26</f>
        <v>1.7352203034682106E-3</v>
      </c>
      <c r="T23" s="442">
        <f t="shared" si="1"/>
        <v>576.29570032190441</v>
      </c>
      <c r="U23" s="443">
        <f>Summary!F26</f>
        <v>32.782395392176042</v>
      </c>
    </row>
    <row r="24" spans="1:22" x14ac:dyDescent="0.35">
      <c r="A24" s="50" t="s">
        <v>191</v>
      </c>
      <c r="O24" s="444" t="s">
        <v>287</v>
      </c>
      <c r="P24" s="445">
        <f>Summary!G27</f>
        <v>5.7069563112943505E-2</v>
      </c>
      <c r="Q24" s="446"/>
      <c r="R24" s="446"/>
      <c r="S24" s="445">
        <f>Summary!D27</f>
        <v>1.6725909325702893E-3</v>
      </c>
      <c r="T24" s="442">
        <f t="shared" si="1"/>
        <v>597.87481835937535</v>
      </c>
      <c r="U24" s="447">
        <f>Summary!F27</f>
        <v>34.120454680000009</v>
      </c>
    </row>
    <row r="25" spans="1:22" ht="15" thickBot="1" x14ac:dyDescent="0.4">
      <c r="A25" t="s">
        <v>265</v>
      </c>
      <c r="O25" s="448" t="s">
        <v>424</v>
      </c>
      <c r="P25" s="449">
        <f>MathSheet!B6</f>
        <v>1.3040892557895898E-2</v>
      </c>
      <c r="Q25" s="450"/>
      <c r="R25" s="450"/>
      <c r="S25" s="449">
        <f>MathSheet!I43</f>
        <v>4.2829405844297525E-4</v>
      </c>
      <c r="T25" s="451">
        <f t="shared" si="1"/>
        <v>2334.8444375703239</v>
      </c>
      <c r="U25" s="452">
        <f>P25/S25</f>
        <v>30.448455449755471</v>
      </c>
    </row>
    <row r="26" spans="1:22" x14ac:dyDescent="0.35">
      <c r="A26" t="s">
        <v>293</v>
      </c>
      <c r="O26" s="453" t="s">
        <v>217</v>
      </c>
      <c r="P26" s="454">
        <f>SUM(P19:P25)</f>
        <v>0.9443652342213894</v>
      </c>
      <c r="Q26" s="455">
        <f>MathSheet!E4</f>
        <v>0.24262319799999998</v>
      </c>
      <c r="R26" s="456">
        <f>MathSheet!E6</f>
        <v>5.6772444217501796</v>
      </c>
      <c r="S26" s="455">
        <f>SUM(S19:S24)</f>
        <v>7.1412661529078247E-3</v>
      </c>
      <c r="T26" s="457">
        <f>1/S26</f>
        <v>140.03119035030139</v>
      </c>
      <c r="U26" s="2"/>
    </row>
    <row r="27" spans="1:22" x14ac:dyDescent="0.35">
      <c r="A27" t="s">
        <v>294</v>
      </c>
    </row>
    <row r="28" spans="1:22" ht="15" thickBot="1" x14ac:dyDescent="0.4">
      <c r="A28" t="s">
        <v>295</v>
      </c>
      <c r="O28" s="424" t="s">
        <v>390</v>
      </c>
      <c r="P28" s="331"/>
      <c r="Q28" s="331"/>
      <c r="R28" s="331"/>
      <c r="S28" s="331"/>
      <c r="T28" s="331"/>
      <c r="U28" s="331"/>
      <c r="V28" s="331"/>
    </row>
    <row r="29" spans="1:22" x14ac:dyDescent="0.35">
      <c r="A29" t="s">
        <v>264</v>
      </c>
      <c r="O29" s="546" t="s">
        <v>391</v>
      </c>
      <c r="P29" s="548" t="s">
        <v>58</v>
      </c>
      <c r="Q29" s="548" t="s">
        <v>211</v>
      </c>
      <c r="R29" s="550" t="s">
        <v>345</v>
      </c>
      <c r="S29" s="550" t="s">
        <v>392</v>
      </c>
      <c r="T29" s="550" t="s">
        <v>393</v>
      </c>
      <c r="U29" s="544" t="s">
        <v>394</v>
      </c>
      <c r="V29" s="331"/>
    </row>
    <row r="30" spans="1:22" ht="15" thickBot="1" x14ac:dyDescent="0.4">
      <c r="A30" t="s">
        <v>255</v>
      </c>
      <c r="O30" s="547"/>
      <c r="P30" s="549"/>
      <c r="Q30" s="549"/>
      <c r="R30" s="551"/>
      <c r="S30" s="551"/>
      <c r="T30" s="551"/>
      <c r="U30" s="545"/>
      <c r="V30" s="331"/>
    </row>
    <row r="31" spans="1:22" x14ac:dyDescent="0.35">
      <c r="B31" s="9" t="s">
        <v>198</v>
      </c>
      <c r="C31" s="9" t="s">
        <v>237</v>
      </c>
      <c r="D31" s="9" t="s">
        <v>204</v>
      </c>
      <c r="E31" s="9" t="s">
        <v>205</v>
      </c>
      <c r="F31" s="9" t="s">
        <v>208</v>
      </c>
      <c r="O31" s="458" t="s">
        <v>395</v>
      </c>
      <c r="P31" s="459">
        <f>$P$26</f>
        <v>0.9443652342213894</v>
      </c>
      <c r="Q31" s="459">
        <f>$Q$26</f>
        <v>0.24262319799999998</v>
      </c>
      <c r="R31" s="460">
        <f>POWER(S31, 2)</f>
        <v>32.231104224293532</v>
      </c>
      <c r="S31" s="461">
        <f>$R$26</f>
        <v>5.6772444217501796</v>
      </c>
      <c r="T31" s="460">
        <f>S31*1.96</f>
        <v>11.127399066630351</v>
      </c>
      <c r="U31" s="462" t="s">
        <v>396</v>
      </c>
      <c r="V31" s="463" t="s">
        <v>397</v>
      </c>
    </row>
    <row r="32" spans="1:22" ht="15" thickBot="1" x14ac:dyDescent="0.4">
      <c r="B32" s="11" t="s">
        <v>195</v>
      </c>
      <c r="C32" s="260">
        <v>0.5</v>
      </c>
      <c r="D32" s="260">
        <v>10</v>
      </c>
      <c r="E32" s="260">
        <v>20</v>
      </c>
      <c r="F32" s="260">
        <v>2</v>
      </c>
      <c r="O32" s="464" t="s">
        <v>398</v>
      </c>
      <c r="P32" s="465">
        <f>$P$26</f>
        <v>0.9443652342213894</v>
      </c>
      <c r="Q32" s="465">
        <f>$Q$26</f>
        <v>0.24262319799999998</v>
      </c>
      <c r="R32" s="466">
        <f t="shared" ref="R32" si="2">POWER(S32, 2)</f>
        <v>32.231104224293532</v>
      </c>
      <c r="S32" s="467">
        <f>$R$26</f>
        <v>5.6772444217501796</v>
      </c>
      <c r="T32" s="466">
        <f t="shared" ref="T32" si="3">S32*1.96</f>
        <v>11.127399066630351</v>
      </c>
      <c r="U32" s="468" t="s">
        <v>396</v>
      </c>
      <c r="V32" s="469" t="s">
        <v>399</v>
      </c>
    </row>
    <row r="33" spans="1:20" x14ac:dyDescent="0.35">
      <c r="B33" s="11" t="s">
        <v>425</v>
      </c>
      <c r="C33" s="260">
        <v>2</v>
      </c>
      <c r="D33" s="260">
        <v>30</v>
      </c>
      <c r="E33" s="260">
        <v>50</v>
      </c>
      <c r="F33" s="260">
        <v>3</v>
      </c>
    </row>
    <row r="34" spans="1:20" ht="15" thickBot="1" x14ac:dyDescent="0.4">
      <c r="B34" s="11" t="s">
        <v>426</v>
      </c>
      <c r="C34" s="260">
        <v>5</v>
      </c>
      <c r="D34" s="260">
        <v>250</v>
      </c>
      <c r="E34" s="260">
        <v>500</v>
      </c>
      <c r="F34" s="260">
        <v>4</v>
      </c>
      <c r="O34" s="424" t="s">
        <v>218</v>
      </c>
      <c r="P34" s="331"/>
      <c r="Q34" s="331"/>
      <c r="R34" s="331"/>
    </row>
    <row r="35" spans="1:20" x14ac:dyDescent="0.35">
      <c r="B35" s="11" t="s">
        <v>197</v>
      </c>
      <c r="C35" s="260">
        <v>10</v>
      </c>
      <c r="D35" s="260">
        <v>5000</v>
      </c>
      <c r="E35" s="260">
        <v>10000</v>
      </c>
      <c r="F35" s="260">
        <v>5</v>
      </c>
      <c r="O35" s="476" t="s">
        <v>400</v>
      </c>
      <c r="P35" s="477">
        <f>MathSheet!H6</f>
        <v>10000</v>
      </c>
      <c r="Q35" s="478" t="s">
        <v>110</v>
      </c>
      <c r="R35" s="479"/>
    </row>
    <row r="36" spans="1:20" x14ac:dyDescent="0.35">
      <c r="O36" s="480" t="s">
        <v>401</v>
      </c>
      <c r="P36" s="481">
        <f>MathSheet!H7</f>
        <v>6.0134175798496279E-8</v>
      </c>
      <c r="Q36" s="482" t="s">
        <v>80</v>
      </c>
      <c r="R36" s="483">
        <f>1/P36</f>
        <v>16629478.773449924</v>
      </c>
    </row>
    <row r="37" spans="1:20" x14ac:dyDescent="0.35">
      <c r="B37" s="400" t="s">
        <v>28</v>
      </c>
      <c r="C37" s="84" t="s">
        <v>253</v>
      </c>
      <c r="O37" s="484" t="s">
        <v>219</v>
      </c>
      <c r="P37" s="485">
        <f>MathSheet!J7</f>
        <v>16629478.773449924</v>
      </c>
      <c r="Q37" s="486"/>
      <c r="R37" s="487"/>
    </row>
    <row r="38" spans="1:20" ht="15" thickBot="1" x14ac:dyDescent="0.4">
      <c r="O38" s="488" t="s">
        <v>402</v>
      </c>
      <c r="P38" s="489">
        <f>P70*P35</f>
        <v>25000000</v>
      </c>
      <c r="Q38" s="490">
        <f>P38/100</f>
        <v>250000</v>
      </c>
      <c r="R38" s="491" t="s">
        <v>403</v>
      </c>
    </row>
    <row r="40" spans="1:20" ht="15" thickBot="1" x14ac:dyDescent="0.4">
      <c r="A40" s="50" t="s">
        <v>254</v>
      </c>
      <c r="B40" s="3"/>
      <c r="E40" s="3"/>
      <c r="F40" s="3"/>
      <c r="G40" s="3"/>
      <c r="H40" s="3"/>
      <c r="I40" s="3"/>
      <c r="O40" s="492" t="s">
        <v>404</v>
      </c>
      <c r="P40" s="493"/>
      <c r="Q40" s="493"/>
      <c r="R40" s="493"/>
      <c r="S40" s="493"/>
      <c r="T40" s="493"/>
    </row>
    <row r="41" spans="1:20" ht="15" thickBot="1" x14ac:dyDescent="0.4">
      <c r="A41" s="43" t="s">
        <v>296</v>
      </c>
      <c r="B41" s="3"/>
      <c r="E41" s="3"/>
      <c r="F41" s="3"/>
      <c r="G41" s="3"/>
      <c r="H41" s="3"/>
      <c r="I41" s="3"/>
      <c r="O41" s="494" t="s">
        <v>405</v>
      </c>
      <c r="P41" s="495">
        <v>5</v>
      </c>
      <c r="Q41" s="495">
        <v>10</v>
      </c>
      <c r="R41" s="495">
        <v>20</v>
      </c>
      <c r="S41" s="495">
        <v>50</v>
      </c>
      <c r="T41" s="496">
        <v>100</v>
      </c>
    </row>
    <row r="42" spans="1:20" x14ac:dyDescent="0.35">
      <c r="A42" s="43" t="s">
        <v>297</v>
      </c>
      <c r="B42" s="3"/>
      <c r="E42" s="3"/>
      <c r="F42" s="3"/>
      <c r="G42" s="3"/>
      <c r="H42" s="3"/>
      <c r="I42" s="3"/>
      <c r="O42" s="497" t="s">
        <v>220</v>
      </c>
      <c r="P42" s="498">
        <f>1 - (1-MathSheet!$E$4)^P41</f>
        <v>0.75079313947384851</v>
      </c>
      <c r="Q42" s="498">
        <f>1 - (1-MathSheet!$E$4)^Q41</f>
        <v>0.93789594066669935</v>
      </c>
      <c r="R42" s="498">
        <f>1 - (1-MathSheet!$E$4)^R41</f>
        <v>0.99614308581432587</v>
      </c>
      <c r="S42" s="498">
        <f>1 - (1-MathSheet!$E$4)^S41</f>
        <v>0.99999907615323935</v>
      </c>
      <c r="T42" s="499">
        <f>1 - (1-MathSheet!$E$4)^T41</f>
        <v>0.99999999999914646</v>
      </c>
    </row>
    <row r="43" spans="1:20" x14ac:dyDescent="0.35">
      <c r="A43" s="43" t="s">
        <v>259</v>
      </c>
      <c r="B43" s="3"/>
      <c r="E43" s="3"/>
      <c r="F43" s="3"/>
      <c r="G43" s="3"/>
      <c r="H43" s="3"/>
      <c r="I43" s="3"/>
      <c r="O43" s="500" t="s">
        <v>221</v>
      </c>
      <c r="P43" s="153">
        <f>1 - NORMDIST(4.99,  P41 * MathSheet!$B$7,MathSheet!$E$6 * P41^0.5, TRUE)</f>
        <v>0.4915730277507413</v>
      </c>
      <c r="Q43" s="153">
        <f>1 - NORMDIST(4.99,  Q41 * MathSheet!$B$7,MathSheet!$E$6 * Q41^0.5, TRUE)</f>
        <v>0.59796086514411406</v>
      </c>
      <c r="R43" s="153">
        <f>1 - NORMDIST(4.99,  R41 * MathSheet!$B$7,MathSheet!$E$6 * R41^0.5, TRUE)</f>
        <v>0.70793641977923549</v>
      </c>
      <c r="S43" s="153">
        <f>1 - NORMDIST(4.99,  S41 * MathSheet!$B$7,MathSheet!$E$6 * S41^0.5, TRUE)</f>
        <v>0.85358070421883525</v>
      </c>
      <c r="T43" s="501">
        <f>1 - NORMDIST(4.99,  T41 * MathSheet!$B$7,MathSheet!$E$6 * T41^0.5, TRUE)</f>
        <v>0.94243258391106588</v>
      </c>
    </row>
    <row r="44" spans="1:20" x14ac:dyDescent="0.35">
      <c r="A44" t="s">
        <v>256</v>
      </c>
      <c r="B44" s="3"/>
      <c r="C44" s="125"/>
      <c r="D44" s="9"/>
      <c r="E44" s="3"/>
      <c r="F44" s="3"/>
      <c r="G44" s="3"/>
      <c r="H44" s="3"/>
      <c r="I44" s="3"/>
      <c r="O44" s="502" t="s">
        <v>225</v>
      </c>
      <c r="P44" s="503">
        <f>1 - (1-Summary!$B12)^P41</f>
        <v>0.20838967940028863</v>
      </c>
      <c r="Q44" s="503">
        <f>1 - (1-Summary!$B12)^Q41</f>
        <v>0.37335310032002222</v>
      </c>
      <c r="R44" s="503">
        <f>1 - (1-Summary!$B12)^R41</f>
        <v>0.60731366312147195</v>
      </c>
      <c r="S44" s="503">
        <f>1 - (1-Summary!$B12)^S41</f>
        <v>0.90336944437272637</v>
      </c>
      <c r="T44" s="504">
        <f>1 - (1-Summary!$B12)^T41</f>
        <v>0.99066253571916441</v>
      </c>
    </row>
    <row r="45" spans="1:20" x14ac:dyDescent="0.35">
      <c r="A45" s="43" t="s">
        <v>300</v>
      </c>
      <c r="B45" s="3"/>
      <c r="C45" s="2"/>
      <c r="D45" s="2"/>
      <c r="E45" s="3"/>
      <c r="F45" s="3"/>
      <c r="G45" s="3"/>
      <c r="H45" s="3"/>
      <c r="I45" s="3"/>
      <c r="O45" s="444" t="s">
        <v>222</v>
      </c>
      <c r="P45" s="505">
        <f>1 - (1-Summary!$D24)^P$41</f>
        <v>9.6353436426652728E-3</v>
      </c>
      <c r="Q45" s="505">
        <f>1 - (1-Summary!$D24)^Q$41</f>
        <v>1.9177847438218265E-2</v>
      </c>
      <c r="R45" s="505">
        <f>1 - (1-Summary!$D24)^R$41</f>
        <v>3.79879050440729E-2</v>
      </c>
      <c r="S45" s="505">
        <f>1 - (1-Summary!$D24)^S$41</f>
        <v>9.2281199287770788E-2</v>
      </c>
      <c r="T45" s="506">
        <f>1 - (1-Summary!$D24)^T$41</f>
        <v>0.17604657883355224</v>
      </c>
    </row>
    <row r="46" spans="1:20" x14ac:dyDescent="0.35">
      <c r="A46" s="43" t="s">
        <v>298</v>
      </c>
      <c r="B46" s="3"/>
      <c r="C46" s="2"/>
      <c r="D46" s="2"/>
      <c r="E46" s="3"/>
      <c r="F46" s="3"/>
      <c r="G46" s="3"/>
      <c r="H46" s="3"/>
      <c r="I46" s="3"/>
      <c r="O46" s="444" t="s">
        <v>223</v>
      </c>
      <c r="P46" s="505">
        <f>1 - (1-Summary!$D25)^P$41</f>
        <v>8.9622760364315157E-3</v>
      </c>
      <c r="Q46" s="505">
        <f>1 - (1-Summary!$D25)^Q$41</f>
        <v>1.7844229681109769E-2</v>
      </c>
      <c r="R46" s="505">
        <f>1 - (1-Summary!$D25)^R$41</f>
        <v>3.5370042829307335E-2</v>
      </c>
      <c r="S46" s="505">
        <f>1 - (1-Summary!$D25)^S$41</f>
        <v>8.6093296917670314E-2</v>
      </c>
      <c r="T46" s="506">
        <f>1 - (1-Summary!$D25)^T$41</f>
        <v>0.16477453806118647</v>
      </c>
    </row>
    <row r="47" spans="1:20" x14ac:dyDescent="0.35">
      <c r="A47" s="43" t="s">
        <v>299</v>
      </c>
      <c r="B47" s="3"/>
      <c r="C47" s="2"/>
      <c r="D47" s="2"/>
      <c r="E47" s="3"/>
      <c r="F47" s="3"/>
      <c r="G47" s="3"/>
      <c r="H47" s="3"/>
      <c r="I47" s="3"/>
      <c r="O47" s="444" t="s">
        <v>224</v>
      </c>
      <c r="P47" s="505">
        <f>1 - (1-Summary!$D26)^P$41</f>
        <v>8.6460438243117776E-3</v>
      </c>
      <c r="Q47" s="505">
        <f>1 - (1-Summary!$D26)^Q$41</f>
        <v>1.7217333574811478E-2</v>
      </c>
      <c r="R47" s="505">
        <f>1 - (1-Summary!$D26)^R$41</f>
        <v>3.4138230574196737E-2</v>
      </c>
      <c r="S47" s="505">
        <f>1 - (1-Summary!$D26)^S$41</f>
        <v>8.3172902733574139E-2</v>
      </c>
      <c r="T47" s="506">
        <f>1 - (1-Summary!$D26)^T$41</f>
        <v>0.15942807371801959</v>
      </c>
    </row>
    <row r="48" spans="1:20" x14ac:dyDescent="0.35">
      <c r="A48" s="43" t="s">
        <v>301</v>
      </c>
      <c r="B48" s="3"/>
      <c r="C48" s="2"/>
      <c r="D48" s="2"/>
      <c r="E48" s="3"/>
      <c r="F48" s="3"/>
      <c r="G48" s="3"/>
      <c r="H48" s="3"/>
      <c r="I48" s="3"/>
      <c r="O48" s="444" t="s">
        <v>287</v>
      </c>
      <c r="P48" s="505">
        <f>1 - (1-Summary!$D27)^P$41</f>
        <v>8.335025811197827E-3</v>
      </c>
      <c r="Q48" s="505">
        <f>1 - (1-Summary!$D27)^Q$41</f>
        <v>1.6600578967122304E-2</v>
      </c>
      <c r="R48" s="505">
        <f>1 - (1-Summary!$D27)^R$41</f>
        <v>3.2925578712201031E-2</v>
      </c>
      <c r="S48" s="505">
        <f>1 - (1-Summary!$D27)^S$41</f>
        <v>8.0292471902722151E-2</v>
      </c>
      <c r="T48" s="506">
        <f>1 - (1-Summary!$D27)^T$41</f>
        <v>0.15413806276119479</v>
      </c>
    </row>
    <row r="49" spans="1:20" x14ac:dyDescent="0.35">
      <c r="A49" s="43" t="s">
        <v>302</v>
      </c>
      <c r="D49" s="84"/>
      <c r="E49" s="84"/>
      <c r="F49" s="84"/>
      <c r="G49" s="84"/>
      <c r="H49" s="84"/>
      <c r="O49" s="507" t="s">
        <v>226</v>
      </c>
      <c r="P49" s="508">
        <f>1 - (1 - 1/Summary!$T15)^P$41</f>
        <v>1.7662777448556044E-3</v>
      </c>
      <c r="Q49" s="508">
        <f>1 - (1 - 1/Summary!$T15)^Q$41</f>
        <v>3.5294357526390874E-3</v>
      </c>
      <c r="R49" s="508">
        <f>1 - (1 - 1/Summary!$T15)^R$41</f>
        <v>7.0464145885460461E-3</v>
      </c>
      <c r="S49" s="508">
        <f>1 - (1 - 1/Summary!$T15)^S$41</f>
        <v>1.7523048479421655E-2</v>
      </c>
      <c r="T49" s="509">
        <f>1 - (1 - 1/Summary!$T15)^T$41</f>
        <v>3.4739039730831145E-2</v>
      </c>
    </row>
    <row r="50" spans="1:20" x14ac:dyDescent="0.35">
      <c r="A50" s="43"/>
      <c r="B50" s="401" t="s">
        <v>28</v>
      </c>
      <c r="D50" s="84"/>
      <c r="E50" s="84"/>
      <c r="F50" s="84"/>
      <c r="G50" s="84"/>
      <c r="H50" s="84"/>
      <c r="O50" s="507" t="s">
        <v>227</v>
      </c>
      <c r="P50" s="508">
        <f>1 - (1 - 1/Summary!$T16)^P$41</f>
        <v>3.5506827135045604E-4</v>
      </c>
      <c r="Q50" s="508">
        <f>1 - (1 - 1/Summary!$T16)^Q$41</f>
        <v>7.1001046922369859E-4</v>
      </c>
      <c r="R50" s="508">
        <f>1 - (1 - 1/Summary!$T16)^R$41</f>
        <v>1.4195168235811018E-3</v>
      </c>
      <c r="S50" s="508">
        <f>1 - (1 - 1/Summary!$T16)^S$41</f>
        <v>3.5450147754524375E-3</v>
      </c>
      <c r="T50" s="509">
        <f>1 - (1 - 1/Summary!$T16)^T$41</f>
        <v>7.0774624211465964E-3</v>
      </c>
    </row>
    <row r="51" spans="1:20" x14ac:dyDescent="0.35">
      <c r="A51" s="43"/>
      <c r="B51" s="296" t="s">
        <v>303</v>
      </c>
      <c r="C51" s="84"/>
      <c r="O51" s="507" t="s">
        <v>228</v>
      </c>
      <c r="P51" s="508">
        <f>1 - (1 - 1/Summary!$T17)^P$41</f>
        <v>1.8523808795745111E-5</v>
      </c>
      <c r="Q51" s="508">
        <f>1 - (1 - 1/Summary!$T17)^Q$41</f>
        <v>3.7047274459967028E-5</v>
      </c>
      <c r="R51" s="508">
        <f>1 - (1 - 1/Summary!$T17)^R$41</f>
        <v>7.4093176419265383E-5</v>
      </c>
      <c r="S51" s="508">
        <f>1 - (1 - 1/Summary!$T17)^S$41</f>
        <v>1.8522264780251874E-4</v>
      </c>
      <c r="T51" s="509">
        <f>1 - (1 - 1/Summary!$T17)^T$41</f>
        <v>3.7041098817591767E-4</v>
      </c>
    </row>
    <row r="52" spans="1:20" ht="15" thickBot="1" x14ac:dyDescent="0.4">
      <c r="A52" s="43"/>
      <c r="B52" s="296" t="s">
        <v>313</v>
      </c>
      <c r="C52" s="84"/>
      <c r="D52" s="3"/>
      <c r="E52" s="3"/>
      <c r="F52" s="2"/>
      <c r="H52" s="3"/>
      <c r="O52" s="448" t="s">
        <v>229</v>
      </c>
      <c r="P52" s="510">
        <f>1 - (1 - 1/Summary!$T18)^P$41</f>
        <v>3.0067084255680498E-7</v>
      </c>
      <c r="Q52" s="510">
        <f>1 - (1 - 1/Summary!$T18)^Q$41</f>
        <v>6.0134159463043346E-7</v>
      </c>
      <c r="R52" s="510">
        <f>1 - (1 - 1/Summary!$T18)^R$41</f>
        <v>1.2026828275502055E-6</v>
      </c>
      <c r="S52" s="510">
        <f>1 - (1 - 1/Summary!$T18)^S$41</f>
        <v>3.0067043569337315E-6</v>
      </c>
      <c r="T52" s="511">
        <f>1 - (1 - 1/Summary!$T18)^T$41</f>
        <v>6.0133996735434181E-6</v>
      </c>
    </row>
    <row r="53" spans="1:20" x14ac:dyDescent="0.35">
      <c r="A53" s="43"/>
      <c r="B53" s="3"/>
      <c r="C53" s="2"/>
      <c r="D53" s="2"/>
      <c r="E53" s="3"/>
      <c r="F53" s="3"/>
      <c r="G53" s="3"/>
      <c r="H53" s="3"/>
      <c r="I53" s="3"/>
    </row>
    <row r="54" spans="1:20" ht="15" thickBot="1" x14ac:dyDescent="0.4">
      <c r="A54" s="50" t="s">
        <v>257</v>
      </c>
      <c r="H54" s="3"/>
      <c r="I54" s="3"/>
      <c r="O54" s="424" t="s">
        <v>406</v>
      </c>
      <c r="P54" s="512"/>
      <c r="Q54" s="512"/>
    </row>
    <row r="55" spans="1:20" ht="15" thickBot="1" x14ac:dyDescent="0.4">
      <c r="A55" s="43" t="s">
        <v>258</v>
      </c>
      <c r="H55" s="3"/>
      <c r="I55" s="3"/>
      <c r="O55" s="512"/>
      <c r="P55" s="513" t="s">
        <v>407</v>
      </c>
      <c r="Q55" s="514" t="s">
        <v>408</v>
      </c>
    </row>
    <row r="56" spans="1:20" x14ac:dyDescent="0.35">
      <c r="A56" s="43" t="s">
        <v>304</v>
      </c>
      <c r="H56" s="3"/>
      <c r="I56" s="3"/>
      <c r="O56" s="515" t="s">
        <v>385</v>
      </c>
      <c r="P56" s="516">
        <v>10</v>
      </c>
      <c r="Q56" s="517">
        <v>10</v>
      </c>
    </row>
    <row r="57" spans="1:20" x14ac:dyDescent="0.35">
      <c r="A57" s="43" t="s">
        <v>305</v>
      </c>
      <c r="O57" s="518" t="s">
        <v>386</v>
      </c>
      <c r="P57" s="519">
        <v>40</v>
      </c>
      <c r="Q57" s="520">
        <v>40</v>
      </c>
    </row>
    <row r="58" spans="1:20" x14ac:dyDescent="0.35">
      <c r="A58" s="43"/>
      <c r="B58" s="401" t="s">
        <v>28</v>
      </c>
      <c r="D58" s="2"/>
      <c r="E58" s="3"/>
      <c r="F58" s="3"/>
      <c r="G58" s="3"/>
      <c r="H58" s="3"/>
      <c r="I58" s="3"/>
      <c r="O58" s="521" t="s">
        <v>409</v>
      </c>
      <c r="P58" s="522">
        <f>$R$14*P70/P57/100</f>
        <v>625</v>
      </c>
      <c r="Q58" s="523">
        <f>$R$14*Q70/Q57/100</f>
        <v>312.5</v>
      </c>
    </row>
    <row r="59" spans="1:20" x14ac:dyDescent="0.35">
      <c r="A59" s="43"/>
      <c r="B59" s="296" t="s">
        <v>306</v>
      </c>
      <c r="C59" s="84"/>
      <c r="O59" s="358" t="s">
        <v>410</v>
      </c>
      <c r="P59" s="524">
        <f>P70*$P$35/100</f>
        <v>250000</v>
      </c>
      <c r="Q59" s="525">
        <f>Q70*$P$35/100</f>
        <v>125000</v>
      </c>
    </row>
    <row r="60" spans="1:20" x14ac:dyDescent="0.35">
      <c r="B60" s="296" t="s">
        <v>312</v>
      </c>
      <c r="C60" s="84"/>
      <c r="O60" s="526"/>
      <c r="P60" s="527"/>
      <c r="Q60" s="528"/>
    </row>
    <row r="61" spans="1:20" x14ac:dyDescent="0.35">
      <c r="B61" s="296"/>
      <c r="C61" s="84"/>
      <c r="O61" s="529" t="s">
        <v>411</v>
      </c>
      <c r="P61" s="530">
        <v>10</v>
      </c>
      <c r="Q61" s="531">
        <v>10</v>
      </c>
    </row>
    <row r="62" spans="1:20" x14ac:dyDescent="0.35">
      <c r="A62" s="50" t="s">
        <v>261</v>
      </c>
      <c r="O62" s="532"/>
      <c r="P62" s="533"/>
      <c r="Q62" s="534"/>
    </row>
    <row r="63" spans="1:20" x14ac:dyDescent="0.35">
      <c r="A63" s="43" t="s">
        <v>262</v>
      </c>
      <c r="O63" s="526"/>
      <c r="P63" s="527"/>
      <c r="Q63" s="528"/>
    </row>
    <row r="64" spans="1:20" x14ac:dyDescent="0.35">
      <c r="A64" s="43" t="s">
        <v>307</v>
      </c>
      <c r="O64" s="529" t="s">
        <v>412</v>
      </c>
      <c r="P64" s="530">
        <v>10</v>
      </c>
      <c r="Q64" s="531">
        <v>5</v>
      </c>
    </row>
    <row r="65" spans="1:17" x14ac:dyDescent="0.35">
      <c r="A65" s="43" t="s">
        <v>309</v>
      </c>
      <c r="O65" s="518" t="s">
        <v>413</v>
      </c>
      <c r="P65" s="519">
        <v>20</v>
      </c>
      <c r="Q65" s="520">
        <v>40</v>
      </c>
    </row>
    <row r="66" spans="1:17" x14ac:dyDescent="0.35">
      <c r="A66" s="43" t="s">
        <v>308</v>
      </c>
      <c r="O66" s="518" t="s">
        <v>414</v>
      </c>
      <c r="P66" s="519">
        <v>250</v>
      </c>
      <c r="Q66" s="520">
        <v>250</v>
      </c>
    </row>
    <row r="67" spans="1:17" x14ac:dyDescent="0.35">
      <c r="B67" s="401" t="s">
        <v>28</v>
      </c>
      <c r="O67" s="532" t="s">
        <v>415</v>
      </c>
      <c r="P67" s="535">
        <v>2</v>
      </c>
      <c r="Q67" s="536">
        <v>2</v>
      </c>
    </row>
    <row r="68" spans="1:17" x14ac:dyDescent="0.35">
      <c r="B68" s="296" t="s">
        <v>310</v>
      </c>
      <c r="C68" s="84"/>
      <c r="O68" s="526"/>
      <c r="P68" s="527"/>
      <c r="Q68" s="528"/>
    </row>
    <row r="69" spans="1:17" x14ac:dyDescent="0.35">
      <c r="B69" s="296" t="s">
        <v>311</v>
      </c>
      <c r="C69" s="84"/>
      <c r="O69" s="529" t="s">
        <v>416</v>
      </c>
      <c r="P69" s="530">
        <f>P66/P56</f>
        <v>25</v>
      </c>
      <c r="Q69" s="531">
        <f>Q66/Q56</f>
        <v>25</v>
      </c>
    </row>
    <row r="70" spans="1:17" x14ac:dyDescent="0.35">
      <c r="O70" s="518" t="s">
        <v>417</v>
      </c>
      <c r="P70" s="519">
        <v>2500</v>
      </c>
      <c r="Q70" s="520">
        <v>1250</v>
      </c>
    </row>
    <row r="71" spans="1:17" x14ac:dyDescent="0.35">
      <c r="A71" s="50" t="s">
        <v>314</v>
      </c>
      <c r="O71" s="518" t="s">
        <v>418</v>
      </c>
      <c r="P71" s="519">
        <v>2</v>
      </c>
      <c r="Q71" s="520">
        <v>2</v>
      </c>
    </row>
    <row r="72" spans="1:17" x14ac:dyDescent="0.35">
      <c r="A72" s="43" t="s">
        <v>315</v>
      </c>
      <c r="O72" s="532" t="s">
        <v>419</v>
      </c>
      <c r="P72" s="535">
        <f>P64*P65</f>
        <v>200</v>
      </c>
      <c r="Q72" s="536">
        <f>Q64*Q65</f>
        <v>200</v>
      </c>
    </row>
    <row r="73" spans="1:17" x14ac:dyDescent="0.35">
      <c r="A73" s="43" t="s">
        <v>332</v>
      </c>
      <c r="O73" s="526"/>
      <c r="P73" s="527"/>
      <c r="Q73" s="528"/>
    </row>
    <row r="74" spans="1:17" ht="15" thickBot="1" x14ac:dyDescent="0.4">
      <c r="A74" s="43" t="s">
        <v>318</v>
      </c>
      <c r="O74" s="537" t="s">
        <v>420</v>
      </c>
      <c r="P74" s="538" t="s">
        <v>421</v>
      </c>
      <c r="Q74" s="539" t="s">
        <v>422</v>
      </c>
    </row>
    <row r="75" spans="1:17" x14ac:dyDescent="0.35">
      <c r="B75" s="401" t="s">
        <v>28</v>
      </c>
    </row>
    <row r="76" spans="1:17" x14ac:dyDescent="0.35">
      <c r="B76" s="296" t="s">
        <v>333</v>
      </c>
      <c r="C76" s="84"/>
    </row>
    <row r="77" spans="1:17" x14ac:dyDescent="0.35">
      <c r="B77" s="296" t="s">
        <v>316</v>
      </c>
      <c r="C77" s="84"/>
    </row>
    <row r="78" spans="1:17" x14ac:dyDescent="0.35">
      <c r="B78" s="296" t="s">
        <v>317</v>
      </c>
    </row>
    <row r="79" spans="1:17" x14ac:dyDescent="0.35">
      <c r="B79" s="296" t="s">
        <v>319</v>
      </c>
    </row>
    <row r="80" spans="1:17" x14ac:dyDescent="0.35">
      <c r="B80" s="296" t="s">
        <v>427</v>
      </c>
    </row>
    <row r="82" spans="3:13" x14ac:dyDescent="0.35">
      <c r="C82" s="39" t="s">
        <v>320</v>
      </c>
    </row>
    <row r="83" spans="3:13" x14ac:dyDescent="0.35">
      <c r="C83" t="s">
        <v>321</v>
      </c>
      <c r="I83" t="s">
        <v>322</v>
      </c>
    </row>
    <row r="84" spans="3:13" x14ac:dyDescent="0.35">
      <c r="C84" s="11"/>
      <c r="D84" s="11"/>
      <c r="E84" s="11"/>
      <c r="F84" s="11"/>
      <c r="G84" s="11"/>
      <c r="I84" s="11"/>
      <c r="J84" s="11"/>
      <c r="K84" s="11"/>
      <c r="L84" s="11"/>
      <c r="M84" s="11"/>
    </row>
    <row r="85" spans="3:13" x14ac:dyDescent="0.35">
      <c r="C85" s="139" t="s">
        <v>190</v>
      </c>
      <c r="D85" s="11"/>
      <c r="E85" s="328" t="s">
        <v>324</v>
      </c>
      <c r="F85" s="11"/>
      <c r="G85" s="11"/>
      <c r="I85" s="11"/>
      <c r="J85" s="11"/>
      <c r="K85" s="11"/>
      <c r="L85" s="11"/>
      <c r="M85" s="11"/>
    </row>
    <row r="86" spans="3:13" x14ac:dyDescent="0.35">
      <c r="C86" s="11"/>
      <c r="D86" s="11"/>
      <c r="E86" s="11"/>
      <c r="F86" s="11"/>
      <c r="G86" s="11"/>
      <c r="I86" s="11"/>
      <c r="J86" s="11"/>
      <c r="K86" s="11"/>
      <c r="L86" s="11"/>
      <c r="M86" s="11"/>
    </row>
    <row r="87" spans="3:13" x14ac:dyDescent="0.35">
      <c r="C87" s="139" t="s">
        <v>323</v>
      </c>
      <c r="D87" s="11"/>
      <c r="E87" s="11"/>
      <c r="F87" s="11"/>
      <c r="G87" s="11"/>
      <c r="I87" s="11"/>
      <c r="J87" s="11"/>
      <c r="K87" s="11"/>
      <c r="L87" s="11"/>
      <c r="M87" s="11"/>
    </row>
    <row r="89" spans="3:13" x14ac:dyDescent="0.35">
      <c r="C89" t="s">
        <v>321</v>
      </c>
      <c r="I89" t="s">
        <v>322</v>
      </c>
    </row>
    <row r="90" spans="3:13" x14ac:dyDescent="0.35">
      <c r="C90" s="11"/>
      <c r="D90" s="11"/>
      <c r="E90" s="11"/>
      <c r="F90" s="11"/>
      <c r="G90" s="11"/>
      <c r="I90" s="11"/>
      <c r="J90" s="11"/>
      <c r="K90" s="11"/>
      <c r="L90" s="11"/>
      <c r="M90" s="11"/>
    </row>
    <row r="91" spans="3:13" x14ac:dyDescent="0.35">
      <c r="C91" s="139" t="s">
        <v>190</v>
      </c>
      <c r="D91" s="11"/>
      <c r="E91" s="139" t="s">
        <v>331</v>
      </c>
      <c r="F91" s="11"/>
      <c r="G91" s="11"/>
      <c r="I91" s="11"/>
      <c r="J91" s="11"/>
      <c r="K91" s="53" t="s">
        <v>325</v>
      </c>
      <c r="L91" s="11"/>
      <c r="M91" s="11"/>
    </row>
    <row r="92" spans="3:13" x14ac:dyDescent="0.35">
      <c r="C92" s="11"/>
      <c r="D92" s="11"/>
      <c r="E92" s="11"/>
      <c r="F92" s="11"/>
      <c r="G92" s="11"/>
      <c r="I92" s="11"/>
      <c r="J92" s="11"/>
      <c r="K92" s="11"/>
      <c r="L92" s="11"/>
      <c r="M92" s="11"/>
    </row>
    <row r="93" spans="3:13" x14ac:dyDescent="0.35">
      <c r="C93" s="139" t="s">
        <v>323</v>
      </c>
      <c r="D93" s="11"/>
      <c r="E93" s="11"/>
      <c r="F93" s="11"/>
      <c r="G93" s="11"/>
      <c r="I93" s="11"/>
      <c r="J93" s="11"/>
      <c r="K93" s="11"/>
      <c r="L93" s="11"/>
      <c r="M93" s="11"/>
    </row>
    <row r="94" spans="3:13" x14ac:dyDescent="0.35">
      <c r="K94" t="s">
        <v>381</v>
      </c>
    </row>
    <row r="96" spans="3:13" x14ac:dyDescent="0.35">
      <c r="C96" s="39" t="s">
        <v>326</v>
      </c>
    </row>
    <row r="97" spans="3:13" x14ac:dyDescent="0.35">
      <c r="C97" t="s">
        <v>321</v>
      </c>
      <c r="I97" t="s">
        <v>322</v>
      </c>
    </row>
    <row r="98" spans="3:13" x14ac:dyDescent="0.35">
      <c r="C98" s="11"/>
      <c r="D98" s="11"/>
      <c r="E98" s="11"/>
      <c r="F98" s="11"/>
      <c r="G98" s="11"/>
      <c r="I98" s="11"/>
      <c r="J98" s="11"/>
      <c r="K98" s="11"/>
      <c r="L98" s="11"/>
      <c r="M98" s="11"/>
    </row>
    <row r="99" spans="3:13" x14ac:dyDescent="0.35">
      <c r="C99" s="139" t="s">
        <v>190</v>
      </c>
      <c r="D99" s="11"/>
      <c r="E99" s="328" t="s">
        <v>324</v>
      </c>
      <c r="F99" s="11"/>
      <c r="G99" s="11"/>
      <c r="I99" s="11"/>
      <c r="J99" s="11"/>
      <c r="K99" s="139" t="s">
        <v>260</v>
      </c>
      <c r="L99" s="11"/>
      <c r="M99" s="11"/>
    </row>
    <row r="100" spans="3:13" x14ac:dyDescent="0.35">
      <c r="C100" s="11"/>
      <c r="D100" s="11"/>
      <c r="E100" s="11"/>
      <c r="F100" s="11"/>
      <c r="G100" s="11"/>
      <c r="I100" s="11"/>
      <c r="J100" s="11"/>
      <c r="K100" s="11"/>
      <c r="L100" s="11"/>
      <c r="M100" s="11"/>
    </row>
    <row r="101" spans="3:13" x14ac:dyDescent="0.35">
      <c r="C101" s="139" t="s">
        <v>323</v>
      </c>
      <c r="D101" s="11"/>
      <c r="E101" s="11"/>
      <c r="F101" s="11"/>
      <c r="G101" s="11"/>
      <c r="I101" s="11"/>
      <c r="J101" s="11"/>
      <c r="K101" s="11"/>
      <c r="L101" s="11"/>
      <c r="M101" s="11"/>
    </row>
    <row r="103" spans="3:13" x14ac:dyDescent="0.35">
      <c r="C103" t="s">
        <v>321</v>
      </c>
      <c r="I103" t="s">
        <v>322</v>
      </c>
    </row>
    <row r="104" spans="3:13" x14ac:dyDescent="0.35">
      <c r="C104" s="11"/>
      <c r="D104" s="11"/>
      <c r="E104" s="11"/>
      <c r="F104" s="11"/>
      <c r="G104" s="11"/>
      <c r="I104" s="11"/>
      <c r="J104" s="11"/>
      <c r="K104" s="11"/>
      <c r="L104" s="11"/>
      <c r="M104" s="11"/>
    </row>
    <row r="105" spans="3:13" x14ac:dyDescent="0.35">
      <c r="C105" s="139" t="s">
        <v>190</v>
      </c>
      <c r="D105" s="11"/>
      <c r="E105" s="139" t="s">
        <v>331</v>
      </c>
      <c r="F105" s="11"/>
      <c r="G105" s="11"/>
      <c r="I105" s="11"/>
      <c r="J105" s="11"/>
      <c r="K105" s="53" t="s">
        <v>330</v>
      </c>
      <c r="L105" s="11"/>
      <c r="M105" s="11"/>
    </row>
    <row r="106" spans="3:13" x14ac:dyDescent="0.35">
      <c r="C106" s="11"/>
      <c r="D106" s="11"/>
      <c r="E106" s="11"/>
      <c r="F106" s="11"/>
      <c r="G106" s="11"/>
      <c r="I106" s="11"/>
      <c r="J106" s="11"/>
      <c r="K106" s="11"/>
      <c r="L106" s="11"/>
      <c r="M106" s="11"/>
    </row>
    <row r="107" spans="3:13" x14ac:dyDescent="0.35">
      <c r="C107" s="139" t="s">
        <v>323</v>
      </c>
      <c r="D107" s="11"/>
      <c r="E107" s="11"/>
      <c r="F107" s="11"/>
      <c r="G107" s="11"/>
      <c r="I107" s="11"/>
      <c r="J107" s="11"/>
      <c r="K107" s="11"/>
      <c r="L107" s="11"/>
      <c r="M107" s="11"/>
    </row>
    <row r="108" spans="3:13" x14ac:dyDescent="0.35">
      <c r="K108" t="s">
        <v>382</v>
      </c>
    </row>
    <row r="111" spans="3:13" x14ac:dyDescent="0.35">
      <c r="C111" s="39" t="s">
        <v>327</v>
      </c>
    </row>
    <row r="112" spans="3:13" x14ac:dyDescent="0.35">
      <c r="C112" t="s">
        <v>321</v>
      </c>
      <c r="I112" t="s">
        <v>322</v>
      </c>
    </row>
    <row r="113" spans="3:13" x14ac:dyDescent="0.35">
      <c r="C113" s="11"/>
      <c r="D113" s="11"/>
      <c r="E113" s="11"/>
      <c r="F113" s="11"/>
      <c r="G113" s="11"/>
      <c r="I113" s="11"/>
      <c r="J113" s="11"/>
      <c r="K113" s="11"/>
      <c r="L113" s="11"/>
      <c r="M113" s="11"/>
    </row>
    <row r="114" spans="3:13" x14ac:dyDescent="0.35">
      <c r="C114" s="139" t="s">
        <v>190</v>
      </c>
      <c r="D114" s="11"/>
      <c r="E114" s="328" t="s">
        <v>324</v>
      </c>
      <c r="F114" s="11"/>
      <c r="G114" s="11"/>
      <c r="I114" s="11"/>
      <c r="J114" s="11"/>
      <c r="K114" s="328" t="s">
        <v>328</v>
      </c>
      <c r="L114" s="11"/>
      <c r="M114" s="11"/>
    </row>
    <row r="115" spans="3:13" x14ac:dyDescent="0.35">
      <c r="C115" s="11"/>
      <c r="D115" s="11"/>
      <c r="E115" s="11"/>
      <c r="F115" s="11"/>
      <c r="G115" s="11"/>
      <c r="I115" s="11"/>
      <c r="J115" s="11"/>
      <c r="K115" s="11"/>
      <c r="L115" s="11"/>
      <c r="M115" s="11"/>
    </row>
    <row r="116" spans="3:13" x14ac:dyDescent="0.35">
      <c r="C116" s="139" t="s">
        <v>323</v>
      </c>
      <c r="D116" s="11"/>
      <c r="E116" s="11"/>
      <c r="F116" s="11"/>
      <c r="G116" s="11"/>
      <c r="I116" s="11"/>
      <c r="J116" s="11"/>
      <c r="K116" s="11"/>
      <c r="L116" s="11"/>
      <c r="M116" s="11"/>
    </row>
    <row r="118" spans="3:13" x14ac:dyDescent="0.35">
      <c r="C118" t="s">
        <v>321</v>
      </c>
      <c r="I118" t="s">
        <v>322</v>
      </c>
    </row>
    <row r="119" spans="3:13" x14ac:dyDescent="0.35">
      <c r="C119" s="11"/>
      <c r="D119" s="11"/>
      <c r="E119" s="11"/>
      <c r="F119" s="11"/>
      <c r="G119" s="11"/>
      <c r="I119" s="11"/>
      <c r="J119" s="11"/>
      <c r="K119" s="11"/>
      <c r="L119" s="11"/>
      <c r="M119" s="11"/>
    </row>
    <row r="120" spans="3:13" x14ac:dyDescent="0.35">
      <c r="C120" s="139" t="s">
        <v>190</v>
      </c>
      <c r="D120" s="11"/>
      <c r="E120" s="53" t="s">
        <v>329</v>
      </c>
      <c r="F120" s="11"/>
      <c r="G120" s="11"/>
      <c r="I120" s="11"/>
      <c r="J120" s="11"/>
      <c r="K120" s="53" t="s">
        <v>329</v>
      </c>
      <c r="L120" s="11"/>
      <c r="M120" s="11"/>
    </row>
    <row r="121" spans="3:13" x14ac:dyDescent="0.35">
      <c r="C121" s="11"/>
      <c r="D121" s="11"/>
      <c r="E121" s="11"/>
      <c r="F121" s="11"/>
      <c r="G121" s="11"/>
      <c r="I121" s="11"/>
      <c r="J121" s="11"/>
      <c r="K121" s="11"/>
      <c r="L121" s="11"/>
      <c r="M121" s="11"/>
    </row>
    <row r="122" spans="3:13" x14ac:dyDescent="0.35">
      <c r="C122" s="139" t="s">
        <v>323</v>
      </c>
      <c r="D122" s="11"/>
      <c r="E122" s="11"/>
      <c r="F122" s="11"/>
      <c r="G122" s="11"/>
      <c r="I122" s="11"/>
      <c r="J122" s="11"/>
      <c r="K122" s="11"/>
      <c r="L122" s="11"/>
      <c r="M122" s="11"/>
    </row>
  </sheetData>
  <mergeCells count="7">
    <mergeCell ref="U29:U30"/>
    <mergeCell ref="O29:O30"/>
    <mergeCell ref="P29:P30"/>
    <mergeCell ref="Q29:Q30"/>
    <mergeCell ref="R29:R30"/>
    <mergeCell ref="S29:S30"/>
    <mergeCell ref="T29:T30"/>
  </mergeCells>
  <phoneticPr fontId="1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0503-B9B7-4AB9-8CF1-551010C9BAC9}">
  <sheetPr>
    <tabColor rgb="FF7030A0"/>
  </sheetPr>
  <dimension ref="A1:E70"/>
  <sheetViews>
    <sheetView zoomScaleNormal="100" workbookViewId="0">
      <selection activeCell="G16" sqref="G16"/>
    </sheetView>
  </sheetViews>
  <sheetFormatPr defaultColWidth="8.81640625" defaultRowHeight="14.5" x14ac:dyDescent="0.35"/>
  <cols>
    <col min="3" max="3" width="45.453125" customWidth="1"/>
    <col min="4" max="5" width="25" customWidth="1"/>
  </cols>
  <sheetData>
    <row r="1" spans="1:5" ht="15" thickBot="1" x14ac:dyDescent="0.4"/>
    <row r="2" spans="1:5" ht="15" thickBot="1" x14ac:dyDescent="0.4">
      <c r="A2" s="331"/>
      <c r="B2" s="331"/>
      <c r="C2" s="332"/>
      <c r="D2" s="333" t="s">
        <v>343</v>
      </c>
      <c r="E2" s="334" t="s">
        <v>344</v>
      </c>
    </row>
    <row r="3" spans="1:5" x14ac:dyDescent="0.35">
      <c r="A3" s="331"/>
      <c r="B3" s="331"/>
      <c r="C3" s="335" t="s">
        <v>58</v>
      </c>
      <c r="D3" s="336">
        <v>0.9443652342213894</v>
      </c>
      <c r="E3" s="337">
        <v>0.92425769809113389</v>
      </c>
    </row>
    <row r="4" spans="1:5" x14ac:dyDescent="0.35">
      <c r="A4" s="331"/>
      <c r="B4" s="331"/>
      <c r="C4" s="338" t="s">
        <v>345</v>
      </c>
      <c r="D4" s="339">
        <f>D6^2</f>
        <v>32.231104224293532</v>
      </c>
      <c r="E4" s="340">
        <f>E6^2</f>
        <v>29.339847015889287</v>
      </c>
    </row>
    <row r="5" spans="1:5" x14ac:dyDescent="0.35">
      <c r="A5" s="331"/>
      <c r="B5" s="331"/>
      <c r="C5" s="338" t="s">
        <v>346</v>
      </c>
      <c r="D5" s="341">
        <v>0.24262319799999998</v>
      </c>
      <c r="E5" s="342">
        <v>0.24226096400000002</v>
      </c>
    </row>
    <row r="6" spans="1:5" x14ac:dyDescent="0.35">
      <c r="A6" s="331"/>
      <c r="B6" s="331"/>
      <c r="C6" s="338" t="s">
        <v>347</v>
      </c>
      <c r="D6" s="339">
        <v>5.6772444217501796</v>
      </c>
      <c r="E6" s="340">
        <v>5.4166269038848602</v>
      </c>
    </row>
    <row r="7" spans="1:5" ht="15" thickBot="1" x14ac:dyDescent="0.4">
      <c r="A7" s="331"/>
      <c r="B7" s="331"/>
      <c r="C7" s="343" t="s">
        <v>348</v>
      </c>
      <c r="D7" s="344">
        <v>11.12773</v>
      </c>
      <c r="E7" s="345">
        <v>10.617430000000001</v>
      </c>
    </row>
    <row r="8" spans="1:5" ht="15" thickBot="1" x14ac:dyDescent="0.4">
      <c r="A8" s="331"/>
      <c r="B8" s="331"/>
      <c r="C8" s="331"/>
      <c r="D8" s="331"/>
      <c r="E8" s="331"/>
    </row>
    <row r="9" spans="1:5" ht="15" thickBot="1" x14ac:dyDescent="0.4">
      <c r="A9" s="572" t="s">
        <v>350</v>
      </c>
      <c r="B9" s="573"/>
      <c r="C9" s="346" t="s">
        <v>351</v>
      </c>
      <c r="D9" s="574" t="s">
        <v>428</v>
      </c>
      <c r="E9" s="575"/>
    </row>
    <row r="10" spans="1:5" x14ac:dyDescent="0.35">
      <c r="A10" s="347"/>
      <c r="B10" s="331"/>
      <c r="C10" s="348"/>
      <c r="D10" s="349">
        <v>94</v>
      </c>
      <c r="E10" s="350">
        <v>92</v>
      </c>
    </row>
    <row r="11" spans="1:5" x14ac:dyDescent="0.35">
      <c r="A11" s="347"/>
      <c r="B11" s="331"/>
      <c r="C11" s="351" t="s">
        <v>374</v>
      </c>
      <c r="D11" s="352">
        <v>16629478.773449924</v>
      </c>
      <c r="E11" s="353">
        <v>18133544.990274988</v>
      </c>
    </row>
    <row r="12" spans="1:5" x14ac:dyDescent="0.35">
      <c r="A12" s="347"/>
      <c r="B12" s="331"/>
      <c r="C12" s="354" t="s">
        <v>349</v>
      </c>
      <c r="D12" s="576" t="s">
        <v>375</v>
      </c>
      <c r="E12" s="577"/>
    </row>
    <row r="13" spans="1:5" x14ac:dyDescent="0.35">
      <c r="A13" s="347"/>
      <c r="B13" s="331"/>
      <c r="C13" s="355"/>
      <c r="D13" s="578"/>
      <c r="E13" s="579"/>
    </row>
    <row r="14" spans="1:5" x14ac:dyDescent="0.35">
      <c r="A14" s="347"/>
      <c r="B14" s="331"/>
      <c r="C14" s="580" t="s">
        <v>352</v>
      </c>
      <c r="D14" s="582" t="s">
        <v>353</v>
      </c>
      <c r="E14" s="583"/>
    </row>
    <row r="15" spans="1:5" ht="15" thickBot="1" x14ac:dyDescent="0.4">
      <c r="A15" s="347"/>
      <c r="B15" s="331"/>
      <c r="C15" s="581"/>
      <c r="D15" s="584"/>
      <c r="E15" s="585"/>
    </row>
    <row r="16" spans="1:5" ht="15" thickBot="1" x14ac:dyDescent="0.4">
      <c r="A16" s="347"/>
      <c r="B16" s="331"/>
      <c r="C16" s="346" t="s">
        <v>351</v>
      </c>
      <c r="D16" s="566" t="s">
        <v>429</v>
      </c>
      <c r="E16" s="567"/>
    </row>
    <row r="17" spans="1:5" x14ac:dyDescent="0.35">
      <c r="A17" s="347"/>
      <c r="B17" s="331"/>
      <c r="C17" s="348"/>
      <c r="D17" s="356">
        <v>94</v>
      </c>
      <c r="E17" s="357">
        <v>92</v>
      </c>
    </row>
    <row r="18" spans="1:5" x14ac:dyDescent="0.35">
      <c r="A18" s="347"/>
      <c r="B18" s="331"/>
      <c r="C18" s="358" t="s">
        <v>374</v>
      </c>
      <c r="D18" s="359">
        <f>D11</f>
        <v>16629478.773449924</v>
      </c>
      <c r="E18" s="360">
        <f>E11</f>
        <v>18133544.990274988</v>
      </c>
    </row>
    <row r="19" spans="1:5" ht="15" customHeight="1" x14ac:dyDescent="0.35">
      <c r="A19" s="347"/>
      <c r="B19" s="331"/>
      <c r="C19" s="351" t="s">
        <v>376</v>
      </c>
      <c r="D19" s="361">
        <f>D18-1</f>
        <v>16629477.773449924</v>
      </c>
      <c r="E19" s="362">
        <f>E18-1</f>
        <v>18133543.990274988</v>
      </c>
    </row>
    <row r="20" spans="1:5" x14ac:dyDescent="0.35">
      <c r="A20" s="347"/>
      <c r="B20" s="331"/>
      <c r="C20" s="363" t="s">
        <v>349</v>
      </c>
      <c r="D20" s="568" t="str">
        <f>D12</f>
        <v>Winning Grand Jackpot by filling Grand Jackpot Meter in any of the 4 Bonus Games</v>
      </c>
      <c r="E20" s="569"/>
    </row>
    <row r="21" spans="1:5" x14ac:dyDescent="0.35">
      <c r="A21" s="347"/>
      <c r="B21" s="331"/>
      <c r="C21" s="363"/>
      <c r="D21" s="570"/>
      <c r="E21" s="571"/>
    </row>
    <row r="22" spans="1:5" x14ac:dyDescent="0.35">
      <c r="A22" s="347"/>
      <c r="B22" s="331"/>
      <c r="C22" s="580" t="s">
        <v>352</v>
      </c>
      <c r="D22" s="586" t="s">
        <v>353</v>
      </c>
      <c r="E22" s="587"/>
    </row>
    <row r="23" spans="1:5" ht="15" thickBot="1" x14ac:dyDescent="0.4">
      <c r="A23" s="347"/>
      <c r="B23" s="331"/>
      <c r="C23" s="581"/>
      <c r="D23" s="588"/>
      <c r="E23" s="589"/>
    </row>
    <row r="24" spans="1:5" ht="15" thickBot="1" x14ac:dyDescent="0.4">
      <c r="A24" s="347"/>
      <c r="B24" s="331"/>
      <c r="C24" s="346" t="s">
        <v>351</v>
      </c>
      <c r="D24" s="621" t="s">
        <v>430</v>
      </c>
      <c r="E24" s="622"/>
    </row>
    <row r="25" spans="1:5" x14ac:dyDescent="0.35">
      <c r="A25" s="347"/>
      <c r="B25" s="331"/>
      <c r="C25" s="348"/>
      <c r="D25" s="364">
        <v>94</v>
      </c>
      <c r="E25" s="365">
        <v>92</v>
      </c>
    </row>
    <row r="26" spans="1:5" ht="15" customHeight="1" x14ac:dyDescent="0.35">
      <c r="A26" s="347"/>
      <c r="B26" s="331"/>
      <c r="C26" s="358" t="s">
        <v>374</v>
      </c>
      <c r="D26" s="366">
        <f t="shared" ref="D26:E27" si="0">D18</f>
        <v>16629478.773449924</v>
      </c>
      <c r="E26" s="367">
        <f t="shared" si="0"/>
        <v>18133544.990274988</v>
      </c>
    </row>
    <row r="27" spans="1:5" x14ac:dyDescent="0.35">
      <c r="A27" s="347"/>
      <c r="B27" s="331"/>
      <c r="C27" s="358" t="s">
        <v>376</v>
      </c>
      <c r="D27" s="368">
        <f t="shared" si="0"/>
        <v>16629477.773449924</v>
      </c>
      <c r="E27" s="369">
        <f t="shared" si="0"/>
        <v>18133543.990274988</v>
      </c>
    </row>
    <row r="28" spans="1:5" ht="16" customHeight="1" x14ac:dyDescent="0.35">
      <c r="A28" s="347"/>
      <c r="B28" s="331"/>
      <c r="C28" s="354" t="s">
        <v>349</v>
      </c>
      <c r="D28" s="552" t="str">
        <f>D20</f>
        <v>Winning Grand Jackpot by filling Grand Jackpot Meter in any of the 4 Bonus Games</v>
      </c>
      <c r="E28" s="553"/>
    </row>
    <row r="29" spans="1:5" x14ac:dyDescent="0.35">
      <c r="A29" s="347"/>
      <c r="B29" s="331"/>
      <c r="C29" s="355"/>
      <c r="D29" s="554"/>
      <c r="E29" s="555"/>
    </row>
    <row r="30" spans="1:5" x14ac:dyDescent="0.35">
      <c r="A30" s="347"/>
      <c r="B30" s="331"/>
      <c r="C30" s="580" t="s">
        <v>352</v>
      </c>
      <c r="D30" s="611" t="s">
        <v>353</v>
      </c>
      <c r="E30" s="612"/>
    </row>
    <row r="31" spans="1:5" ht="15" thickBot="1" x14ac:dyDescent="0.4">
      <c r="A31" s="347"/>
      <c r="B31" s="331"/>
      <c r="C31" s="581"/>
      <c r="D31" s="613"/>
      <c r="E31" s="614"/>
    </row>
    <row r="32" spans="1:5" ht="15" thickBot="1" x14ac:dyDescent="0.4">
      <c r="A32" s="347"/>
      <c r="B32" s="331"/>
      <c r="C32" s="346" t="s">
        <v>351</v>
      </c>
      <c r="D32" s="615" t="s">
        <v>431</v>
      </c>
      <c r="E32" s="616"/>
    </row>
    <row r="33" spans="1:5" ht="15" customHeight="1" x14ac:dyDescent="0.35">
      <c r="A33" s="347"/>
      <c r="B33" s="331"/>
      <c r="C33" s="348"/>
      <c r="D33" s="370">
        <v>94</v>
      </c>
      <c r="E33" s="371">
        <v>92</v>
      </c>
    </row>
    <row r="34" spans="1:5" x14ac:dyDescent="0.35">
      <c r="A34" s="347"/>
      <c r="B34" s="331"/>
      <c r="C34" s="358" t="s">
        <v>374</v>
      </c>
      <c r="D34" s="372">
        <f>D26</f>
        <v>16629478.773449924</v>
      </c>
      <c r="E34" s="373">
        <f>E26</f>
        <v>18133544.990274988</v>
      </c>
    </row>
    <row r="35" spans="1:5" ht="16" customHeight="1" x14ac:dyDescent="0.35">
      <c r="A35" s="347"/>
      <c r="B35" s="331"/>
      <c r="C35" s="354" t="s">
        <v>349</v>
      </c>
      <c r="D35" s="556" t="str">
        <f>D28</f>
        <v>Winning Grand Jackpot by filling Grand Jackpot Meter in any of the 4 Bonus Games</v>
      </c>
      <c r="E35" s="557"/>
    </row>
    <row r="36" spans="1:5" x14ac:dyDescent="0.35">
      <c r="A36" s="347"/>
      <c r="B36" s="331"/>
      <c r="C36" s="374"/>
      <c r="D36" s="558"/>
      <c r="E36" s="559"/>
    </row>
    <row r="37" spans="1:5" x14ac:dyDescent="0.35">
      <c r="A37" s="347"/>
      <c r="B37" s="331"/>
      <c r="C37" s="580"/>
      <c r="D37" s="617"/>
      <c r="E37" s="618"/>
    </row>
    <row r="38" spans="1:5" ht="15" thickBot="1" x14ac:dyDescent="0.4">
      <c r="A38" s="347"/>
      <c r="B38" s="331"/>
      <c r="C38" s="581" t="s">
        <v>352</v>
      </c>
      <c r="D38" s="619" t="s">
        <v>353</v>
      </c>
      <c r="E38" s="620"/>
    </row>
    <row r="39" spans="1:5" x14ac:dyDescent="0.35">
      <c r="A39" s="347"/>
      <c r="B39" s="331"/>
      <c r="C39" s="351" t="s">
        <v>354</v>
      </c>
      <c r="D39" s="375">
        <f>D34</f>
        <v>16629478.773449924</v>
      </c>
      <c r="E39" s="376">
        <f>E34</f>
        <v>18133544.990274988</v>
      </c>
    </row>
    <row r="40" spans="1:5" ht="15" customHeight="1" x14ac:dyDescent="0.35">
      <c r="A40" s="347"/>
      <c r="B40" s="331"/>
      <c r="C40" s="354" t="s">
        <v>349</v>
      </c>
      <c r="D40" s="556" t="str">
        <f>D35</f>
        <v>Winning Grand Jackpot by filling Grand Jackpot Meter in any of the 4 Bonus Games</v>
      </c>
      <c r="E40" s="557"/>
    </row>
    <row r="41" spans="1:5" x14ac:dyDescent="0.35">
      <c r="A41" s="347"/>
      <c r="B41" s="331"/>
      <c r="C41" s="355"/>
      <c r="D41" s="558"/>
      <c r="E41" s="559"/>
    </row>
    <row r="42" spans="1:5" ht="16" customHeight="1" thickBot="1" x14ac:dyDescent="0.4">
      <c r="A42" s="347"/>
      <c r="B42" s="331"/>
      <c r="C42" s="377" t="s">
        <v>352</v>
      </c>
      <c r="D42" s="560" t="s">
        <v>355</v>
      </c>
      <c r="E42" s="561"/>
    </row>
    <row r="43" spans="1:5" ht="15" thickBot="1" x14ac:dyDescent="0.4">
      <c r="A43" s="347"/>
      <c r="B43" s="331"/>
      <c r="C43" s="331"/>
      <c r="D43" s="378"/>
      <c r="E43" s="542"/>
    </row>
    <row r="44" spans="1:5" ht="15" thickBot="1" x14ac:dyDescent="0.4">
      <c r="A44" s="347"/>
      <c r="B44" s="331"/>
      <c r="C44" s="379" t="s">
        <v>356</v>
      </c>
      <c r="D44" s="380">
        <v>94</v>
      </c>
      <c r="E44" s="381">
        <v>92</v>
      </c>
    </row>
    <row r="45" spans="1:5" x14ac:dyDescent="0.35">
      <c r="A45" s="347"/>
      <c r="B45" s="331"/>
      <c r="C45" s="382" t="s">
        <v>357</v>
      </c>
      <c r="D45" s="562" t="s">
        <v>358</v>
      </c>
      <c r="E45" s="563"/>
    </row>
    <row r="46" spans="1:5" ht="15" customHeight="1" x14ac:dyDescent="0.35">
      <c r="A46" s="347"/>
      <c r="B46" s="331"/>
      <c r="C46" s="383" t="s">
        <v>359</v>
      </c>
      <c r="D46" s="562"/>
      <c r="E46" s="563"/>
    </row>
    <row r="47" spans="1:5" x14ac:dyDescent="0.35">
      <c r="A47" s="347"/>
      <c r="B47" s="331"/>
      <c r="C47" s="384" t="s">
        <v>360</v>
      </c>
      <c r="D47" s="564"/>
      <c r="E47" s="565"/>
    </row>
    <row r="48" spans="1:5" ht="15" customHeight="1" x14ac:dyDescent="0.35">
      <c r="A48" s="347"/>
      <c r="B48" s="331"/>
      <c r="C48" s="385" t="s">
        <v>361</v>
      </c>
      <c r="D48" s="386" t="s">
        <v>362</v>
      </c>
      <c r="E48" s="387" t="s">
        <v>362</v>
      </c>
    </row>
    <row r="49" spans="1:5" x14ac:dyDescent="0.35">
      <c r="A49" s="347"/>
      <c r="B49" s="331"/>
      <c r="C49" s="385" t="s">
        <v>363</v>
      </c>
      <c r="D49" s="386" t="s">
        <v>362</v>
      </c>
      <c r="E49" s="387" t="s">
        <v>362</v>
      </c>
    </row>
    <row r="50" spans="1:5" ht="15" customHeight="1" x14ac:dyDescent="0.35">
      <c r="A50" s="347"/>
      <c r="B50" s="331"/>
      <c r="C50" s="388" t="s">
        <v>62</v>
      </c>
      <c r="D50" s="596"/>
      <c r="E50" s="597"/>
    </row>
    <row r="51" spans="1:5" x14ac:dyDescent="0.35">
      <c r="A51" s="347"/>
      <c r="B51" s="331"/>
      <c r="C51" s="598" t="s">
        <v>364</v>
      </c>
      <c r="D51" s="600"/>
      <c r="E51" s="601"/>
    </row>
    <row r="52" spans="1:5" ht="16" customHeight="1" thickBot="1" x14ac:dyDescent="0.4">
      <c r="A52" s="347"/>
      <c r="B52" s="331"/>
      <c r="C52" s="599"/>
      <c r="D52" s="602"/>
      <c r="E52" s="603"/>
    </row>
    <row r="53" spans="1:5" ht="15" thickBot="1" x14ac:dyDescent="0.4">
      <c r="A53" s="347"/>
      <c r="B53" s="331"/>
      <c r="C53" s="389"/>
      <c r="D53" s="389"/>
      <c r="E53" s="543"/>
    </row>
    <row r="54" spans="1:5" ht="15" thickBot="1" x14ac:dyDescent="0.4">
      <c r="A54" s="347"/>
      <c r="B54" s="331"/>
      <c r="C54" s="604" t="s">
        <v>365</v>
      </c>
      <c r="D54" s="605"/>
      <c r="E54" s="606"/>
    </row>
    <row r="55" spans="1:5" x14ac:dyDescent="0.35">
      <c r="A55" s="347"/>
      <c r="B55" s="331"/>
      <c r="C55" s="390" t="s">
        <v>366</v>
      </c>
      <c r="D55" s="607" t="s">
        <v>367</v>
      </c>
      <c r="E55" s="608"/>
    </row>
    <row r="56" spans="1:5" ht="16" customHeight="1" x14ac:dyDescent="0.35">
      <c r="A56" s="347"/>
      <c r="B56" s="331"/>
      <c r="C56" s="391" t="s">
        <v>359</v>
      </c>
      <c r="D56" s="609"/>
      <c r="E56" s="610"/>
    </row>
    <row r="57" spans="1:5" x14ac:dyDescent="0.35">
      <c r="A57" s="347"/>
      <c r="B57" s="331"/>
      <c r="C57" s="351" t="s">
        <v>368</v>
      </c>
      <c r="D57" s="590" t="s">
        <v>369</v>
      </c>
      <c r="E57" s="591"/>
    </row>
    <row r="58" spans="1:5" x14ac:dyDescent="0.35">
      <c r="A58" s="347"/>
      <c r="B58" s="331"/>
      <c r="C58" s="392" t="s">
        <v>370</v>
      </c>
      <c r="D58" s="592"/>
      <c r="E58" s="593"/>
    </row>
    <row r="59" spans="1:5" ht="15" thickBot="1" x14ac:dyDescent="0.4">
      <c r="A59" s="540"/>
      <c r="B59" s="541"/>
      <c r="C59" s="393" t="s">
        <v>62</v>
      </c>
      <c r="D59" s="594"/>
      <c r="E59" s="595"/>
    </row>
    <row r="60" spans="1:5" ht="19" customHeight="1" x14ac:dyDescent="0.35">
      <c r="C60" s="50"/>
    </row>
    <row r="62" spans="1:5" ht="15" customHeight="1" x14ac:dyDescent="0.35"/>
    <row r="69" ht="15" customHeight="1" x14ac:dyDescent="0.35"/>
    <row r="70" ht="15" customHeight="1" x14ac:dyDescent="0.35"/>
  </sheetData>
  <mergeCells count="27">
    <mergeCell ref="C22:C23"/>
    <mergeCell ref="D22:E23"/>
    <mergeCell ref="D57:E58"/>
    <mergeCell ref="D59:E59"/>
    <mergeCell ref="D50:E50"/>
    <mergeCell ref="C51:C52"/>
    <mergeCell ref="D51:E52"/>
    <mergeCell ref="C54:E54"/>
    <mergeCell ref="D55:E56"/>
    <mergeCell ref="C30:C31"/>
    <mergeCell ref="D30:E31"/>
    <mergeCell ref="D32:E32"/>
    <mergeCell ref="D35:E36"/>
    <mergeCell ref="C37:C38"/>
    <mergeCell ref="D37:E38"/>
    <mergeCell ref="D24:E24"/>
    <mergeCell ref="A9:B9"/>
    <mergeCell ref="D9:E9"/>
    <mergeCell ref="D12:E13"/>
    <mergeCell ref="C14:C15"/>
    <mergeCell ref="D14:E15"/>
    <mergeCell ref="D28:E29"/>
    <mergeCell ref="D40:E41"/>
    <mergeCell ref="D42:E42"/>
    <mergeCell ref="D45:E47"/>
    <mergeCell ref="D16:E16"/>
    <mergeCell ref="D20:E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24D8-4993-49E9-81DC-CB4F91C98ACE}">
  <dimension ref="A1:A10"/>
  <sheetViews>
    <sheetView topLeftCell="A6" workbookViewId="0">
      <selection activeCell="F25" sqref="F25"/>
    </sheetView>
  </sheetViews>
  <sheetFormatPr defaultRowHeight="14.5" x14ac:dyDescent="0.35"/>
  <sheetData>
    <row r="1" spans="1:1" hidden="1" x14ac:dyDescent="0.35">
      <c r="A1" s="50" t="s">
        <v>334</v>
      </c>
    </row>
    <row r="2" spans="1:1" hidden="1" x14ac:dyDescent="0.35">
      <c r="A2" t="s">
        <v>335</v>
      </c>
    </row>
    <row r="3" spans="1:1" hidden="1" x14ac:dyDescent="0.35">
      <c r="A3" t="s">
        <v>336</v>
      </c>
    </row>
    <row r="4" spans="1:1" hidden="1" x14ac:dyDescent="0.35">
      <c r="A4" t="s">
        <v>337</v>
      </c>
    </row>
    <row r="5" spans="1:1" hidden="1" x14ac:dyDescent="0.35"/>
    <row r="6" spans="1:1" x14ac:dyDescent="0.35">
      <c r="A6" s="50" t="s">
        <v>338</v>
      </c>
    </row>
    <row r="7" spans="1:1" x14ac:dyDescent="0.35">
      <c r="A7" t="s">
        <v>339</v>
      </c>
    </row>
    <row r="8" spans="1:1" x14ac:dyDescent="0.35">
      <c r="A8" t="s">
        <v>340</v>
      </c>
    </row>
    <row r="9" spans="1:1" x14ac:dyDescent="0.35">
      <c r="A9" t="s">
        <v>341</v>
      </c>
    </row>
    <row r="10" spans="1:1" x14ac:dyDescent="0.35">
      <c r="A10" t="s">
        <v>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B3F2-8597-4F28-AC1D-03DA8A5DE849}">
  <sheetPr codeName="Sheet10"/>
  <dimension ref="A1:BZ61"/>
  <sheetViews>
    <sheetView showGridLines="0" topLeftCell="A12" zoomScale="60" zoomScaleNormal="60" workbookViewId="0">
      <selection activeCell="AV55" sqref="AV55"/>
    </sheetView>
  </sheetViews>
  <sheetFormatPr defaultRowHeight="14.5" x14ac:dyDescent="0.35"/>
  <sheetData>
    <row r="1" spans="1:78" ht="18.5" x14ac:dyDescent="0.45">
      <c r="A1" s="10" t="s">
        <v>64</v>
      </c>
      <c r="B1" s="10"/>
      <c r="C1" s="10"/>
    </row>
    <row r="2" spans="1:78" x14ac:dyDescent="0.35">
      <c r="AB2" s="50" t="s">
        <v>75</v>
      </c>
      <c r="BE2" s="50"/>
      <c r="BZ2" s="50"/>
    </row>
    <row r="24" spans="11:13" x14ac:dyDescent="0.35">
      <c r="M24" t="s">
        <v>128</v>
      </c>
    </row>
    <row r="29" spans="11:13" x14ac:dyDescent="0.35">
      <c r="K29" t="s">
        <v>62</v>
      </c>
    </row>
    <row r="36" spans="4:48" x14ac:dyDescent="0.35">
      <c r="D36" t="s">
        <v>194</v>
      </c>
    </row>
    <row r="37" spans="4:48" x14ac:dyDescent="0.35">
      <c r="M37" t="s">
        <v>166</v>
      </c>
      <c r="T37" t="s">
        <v>63</v>
      </c>
    </row>
    <row r="39" spans="4:48" x14ac:dyDescent="0.35">
      <c r="AT39" t="s">
        <v>62</v>
      </c>
    </row>
    <row r="40" spans="4:48" x14ac:dyDescent="0.35">
      <c r="F40" t="s">
        <v>62</v>
      </c>
    </row>
    <row r="41" spans="4:48" x14ac:dyDescent="0.35">
      <c r="K41" t="s">
        <v>167</v>
      </c>
      <c r="AI41" t="s">
        <v>263</v>
      </c>
    </row>
    <row r="42" spans="4:48" x14ac:dyDescent="0.35">
      <c r="Q42" t="s">
        <v>62</v>
      </c>
      <c r="AD42" t="s">
        <v>193</v>
      </c>
      <c r="AO42" t="s">
        <v>62</v>
      </c>
      <c r="AV42" t="s">
        <v>63</v>
      </c>
    </row>
    <row r="44" spans="4:48" x14ac:dyDescent="0.35">
      <c r="AK44" t="s">
        <v>62</v>
      </c>
    </row>
    <row r="47" spans="4:48" x14ac:dyDescent="0.35">
      <c r="AB47" t="s">
        <v>82</v>
      </c>
      <c r="AM47" t="s">
        <v>63</v>
      </c>
    </row>
    <row r="52" spans="26:41" x14ac:dyDescent="0.35">
      <c r="AO52" t="s">
        <v>62</v>
      </c>
    </row>
    <row r="54" spans="26:41" x14ac:dyDescent="0.35">
      <c r="Z54" t="s">
        <v>63</v>
      </c>
    </row>
    <row r="55" spans="26:41" x14ac:dyDescent="0.35">
      <c r="AM55" t="s">
        <v>63</v>
      </c>
    </row>
    <row r="58" spans="26:41" x14ac:dyDescent="0.35">
      <c r="AC58" t="s">
        <v>62</v>
      </c>
      <c r="AO58" t="s">
        <v>62</v>
      </c>
    </row>
    <row r="60" spans="26:41" x14ac:dyDescent="0.35">
      <c r="AB60" s="1"/>
    </row>
    <row r="61" spans="26:41" x14ac:dyDescent="0.35">
      <c r="AO61" t="s">
        <v>263</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U201"/>
  <sheetViews>
    <sheetView tabSelected="1" zoomScale="80" zoomScaleNormal="80" workbookViewId="0">
      <selection activeCell="D7" sqref="D7"/>
    </sheetView>
  </sheetViews>
  <sheetFormatPr defaultColWidth="9.1796875" defaultRowHeight="14.5" x14ac:dyDescent="0.35"/>
  <cols>
    <col min="1" max="1" width="37.7265625" customWidth="1"/>
    <col min="2" max="2" width="32.81640625" customWidth="1"/>
    <col min="3" max="3" width="23.54296875" customWidth="1"/>
    <col min="4" max="5" width="25.81640625" customWidth="1"/>
    <col min="6" max="6" width="26.81640625" customWidth="1"/>
    <col min="7" max="7" width="27.26953125" customWidth="1"/>
    <col min="8" max="8" width="27.453125" customWidth="1"/>
    <col min="9" max="9" width="18.7265625" customWidth="1"/>
    <col min="10" max="10" width="15.1796875" customWidth="1"/>
    <col min="11" max="11" width="16.7265625" customWidth="1"/>
    <col min="12" max="12" width="14" customWidth="1"/>
    <col min="13" max="13" width="16.26953125" customWidth="1"/>
    <col min="14" max="14" width="18.453125" customWidth="1"/>
    <col min="15" max="15" width="18.7265625" customWidth="1"/>
    <col min="16" max="16" width="17.81640625" customWidth="1"/>
    <col min="17" max="17" width="17.7265625" customWidth="1"/>
    <col min="18" max="18" width="17.26953125" customWidth="1"/>
    <col min="19" max="19" width="14.453125" customWidth="1"/>
    <col min="20" max="20" width="15.453125" customWidth="1"/>
    <col min="21" max="40" width="11.7265625" customWidth="1"/>
  </cols>
  <sheetData>
    <row r="1" spans="1:19" ht="18.5" x14ac:dyDescent="0.45">
      <c r="A1" s="10" t="s">
        <v>61</v>
      </c>
      <c r="B1" s="3"/>
      <c r="C1" s="3"/>
      <c r="D1" s="3"/>
      <c r="I1" s="84"/>
    </row>
    <row r="2" spans="1:19" x14ac:dyDescent="0.35">
      <c r="A2" s="5"/>
      <c r="B2" s="112"/>
      <c r="C2" s="113"/>
      <c r="G2" s="3"/>
      <c r="L2" s="2"/>
      <c r="M2" s="83"/>
      <c r="N2" s="70"/>
    </row>
    <row r="3" spans="1:19" x14ac:dyDescent="0.35">
      <c r="A3" s="105" t="s">
        <v>73</v>
      </c>
      <c r="B3" s="207">
        <f>Summary!B16</f>
        <v>0.37003550681022779</v>
      </c>
      <c r="C3" s="176"/>
      <c r="D3" s="11" t="s">
        <v>68</v>
      </c>
      <c r="E3" s="90">
        <f>Heat_map_graph_FG!D59</f>
        <v>0.23758545999999997</v>
      </c>
      <c r="F3" s="29"/>
      <c r="G3" s="90" t="s">
        <v>69</v>
      </c>
      <c r="H3" s="90">
        <f>SUM(Heat_map_graph_FG!D37:D58)</f>
        <v>0.12572700199999995</v>
      </c>
      <c r="L3" s="3"/>
      <c r="M3" s="26"/>
    </row>
    <row r="4" spans="1:19" x14ac:dyDescent="0.35">
      <c r="A4" s="152" t="s">
        <v>111</v>
      </c>
      <c r="B4" s="207">
        <f>Summary!B17</f>
        <v>0.3360049379857053</v>
      </c>
      <c r="C4" s="91"/>
      <c r="D4" s="102" t="s">
        <v>70</v>
      </c>
      <c r="E4" s="106">
        <f>Heat_map_graph_FG!D27</f>
        <v>0.24262319799999998</v>
      </c>
      <c r="F4" s="101"/>
      <c r="G4" s="90" t="s">
        <v>71</v>
      </c>
      <c r="H4" s="90">
        <f>SUM(Heat_map_graph_FG!D5:D26)</f>
        <v>0.13169962200000004</v>
      </c>
      <c r="I4" s="1"/>
      <c r="L4" s="3"/>
      <c r="M4" s="3"/>
      <c r="N4" s="1"/>
      <c r="O4" s="1"/>
      <c r="Q4" s="1"/>
      <c r="R4" s="1"/>
      <c r="S4" s="1"/>
    </row>
    <row r="5" spans="1:19" x14ac:dyDescent="0.35">
      <c r="A5" s="152" t="s">
        <v>79</v>
      </c>
      <c r="B5" s="207">
        <f>Summary!B18</f>
        <v>0.22528389686756045</v>
      </c>
      <c r="C5" s="91"/>
      <c r="D5" s="144" t="s">
        <v>371</v>
      </c>
      <c r="E5" s="109">
        <v>3.2267684325505002</v>
      </c>
      <c r="F5" s="104"/>
      <c r="L5" s="3"/>
      <c r="M5" s="3"/>
      <c r="N5" s="3"/>
      <c r="O5" s="3"/>
      <c r="Q5" s="80"/>
      <c r="R5" s="85"/>
    </row>
    <row r="6" spans="1:19" x14ac:dyDescent="0.35">
      <c r="A6" s="172" t="s">
        <v>119</v>
      </c>
      <c r="B6" s="153">
        <f>Summary!B19</f>
        <v>1.3040892557895898E-2</v>
      </c>
      <c r="C6" s="177"/>
      <c r="D6" s="145" t="s">
        <v>372</v>
      </c>
      <c r="E6" s="108">
        <v>5.6772444217501796</v>
      </c>
      <c r="G6" s="11" t="s">
        <v>117</v>
      </c>
      <c r="H6" s="291">
        <f>Summary!N18</f>
        <v>10000</v>
      </c>
      <c r="I6" t="s">
        <v>110</v>
      </c>
      <c r="M6" s="101"/>
      <c r="N6" s="101"/>
      <c r="O6" s="101"/>
      <c r="P6" s="3"/>
      <c r="Q6" s="29"/>
      <c r="R6" s="85"/>
    </row>
    <row r="7" spans="1:19" ht="15.5" x14ac:dyDescent="0.35">
      <c r="A7" s="34" t="s">
        <v>11</v>
      </c>
      <c r="B7" s="276">
        <f>SUM(B3:B6)</f>
        <v>0.9443652342213894</v>
      </c>
      <c r="C7" s="91"/>
      <c r="D7" s="179" t="s">
        <v>373</v>
      </c>
      <c r="E7" s="158">
        <v>11.12773</v>
      </c>
      <c r="F7" s="329">
        <f>NORMDIST(E7, B7-1, E6, TRUE)    -  NORMDIST(-E7, B7-1, E6, TRUE)</f>
        <v>0.95000002340679435</v>
      </c>
      <c r="G7" s="90" t="s">
        <v>118</v>
      </c>
      <c r="H7" s="292">
        <f>Summary!R18</f>
        <v>6.0134175798496279E-8</v>
      </c>
      <c r="I7" t="s">
        <v>80</v>
      </c>
      <c r="J7" s="173">
        <f>1/H7</f>
        <v>16629478.773449924</v>
      </c>
      <c r="K7" t="s">
        <v>124</v>
      </c>
      <c r="M7" s="29"/>
      <c r="N7" s="29"/>
      <c r="O7" s="29"/>
      <c r="Q7" s="29"/>
    </row>
    <row r="8" spans="1:19" x14ac:dyDescent="0.35">
      <c r="A8" s="86"/>
      <c r="B8" s="34"/>
      <c r="C8" s="9"/>
      <c r="L8" s="3"/>
      <c r="M8" s="29"/>
      <c r="N8" s="29"/>
      <c r="O8" s="29"/>
      <c r="Q8" s="29"/>
      <c r="R8" s="2"/>
      <c r="S8" s="2"/>
    </row>
    <row r="9" spans="1:19" ht="18.5" x14ac:dyDescent="0.45">
      <c r="A9" s="1" t="s">
        <v>108</v>
      </c>
      <c r="B9" s="9" t="str">
        <f>Summary!B2</f>
        <v>Chance</v>
      </c>
      <c r="C9" s="9" t="str">
        <f>Summary!C2</f>
        <v>RTP</v>
      </c>
      <c r="D9" s="9" t="str">
        <f>Summary!D2</f>
        <v>EV</v>
      </c>
      <c r="E9" s="9" t="str">
        <f>Summary!F2</f>
        <v>Base RTP</v>
      </c>
      <c r="F9" s="9" t="str">
        <f>Summary!G2</f>
        <v>EV</v>
      </c>
      <c r="H9" s="47" t="s">
        <v>181</v>
      </c>
      <c r="I9" s="50" t="s">
        <v>102</v>
      </c>
      <c r="K9" s="50" t="s">
        <v>126</v>
      </c>
      <c r="S9" s="2"/>
    </row>
    <row r="10" spans="1:19" x14ac:dyDescent="0.35">
      <c r="A10" s="11" t="str">
        <f>Summary!A3</f>
        <v>BaseA</v>
      </c>
      <c r="B10" s="90">
        <f>Summary!B3</f>
        <v>0.72</v>
      </c>
      <c r="C10" s="153">
        <f>Summary!C3</f>
        <v>0.48924808455313479</v>
      </c>
      <c r="D10" s="153">
        <f>Summary!D3</f>
        <v>0.35225862087825704</v>
      </c>
      <c r="E10" s="11">
        <f>Summary!F3</f>
        <v>0.48924808455313479</v>
      </c>
      <c r="F10" s="121">
        <f>Summary!G3</f>
        <v>0.35225862087825704</v>
      </c>
      <c r="H10" s="1" t="str">
        <f>BaseB!N24</f>
        <v>QH Multiplier/Symbol</v>
      </c>
      <c r="I10" s="1" t="str">
        <f>BaseB!O24</f>
        <v>Chance</v>
      </c>
      <c r="J10" s="1" t="str">
        <f>BaseB!P24</f>
        <v>EV</v>
      </c>
      <c r="K10" t="str">
        <f>BaseC!O24</f>
        <v>Chance</v>
      </c>
      <c r="L10" t="str">
        <f>BaseC!P24</f>
        <v>EV</v>
      </c>
    </row>
    <row r="11" spans="1:19" x14ac:dyDescent="0.35">
      <c r="A11" s="11" t="str">
        <f>Summary!A4</f>
        <v>BaseB</v>
      </c>
      <c r="B11" s="90">
        <f>Summary!B4</f>
        <v>0.24</v>
      </c>
      <c r="C11" s="153">
        <f>Summary!C4</f>
        <v>2.2487377279125949</v>
      </c>
      <c r="D11" s="153">
        <f>Summary!D4</f>
        <v>0.53969705469902274</v>
      </c>
      <c r="E11" s="11">
        <f>Summary!F4</f>
        <v>1.4412013939091206</v>
      </c>
      <c r="F11" s="121">
        <f>Summary!G4</f>
        <v>0.34588833453818896</v>
      </c>
      <c r="H11" s="323">
        <f>BaseB!N25</f>
        <v>0.5</v>
      </c>
      <c r="I11" s="324">
        <f>BaseB!O25</f>
        <v>0.2780999999999999</v>
      </c>
      <c r="J11" s="325">
        <f>BaseB!P25</f>
        <v>0.13904999999999995</v>
      </c>
      <c r="K11" s="326">
        <f>BaseC!O25</f>
        <v>0.05</v>
      </c>
      <c r="L11" s="327">
        <f>BaseC!P25</f>
        <v>2.5000000000000001E-2</v>
      </c>
    </row>
    <row r="12" spans="1:19" x14ac:dyDescent="0.35">
      <c r="A12" s="11" t="str">
        <f>Summary!A5</f>
        <v>BaseC</v>
      </c>
      <c r="B12" s="90">
        <f>Summary!B5</f>
        <v>0.04</v>
      </c>
      <c r="C12" s="153">
        <f>Summary!C5</f>
        <v>0.98421665215534382</v>
      </c>
      <c r="D12" s="153">
        <f>Summary!D5</f>
        <v>3.9368666086213755E-2</v>
      </c>
      <c r="E12" s="11">
        <f>Summary!F5</f>
        <v>0.19733723448717769</v>
      </c>
      <c r="F12" s="121">
        <f>Summary!G5</f>
        <v>7.8934893794871085E-3</v>
      </c>
      <c r="H12" s="323">
        <f>BaseB!N26</f>
        <v>1</v>
      </c>
      <c r="I12" s="324">
        <f>BaseB!O26</f>
        <v>0.27</v>
      </c>
      <c r="J12" s="325">
        <f>BaseB!P26</f>
        <v>0.27</v>
      </c>
      <c r="K12" s="326">
        <f>BaseC!O26</f>
        <v>0.05</v>
      </c>
      <c r="L12" s="327">
        <f>BaseC!P26</f>
        <v>0.05</v>
      </c>
    </row>
    <row r="13" spans="1:19" x14ac:dyDescent="0.35">
      <c r="B13" s="29">
        <f>Summary!B6</f>
        <v>1</v>
      </c>
      <c r="D13" s="80">
        <f>Summary!D6</f>
        <v>0.93132434166349354</v>
      </c>
      <c r="F13" s="261">
        <f>SUM(F10:F12)</f>
        <v>0.70604044479593309</v>
      </c>
      <c r="H13" s="323">
        <f>BaseB!N27</f>
        <v>1.5</v>
      </c>
      <c r="I13" s="324">
        <f>BaseB!O27</f>
        <v>0.12</v>
      </c>
      <c r="J13" s="325">
        <f>BaseB!P27</f>
        <v>0.18</v>
      </c>
      <c r="K13" s="326">
        <f>BaseC!O27</f>
        <v>0.05</v>
      </c>
      <c r="L13" s="327">
        <f>BaseC!P27</f>
        <v>7.5000000000000011E-2</v>
      </c>
    </row>
    <row r="14" spans="1:19" x14ac:dyDescent="0.35">
      <c r="H14" s="323">
        <f>BaseB!N28</f>
        <v>2</v>
      </c>
      <c r="I14" s="324">
        <f>BaseB!O28</f>
        <v>0.09</v>
      </c>
      <c r="J14" s="325">
        <f>BaseB!P28</f>
        <v>0.18</v>
      </c>
      <c r="K14" s="326">
        <f>BaseC!O28</f>
        <v>0.05</v>
      </c>
      <c r="L14" s="327">
        <f>BaseC!P28</f>
        <v>0.1</v>
      </c>
      <c r="S14" s="50"/>
    </row>
    <row r="15" spans="1:19" x14ac:dyDescent="0.35">
      <c r="G15" s="50"/>
      <c r="H15" s="323">
        <f>BaseB!N29</f>
        <v>2.5</v>
      </c>
      <c r="I15" s="324">
        <f>BaseB!O29</f>
        <v>0.06</v>
      </c>
      <c r="J15" s="325">
        <f>BaseB!P29</f>
        <v>0.15</v>
      </c>
      <c r="K15" s="326">
        <f>BaseC!O29</f>
        <v>0.05</v>
      </c>
      <c r="L15" s="327">
        <f>BaseC!P29</f>
        <v>0.125</v>
      </c>
    </row>
    <row r="16" spans="1:19" x14ac:dyDescent="0.35">
      <c r="A16" s="1" t="s">
        <v>67</v>
      </c>
      <c r="B16" s="1" t="s">
        <v>101</v>
      </c>
      <c r="C16" s="279"/>
      <c r="D16" s="34" t="str">
        <f>Summary!F8</f>
        <v>Type of Coin in Base in BaseB and BaseC</v>
      </c>
      <c r="E16" s="9" t="str">
        <f>Summary!G8</f>
        <v>Chance</v>
      </c>
      <c r="H16" s="323">
        <f>BaseB!N30</f>
        <v>3</v>
      </c>
      <c r="I16" s="324">
        <f>BaseB!O30</f>
        <v>0.04</v>
      </c>
      <c r="J16" s="325">
        <f>BaseB!P30</f>
        <v>0.12</v>
      </c>
      <c r="K16" s="326">
        <f>BaseC!O30</f>
        <v>0.05</v>
      </c>
      <c r="L16" s="327">
        <f>BaseC!P30</f>
        <v>0.15000000000000002</v>
      </c>
    </row>
    <row r="17" spans="1:12" x14ac:dyDescent="0.35">
      <c r="A17" s="11" t="str">
        <f>BaseA!N25</f>
        <v>H1</v>
      </c>
      <c r="B17" s="121">
        <f>BaseA!O25</f>
        <v>7.0000000000000007E-2</v>
      </c>
      <c r="C17" s="120"/>
      <c r="D17" s="172" t="str">
        <f>Summary!F9</f>
        <v>Bronze</v>
      </c>
      <c r="E17" s="153">
        <f>Summary!G9</f>
        <v>0.25</v>
      </c>
      <c r="H17" s="323">
        <f>BaseB!N31</f>
        <v>3.5</v>
      </c>
      <c r="I17" s="324">
        <f>BaseB!O31</f>
        <v>0.03</v>
      </c>
      <c r="J17" s="325">
        <f>BaseB!P31</f>
        <v>0.105</v>
      </c>
      <c r="K17" s="326">
        <f>BaseC!O31</f>
        <v>0.05</v>
      </c>
      <c r="L17" s="327">
        <f>BaseC!P31</f>
        <v>0.17500000000000002</v>
      </c>
    </row>
    <row r="18" spans="1:12" x14ac:dyDescent="0.35">
      <c r="A18" s="11" t="str">
        <f>BaseA!N26</f>
        <v>H2</v>
      </c>
      <c r="B18" s="121">
        <f>BaseA!O26</f>
        <v>0.08</v>
      </c>
      <c r="C18" s="120"/>
      <c r="D18" s="172" t="str">
        <f>Summary!F10</f>
        <v>Silver</v>
      </c>
      <c r="E18" s="153">
        <f>Summary!G10</f>
        <v>0.25</v>
      </c>
      <c r="H18" s="323">
        <f>BaseB!N32</f>
        <v>4</v>
      </c>
      <c r="I18" s="324">
        <f>BaseB!O32</f>
        <v>2.5000000000000001E-2</v>
      </c>
      <c r="J18" s="325">
        <f>BaseB!P32</f>
        <v>0.1</v>
      </c>
      <c r="K18" s="326">
        <f>BaseC!O32</f>
        <v>0.05</v>
      </c>
      <c r="L18" s="327">
        <f>BaseC!P32</f>
        <v>0.2</v>
      </c>
    </row>
    <row r="19" spans="1:12" x14ac:dyDescent="0.35">
      <c r="A19" s="11" t="str">
        <f>BaseA!N27</f>
        <v>H3</v>
      </c>
      <c r="B19" s="121">
        <f>BaseA!O27</f>
        <v>0.1</v>
      </c>
      <c r="C19" s="120"/>
      <c r="D19" s="172" t="str">
        <f>Summary!F11</f>
        <v>Gold</v>
      </c>
      <c r="E19" s="153">
        <f>Summary!G11</f>
        <v>0.25</v>
      </c>
      <c r="H19" s="323">
        <f>BaseB!N33</f>
        <v>5</v>
      </c>
      <c r="I19" s="324">
        <f>BaseB!O33</f>
        <v>0.02</v>
      </c>
      <c r="J19" s="325">
        <f>BaseB!P33</f>
        <v>0.1</v>
      </c>
      <c r="K19" s="326">
        <f>BaseC!O33</f>
        <v>0.05</v>
      </c>
      <c r="L19" s="327">
        <f>BaseC!P33</f>
        <v>0.25</v>
      </c>
    </row>
    <row r="20" spans="1:12" x14ac:dyDescent="0.35">
      <c r="A20" s="11" t="str">
        <f>BaseA!N28</f>
        <v>H4</v>
      </c>
      <c r="B20" s="121">
        <f>BaseA!O28</f>
        <v>0.11</v>
      </c>
      <c r="C20" s="120"/>
      <c r="D20" s="172" t="str">
        <f>Summary!F12</f>
        <v>Platinum</v>
      </c>
      <c r="E20" s="153">
        <f>Summary!G12</f>
        <v>0.25</v>
      </c>
      <c r="H20" s="323">
        <f>BaseB!N34</f>
        <v>6</v>
      </c>
      <c r="I20" s="324">
        <f>BaseB!O34</f>
        <v>1.4999999999999999E-2</v>
      </c>
      <c r="J20" s="325">
        <f>BaseB!P34</f>
        <v>0.09</v>
      </c>
      <c r="K20" s="326">
        <f>BaseC!O34</f>
        <v>0.05</v>
      </c>
      <c r="L20" s="327">
        <f>BaseC!P34</f>
        <v>0.30000000000000004</v>
      </c>
    </row>
    <row r="21" spans="1:12" x14ac:dyDescent="0.35">
      <c r="A21" s="11" t="str">
        <f>BaseA!N29</f>
        <v>H5</v>
      </c>
      <c r="B21" s="121">
        <f>BaseA!O29</f>
        <v>0.11</v>
      </c>
      <c r="C21" s="120"/>
      <c r="E21" s="80">
        <f>Summary!G13</f>
        <v>1</v>
      </c>
      <c r="H21" s="323">
        <f>BaseB!N35</f>
        <v>7</v>
      </c>
      <c r="I21" s="324">
        <f>BaseB!O35</f>
        <v>1.2E-2</v>
      </c>
      <c r="J21" s="325">
        <f>BaseB!P35</f>
        <v>8.4000000000000005E-2</v>
      </c>
      <c r="K21" s="326">
        <f>BaseC!O35</f>
        <v>0.05</v>
      </c>
      <c r="L21" s="327">
        <f>BaseC!P35</f>
        <v>0.35000000000000003</v>
      </c>
    </row>
    <row r="22" spans="1:12" x14ac:dyDescent="0.35">
      <c r="A22" s="11" t="str">
        <f>BaseA!N30</f>
        <v>L1</v>
      </c>
      <c r="B22" s="121">
        <f>BaseA!O30</f>
        <v>0.12</v>
      </c>
      <c r="C22" s="120"/>
      <c r="H22" s="323">
        <f>BaseB!N36</f>
        <v>8</v>
      </c>
      <c r="I22" s="324">
        <f>BaseB!O36</f>
        <v>0.01</v>
      </c>
      <c r="J22" s="325">
        <f>BaseB!P36</f>
        <v>0.08</v>
      </c>
      <c r="K22" s="326">
        <f>BaseC!O36</f>
        <v>0.05</v>
      </c>
      <c r="L22" s="327">
        <f>BaseC!P36</f>
        <v>0.4</v>
      </c>
    </row>
    <row r="23" spans="1:12" ht="18.5" x14ac:dyDescent="0.45">
      <c r="A23" s="11" t="str">
        <f>BaseA!N31</f>
        <v>L2</v>
      </c>
      <c r="B23" s="121">
        <f>BaseA!O31</f>
        <v>0.12</v>
      </c>
      <c r="C23" s="120"/>
      <c r="D23" s="47" t="s">
        <v>109</v>
      </c>
      <c r="H23" s="323">
        <f>BaseB!N37</f>
        <v>9</v>
      </c>
      <c r="I23" s="324">
        <f>BaseB!O37</f>
        <v>8.0000000000000002E-3</v>
      </c>
      <c r="J23" s="325">
        <f>BaseB!P37</f>
        <v>7.2000000000000008E-2</v>
      </c>
      <c r="K23" s="326">
        <f>BaseC!O37</f>
        <v>0.05</v>
      </c>
      <c r="L23" s="327">
        <f>BaseC!P37</f>
        <v>0.45</v>
      </c>
    </row>
    <row r="24" spans="1:12" ht="21" x14ac:dyDescent="0.5">
      <c r="A24" s="11" t="str">
        <f>BaseA!N32</f>
        <v>L3</v>
      </c>
      <c r="B24" s="121">
        <f>BaseA!O32</f>
        <v>0.14000000000000001</v>
      </c>
      <c r="C24" s="120"/>
      <c r="D24" s="172" t="str">
        <f>Summary!A12</f>
        <v>Collect Win Chance:</v>
      </c>
      <c r="E24" s="121">
        <f>Summary!B12</f>
        <v>4.5661840578037176E-2</v>
      </c>
      <c r="F24" t="str">
        <f>Summary!C12</f>
        <v xml:space="preserve">  or  1 in </v>
      </c>
      <c r="G24" s="174">
        <f>Summary!D12</f>
        <v>21.900124641076964</v>
      </c>
      <c r="H24" s="323">
        <f>BaseB!N38</f>
        <v>10</v>
      </c>
      <c r="I24" s="324">
        <f>BaseB!O38</f>
        <v>6.0000000000000001E-3</v>
      </c>
      <c r="J24" s="325">
        <f>BaseB!P38</f>
        <v>0.06</v>
      </c>
      <c r="K24" s="326">
        <f>BaseC!O38</f>
        <v>0.05</v>
      </c>
      <c r="L24" s="327">
        <f>BaseC!P38</f>
        <v>0.5</v>
      </c>
    </row>
    <row r="25" spans="1:12" x14ac:dyDescent="0.35">
      <c r="A25" s="11" t="str">
        <f>BaseA!N33</f>
        <v>L4</v>
      </c>
      <c r="B25" s="121">
        <f>BaseA!O33</f>
        <v>0.13</v>
      </c>
      <c r="C25" s="120"/>
      <c r="D25" s="172" t="str">
        <f>Summary!A13</f>
        <v>Collect RTP:</v>
      </c>
      <c r="E25" s="121">
        <f>Summary!B13</f>
        <v>0.3360049379857053</v>
      </c>
      <c r="H25" s="323">
        <f>BaseB!N39</f>
        <v>12</v>
      </c>
      <c r="I25" s="324">
        <f>BaseB!O39</f>
        <v>5.0000000000000001E-3</v>
      </c>
      <c r="J25" s="325">
        <f>BaseB!P39</f>
        <v>0.06</v>
      </c>
      <c r="K25" s="326">
        <f>BaseC!O39</f>
        <v>0.05</v>
      </c>
      <c r="L25" s="327">
        <f>BaseC!P39</f>
        <v>0.60000000000000009</v>
      </c>
    </row>
    <row r="26" spans="1:12" x14ac:dyDescent="0.35">
      <c r="A26" s="11" t="str">
        <f>BaseA!N34</f>
        <v>W</v>
      </c>
      <c r="B26" s="121">
        <f>BaseA!O34</f>
        <v>0.02</v>
      </c>
      <c r="C26" s="120"/>
      <c r="D26" s="172" t="str">
        <f>Summary!A14</f>
        <v>Collect Ave Win:</v>
      </c>
      <c r="E26" s="314">
        <f>Summary!B14</f>
        <v>7.3585500219042821</v>
      </c>
      <c r="F26" t="s">
        <v>110</v>
      </c>
      <c r="H26" s="323">
        <f>BaseB!N40</f>
        <v>15</v>
      </c>
      <c r="I26" s="324">
        <f>BaseB!O40</f>
        <v>4.0000000000000001E-3</v>
      </c>
      <c r="J26" s="325">
        <f>BaseB!P40</f>
        <v>0.06</v>
      </c>
      <c r="K26" s="326">
        <f>BaseC!O40</f>
        <v>0.05</v>
      </c>
      <c r="L26" s="327">
        <f>BaseC!P40</f>
        <v>0.75</v>
      </c>
    </row>
    <row r="27" spans="1:12" x14ac:dyDescent="0.35">
      <c r="B27" s="120">
        <f>SUM(B17:B26)</f>
        <v>1</v>
      </c>
      <c r="H27" s="323">
        <f>BaseB!N41</f>
        <v>20</v>
      </c>
      <c r="I27" s="324">
        <f>BaseB!O41</f>
        <v>3.0000000000000001E-3</v>
      </c>
      <c r="J27" s="325">
        <f>BaseB!P41</f>
        <v>0.06</v>
      </c>
      <c r="K27" s="326">
        <f>BaseC!O41</f>
        <v>0.04</v>
      </c>
      <c r="L27" s="327">
        <f>BaseC!P41</f>
        <v>0.8</v>
      </c>
    </row>
    <row r="28" spans="1:12" x14ac:dyDescent="0.35">
      <c r="D28" s="1"/>
      <c r="H28" s="323">
        <f>BaseB!N42</f>
        <v>25</v>
      </c>
      <c r="I28" s="324">
        <f>BaseB!O42</f>
        <v>2E-3</v>
      </c>
      <c r="J28" s="325">
        <f>BaseB!P42</f>
        <v>0.05</v>
      </c>
      <c r="K28" s="326">
        <f>BaseC!O42</f>
        <v>0.04</v>
      </c>
      <c r="L28" s="327">
        <f>BaseC!P42</f>
        <v>1</v>
      </c>
    </row>
    <row r="29" spans="1:12" x14ac:dyDescent="0.35">
      <c r="H29" s="323">
        <f>BaseB!N43</f>
        <v>30</v>
      </c>
      <c r="I29" s="324">
        <f>BaseB!O43</f>
        <v>1E-3</v>
      </c>
      <c r="J29" s="325">
        <f>BaseB!P43</f>
        <v>0.03</v>
      </c>
      <c r="K29" s="326">
        <f>BaseC!O43</f>
        <v>0.04</v>
      </c>
      <c r="L29" s="327">
        <f>BaseC!P43</f>
        <v>1.2</v>
      </c>
    </row>
    <row r="30" spans="1:12" x14ac:dyDescent="0.35">
      <c r="H30" s="323">
        <f>BaseB!N44</f>
        <v>40</v>
      </c>
      <c r="I30" s="324">
        <f>BaseB!O44</f>
        <v>5.0000000000000001E-4</v>
      </c>
      <c r="J30" s="325">
        <f>BaseB!P44</f>
        <v>0.02</v>
      </c>
      <c r="K30" s="326">
        <f>BaseC!O44</f>
        <v>0.04</v>
      </c>
      <c r="L30" s="327">
        <f>BaseC!P44</f>
        <v>1.6</v>
      </c>
    </row>
    <row r="31" spans="1:12" ht="18.5" x14ac:dyDescent="0.45">
      <c r="G31" s="175"/>
      <c r="H31" s="323">
        <f>BaseB!N45</f>
        <v>50</v>
      </c>
      <c r="I31" s="324">
        <f>BaseB!O45</f>
        <v>4.0000000000000002E-4</v>
      </c>
      <c r="J31" s="325">
        <f>BaseB!P45</f>
        <v>0.02</v>
      </c>
      <c r="K31" s="326">
        <f>BaseC!O45</f>
        <v>0.04</v>
      </c>
      <c r="L31" s="327">
        <f>BaseC!P45</f>
        <v>2</v>
      </c>
    </row>
    <row r="32" spans="1:12" ht="18.5" x14ac:dyDescent="0.45">
      <c r="G32" s="175"/>
      <c r="I32" s="29">
        <f>SUM(I11:I31)</f>
        <v>0.99999999999999989</v>
      </c>
      <c r="J32">
        <f>SUM(J11:J31)</f>
        <v>2.0300500000000006</v>
      </c>
      <c r="K32" s="29">
        <f>SUM(K11:K31)</f>
        <v>1.0000000000000002</v>
      </c>
      <c r="L32">
        <f>SUM(L11:L31)</f>
        <v>11.1</v>
      </c>
    </row>
    <row r="33" spans="1:21" ht="18.5" x14ac:dyDescent="0.45">
      <c r="A33" s="47" t="s">
        <v>169</v>
      </c>
      <c r="K33" s="80"/>
      <c r="L33" s="26"/>
    </row>
    <row r="34" spans="1:21" x14ac:dyDescent="0.35">
      <c r="A34" s="274" t="str">
        <f>Summary!J10</f>
        <v>Chance of Increment in BaseA:</v>
      </c>
      <c r="B34" s="294">
        <f>Summary!K10</f>
        <v>0.4</v>
      </c>
      <c r="C34" s="9"/>
      <c r="D34" s="9"/>
      <c r="K34" s="80"/>
      <c r="L34" s="26"/>
    </row>
    <row r="35" spans="1:21" x14ac:dyDescent="0.35">
      <c r="A35" s="274" t="str">
        <f>Summary!J11</f>
        <v>Chance of Increment:</v>
      </c>
      <c r="B35" s="294">
        <f>Summary!K11</f>
        <v>0.28799999999999998</v>
      </c>
      <c r="C35" s="9" t="str">
        <f>Summary!L11</f>
        <v>or 1 in</v>
      </c>
      <c r="D35" s="9">
        <f>Summary!M11</f>
        <v>3.4722222222222223</v>
      </c>
      <c r="K35" s="80"/>
      <c r="L35" s="26"/>
    </row>
    <row r="36" spans="1:21" x14ac:dyDescent="0.35">
      <c r="A36" s="274" t="str">
        <f>Summary!J13</f>
        <v>Bonus Game Token Chance:</v>
      </c>
      <c r="B36" s="295">
        <f>Summary!K13</f>
        <v>0.16</v>
      </c>
      <c r="C36" s="9"/>
      <c r="D36" s="9"/>
      <c r="K36" s="80"/>
      <c r="L36" s="26"/>
    </row>
    <row r="37" spans="1:21" x14ac:dyDescent="0.35">
      <c r="K37" s="80"/>
      <c r="L37" s="26"/>
    </row>
    <row r="38" spans="1:21" x14ac:dyDescent="0.35">
      <c r="A38" s="9" t="str">
        <f>Summary!J14</f>
        <v>Type</v>
      </c>
      <c r="B38" s="9" t="str">
        <f>Summary!K14</f>
        <v>Increment %Distribution</v>
      </c>
      <c r="C38" s="9" t="str">
        <f>Summary!L14</f>
        <v>Increment Value</v>
      </c>
      <c r="D38" s="9" t="str">
        <f>Summary!M14</f>
        <v>Min Jackpot Win</v>
      </c>
      <c r="E38" s="9" t="str">
        <f>Summary!N14</f>
        <v>Max Jackpot Win</v>
      </c>
      <c r="F38" s="9" t="str">
        <f>Summary!O14</f>
        <v>Average Win</v>
      </c>
      <c r="G38" s="9" t="str">
        <f>Summary!P14</f>
        <v>Token %Distribution</v>
      </c>
      <c r="H38" s="9" t="str">
        <f>Summary!Q14</f>
        <v>No. of Tokens Required</v>
      </c>
      <c r="I38" s="1" t="str">
        <f>Summary!R14</f>
        <v>Jackpot Hit Chance</v>
      </c>
      <c r="J38" s="9" t="str">
        <f>Summary!S14</f>
        <v>RTP</v>
      </c>
      <c r="K38" s="9" t="str">
        <f>Summary!T14</f>
        <v>Jackpot Pulls/Hit</v>
      </c>
      <c r="L38" s="26"/>
    </row>
    <row r="39" spans="1:21" x14ac:dyDescent="0.35">
      <c r="A39" s="260" t="str">
        <f>Summary!J15</f>
        <v>Mini</v>
      </c>
      <c r="B39" s="121">
        <f>Summary!K15</f>
        <v>0.25</v>
      </c>
      <c r="C39" s="293">
        <f>Summary!L15</f>
        <v>0.5</v>
      </c>
      <c r="D39" s="237">
        <f>Summary!M15</f>
        <v>10</v>
      </c>
      <c r="E39" s="237">
        <f>Summary!N15</f>
        <v>20</v>
      </c>
      <c r="F39" s="260">
        <f>Summary!O15</f>
        <v>19.907801925426099</v>
      </c>
      <c r="G39" s="121">
        <f>Summary!P15</f>
        <v>0.26</v>
      </c>
      <c r="H39" s="278">
        <f>Summary!Q15</f>
        <v>2</v>
      </c>
      <c r="I39" s="284">
        <f>Summary!R15</f>
        <v>3.5350539275975045E-4</v>
      </c>
      <c r="J39" s="258">
        <f>Summary!S15</f>
        <v>7.0375153386310696E-3</v>
      </c>
      <c r="K39" s="216">
        <f>Summary!T15</f>
        <v>2828.8111595503174</v>
      </c>
      <c r="L39" s="26"/>
    </row>
    <row r="40" spans="1:21" x14ac:dyDescent="0.35">
      <c r="A40" s="260" t="str">
        <f>Summary!J16</f>
        <v>Midi</v>
      </c>
      <c r="B40" s="121">
        <f>Summary!K16</f>
        <v>0.25</v>
      </c>
      <c r="C40" s="293">
        <f>Summary!L16</f>
        <v>2</v>
      </c>
      <c r="D40" s="237">
        <f>Summary!M16</f>
        <v>30</v>
      </c>
      <c r="E40" s="237">
        <f>Summary!N16</f>
        <v>50</v>
      </c>
      <c r="F40" s="260">
        <f>Summary!O16</f>
        <v>49.980773167133599</v>
      </c>
      <c r="G40" s="121">
        <f>Summary!P16</f>
        <v>0.31</v>
      </c>
      <c r="H40" s="278">
        <f>Summary!Q16</f>
        <v>3</v>
      </c>
      <c r="I40" s="284">
        <f>Summary!R16</f>
        <v>7.1023742297489806E-5</v>
      </c>
      <c r="J40" s="258">
        <f>Summary!S16</f>
        <v>3.5498215532517902E-3</v>
      </c>
      <c r="K40" s="216">
        <f>Summary!T16</f>
        <v>14079.798777870692</v>
      </c>
      <c r="L40" s="26"/>
    </row>
    <row r="41" spans="1:21" x14ac:dyDescent="0.35">
      <c r="A41" s="260" t="str">
        <f>Summary!J17</f>
        <v>Maxi</v>
      </c>
      <c r="B41" s="121">
        <f>Summary!K17</f>
        <v>0.25</v>
      </c>
      <c r="C41" s="293">
        <f>Summary!L17</f>
        <v>5</v>
      </c>
      <c r="D41" s="237">
        <f>Summary!M17</f>
        <v>250</v>
      </c>
      <c r="E41" s="237">
        <f>Summary!N17</f>
        <v>500</v>
      </c>
      <c r="F41" s="260">
        <f>Summary!O17</f>
        <v>499.95122612112101</v>
      </c>
      <c r="G41" s="121">
        <f>Summary!P17</f>
        <v>0.25</v>
      </c>
      <c r="H41" s="278">
        <f>Summary!Q17</f>
        <v>4</v>
      </c>
      <c r="I41" s="284">
        <f>Summary!R17</f>
        <v>3.7047892099365434E-6</v>
      </c>
      <c r="J41" s="258">
        <f>Summary!S17</f>
        <v>1.8522139080280741E-3</v>
      </c>
      <c r="K41" s="216">
        <f>Summary!T17</f>
        <v>269920.88978177746</v>
      </c>
      <c r="L41" s="26"/>
    </row>
    <row r="42" spans="1:21" x14ac:dyDescent="0.35">
      <c r="A42" s="260" t="str">
        <f>Summary!J18</f>
        <v>Grand</v>
      </c>
      <c r="B42" s="121">
        <f>Summary!K18</f>
        <v>0.25</v>
      </c>
      <c r="C42" s="293">
        <f>Summary!L18</f>
        <v>10</v>
      </c>
      <c r="D42" s="237">
        <f>Summary!M18</f>
        <v>5000</v>
      </c>
      <c r="E42" s="237">
        <f>Summary!N18</f>
        <v>10000</v>
      </c>
      <c r="F42" s="260">
        <f>Summary!O18</f>
        <v>10000</v>
      </c>
      <c r="G42" s="121">
        <f>Summary!P18</f>
        <v>0.18</v>
      </c>
      <c r="H42" s="278">
        <f>Summary!Q18</f>
        <v>5</v>
      </c>
      <c r="I42" s="284">
        <f>Summary!R18</f>
        <v>6.0134175798496279E-8</v>
      </c>
      <c r="J42" s="258">
        <f>Summary!S18</f>
        <v>6.013417579849628E-4</v>
      </c>
      <c r="K42" s="216">
        <f>Summary!T18</f>
        <v>16629478.773449924</v>
      </c>
      <c r="L42" s="26"/>
    </row>
    <row r="43" spans="1:21" x14ac:dyDescent="0.35">
      <c r="A43" s="2"/>
      <c r="B43" s="261">
        <f>Summary!K19</f>
        <v>1</v>
      </c>
      <c r="C43" s="2"/>
      <c r="D43" s="2"/>
      <c r="E43" s="2"/>
      <c r="F43" s="2"/>
      <c r="G43" s="261">
        <f>Summary!P19</f>
        <v>1</v>
      </c>
      <c r="H43" s="261"/>
      <c r="I43" s="167">
        <f>SUM(I39:I42)</f>
        <v>4.2829405844297525E-4</v>
      </c>
      <c r="J43" s="91">
        <f>Summary!S19</f>
        <v>1.3040892557895898E-2</v>
      </c>
      <c r="K43" s="219">
        <f>1/I43</f>
        <v>2334.8444375703239</v>
      </c>
      <c r="L43" s="26"/>
    </row>
    <row r="44" spans="1:21" x14ac:dyDescent="0.35">
      <c r="A44" s="2"/>
      <c r="B44" s="261"/>
      <c r="C44" s="2"/>
      <c r="D44" s="2"/>
      <c r="E44" s="2"/>
      <c r="F44" s="261"/>
      <c r="G44" s="261"/>
      <c r="H44" s="91"/>
      <c r="I44" s="2"/>
      <c r="K44" s="80"/>
      <c r="L44" s="26"/>
    </row>
    <row r="45" spans="1:21" x14ac:dyDescent="0.35">
      <c r="A45" s="2"/>
      <c r="B45" s="2"/>
      <c r="C45" s="261"/>
      <c r="D45" s="2"/>
      <c r="E45" s="2"/>
      <c r="F45" s="2"/>
      <c r="G45" s="2"/>
      <c r="H45" s="224"/>
    </row>
    <row r="46" spans="1:21" ht="26" x14ac:dyDescent="0.6">
      <c r="A46" s="126" t="s">
        <v>75</v>
      </c>
      <c r="N46" s="29"/>
      <c r="P46" s="80"/>
      <c r="Q46" s="26"/>
      <c r="S46" s="116"/>
      <c r="T46" s="116"/>
      <c r="U46" s="116"/>
    </row>
    <row r="47" spans="1:21" x14ac:dyDescent="0.35">
      <c r="A47" s="11" t="s">
        <v>104</v>
      </c>
      <c r="B47" s="304">
        <f>H57</f>
        <v>7.1412661529078247E-3</v>
      </c>
      <c r="C47" t="s">
        <v>80</v>
      </c>
      <c r="D47" s="211">
        <f>1/B47</f>
        <v>140.03119035030139</v>
      </c>
      <c r="F47" s="2"/>
      <c r="N47" s="29"/>
      <c r="P47" s="80"/>
      <c r="Q47" s="26"/>
      <c r="S47" s="116"/>
      <c r="T47" s="116"/>
      <c r="U47" s="116"/>
    </row>
    <row r="48" spans="1:21" x14ac:dyDescent="0.35">
      <c r="A48" s="11" t="s">
        <v>163</v>
      </c>
      <c r="B48" s="158">
        <f>L57</f>
        <v>31.546772245119023</v>
      </c>
      <c r="C48" t="s">
        <v>110</v>
      </c>
      <c r="F48" s="285"/>
      <c r="G48" s="285"/>
      <c r="H48" s="285"/>
      <c r="I48" s="285"/>
      <c r="N48" s="29"/>
      <c r="P48" s="80"/>
      <c r="Q48" s="26"/>
      <c r="R48" s="116"/>
      <c r="S48" s="116"/>
      <c r="T48" s="116"/>
      <c r="U48" s="116"/>
    </row>
    <row r="49" spans="1:21" x14ac:dyDescent="0.35">
      <c r="A49" s="11" t="s">
        <v>79</v>
      </c>
      <c r="B49" s="262">
        <f>K57</f>
        <v>0.22528389686756045</v>
      </c>
      <c r="E49" s="40"/>
      <c r="F49" s="285"/>
      <c r="G49" s="285"/>
      <c r="H49" s="285"/>
      <c r="I49" s="285"/>
      <c r="M49" s="68"/>
      <c r="N49" s="68"/>
      <c r="O49" s="68"/>
      <c r="P49" s="68"/>
      <c r="R49" s="116"/>
      <c r="S49" s="116"/>
      <c r="T49" s="116"/>
      <c r="U49" s="116"/>
    </row>
    <row r="50" spans="1:21" x14ac:dyDescent="0.35">
      <c r="A50" s="11" t="s">
        <v>164</v>
      </c>
      <c r="B50" s="249">
        <v>3</v>
      </c>
      <c r="F50" s="285"/>
      <c r="G50" s="285"/>
      <c r="H50" s="285"/>
      <c r="I50" s="285"/>
      <c r="J50" s="29"/>
      <c r="K50" s="70"/>
      <c r="L50" s="115"/>
      <c r="N50" s="1"/>
      <c r="R50" s="116"/>
      <c r="S50" s="116"/>
      <c r="T50" s="116"/>
      <c r="U50" s="116"/>
    </row>
    <row r="51" spans="1:21" ht="18.5" x14ac:dyDescent="0.45">
      <c r="A51" s="1"/>
      <c r="B51" s="119"/>
      <c r="C51" s="2"/>
      <c r="D51" s="175"/>
      <c r="K51" s="81"/>
      <c r="L51" s="81"/>
      <c r="M51" s="123"/>
      <c r="N51" s="123"/>
      <c r="O51" s="123"/>
      <c r="P51" s="70"/>
      <c r="R51" s="116"/>
      <c r="S51" s="116"/>
      <c r="T51" s="116"/>
      <c r="U51" s="116"/>
    </row>
    <row r="52" spans="1:21" x14ac:dyDescent="0.35">
      <c r="A52" s="50" t="str">
        <f>Summary!A23</f>
        <v>Bonus Type</v>
      </c>
      <c r="B52" s="222" t="s">
        <v>179</v>
      </c>
      <c r="C52" s="222" t="str">
        <f>Summary!C23</f>
        <v>Ave no. of Symbol hits</v>
      </c>
      <c r="D52" s="50" t="s">
        <v>182</v>
      </c>
      <c r="E52" s="223" t="str">
        <f>Summary!K3</f>
        <v>Ave no. of Coins to Cup</v>
      </c>
      <c r="F52" s="223" t="s">
        <v>168</v>
      </c>
      <c r="G52" s="223" t="str">
        <f>Summary!L3</f>
        <v>Coin Conversion to Bonus Game</v>
      </c>
      <c r="H52" s="224" t="str">
        <f>Summary!D23</f>
        <v>Chance</v>
      </c>
      <c r="I52" s="224" t="str">
        <f>Summary!E23</f>
        <v>Pulls/hit</v>
      </c>
      <c r="J52" s="222" t="str">
        <f>Summary!F23</f>
        <v>Ave Win</v>
      </c>
      <c r="K52" s="222" t="str">
        <f>Summary!G23</f>
        <v>EV</v>
      </c>
      <c r="L52" s="222" t="str">
        <f>Summary!H23</f>
        <v>Total Ave Win</v>
      </c>
      <c r="M52" s="122"/>
      <c r="N52" s="122"/>
      <c r="P52" s="116"/>
      <c r="Q52" s="116"/>
      <c r="R52" s="116"/>
      <c r="S52" s="116"/>
    </row>
    <row r="53" spans="1:21" ht="15.5" x14ac:dyDescent="0.35">
      <c r="A53" s="179" t="str">
        <f>Summary!A24</f>
        <v>Bonus1</v>
      </c>
      <c r="B53" s="213">
        <f>Summary!B24</f>
        <v>3.9E-2</v>
      </c>
      <c r="C53" s="212">
        <f>Summary!C24</f>
        <v>13.714566329999998</v>
      </c>
      <c r="D53" s="254">
        <f>E17</f>
        <v>0.25</v>
      </c>
      <c r="E53" s="227">
        <f>Summary!K4</f>
        <v>0.17586719510449883</v>
      </c>
      <c r="F53" s="236">
        <f>1/E53</f>
        <v>5.6861087675038444</v>
      </c>
      <c r="G53" s="288">
        <f>Summary!L4</f>
        <v>1.0999999999999999E-2</v>
      </c>
      <c r="H53" s="225">
        <f>Summary!D24</f>
        <v>1.9345391461494869E-3</v>
      </c>
      <c r="I53" s="226">
        <f>Summary!E24</f>
        <v>516.9189788639859</v>
      </c>
      <c r="J53" s="212">
        <f>Summary!F24</f>
        <v>28.718256245000003</v>
      </c>
      <c r="K53" s="227">
        <f>Summary!G24</f>
        <v>5.5556590915104474E-2</v>
      </c>
      <c r="L53" s="212">
        <f>Summary!H24</f>
        <v>7.7796555576468194</v>
      </c>
      <c r="M53" s="140"/>
      <c r="N53" s="140"/>
      <c r="P53" s="116"/>
      <c r="Q53" s="116"/>
      <c r="R53" s="116"/>
      <c r="S53" s="116"/>
    </row>
    <row r="54" spans="1:21" ht="15.5" x14ac:dyDescent="0.35">
      <c r="A54" s="179" t="str">
        <f>Summary!A25</f>
        <v>Bonus2</v>
      </c>
      <c r="B54" s="213">
        <f>Summary!B25</f>
        <v>3.9E-2</v>
      </c>
      <c r="C54" s="212">
        <f>Summary!C25</f>
        <v>13.632570300000005</v>
      </c>
      <c r="D54" s="254">
        <f>E18</f>
        <v>0.25</v>
      </c>
      <c r="E54" s="227">
        <f>Summary!K5</f>
        <v>0.17586719510449883</v>
      </c>
      <c r="F54" s="236">
        <f t="shared" ref="F54:F56" si="0">1/E54</f>
        <v>5.6861087675038444</v>
      </c>
      <c r="G54" s="288">
        <f>Summary!L5</f>
        <v>1.03E-2</v>
      </c>
      <c r="H54" s="225">
        <f>Summary!D25</f>
        <v>1.7989157707198377E-3</v>
      </c>
      <c r="I54" s="226">
        <f>Summary!E25</f>
        <v>555.89039591322785</v>
      </c>
      <c r="J54" s="212">
        <f>Summary!F25</f>
        <v>31.00371105</v>
      </c>
      <c r="K54" s="227">
        <f>Summary!G25</f>
        <v>5.5773064758685896E-2</v>
      </c>
      <c r="L54" s="212">
        <f>Summary!H25</f>
        <v>7.8099686476432302</v>
      </c>
      <c r="M54" s="140"/>
      <c r="N54" s="140"/>
      <c r="P54" s="116"/>
      <c r="Q54" s="116"/>
      <c r="R54" s="116"/>
      <c r="S54" s="116"/>
    </row>
    <row r="55" spans="1:21" ht="15.5" x14ac:dyDescent="0.35">
      <c r="A55" s="179" t="str">
        <f>Summary!A26</f>
        <v>Bonus3</v>
      </c>
      <c r="B55" s="213">
        <f>Summary!B26</f>
        <v>3.9E-2</v>
      </c>
      <c r="C55" s="212">
        <f>Summary!C26</f>
        <v>13.301108956988907</v>
      </c>
      <c r="D55" s="254">
        <f>E19</f>
        <v>0.25</v>
      </c>
      <c r="E55" s="227">
        <f>Summary!K6</f>
        <v>0.17586719510449883</v>
      </c>
      <c r="F55" s="236">
        <f t="shared" si="0"/>
        <v>5.6861087675038444</v>
      </c>
      <c r="G55" s="288">
        <f>Summary!L6</f>
        <v>0.01</v>
      </c>
      <c r="H55" s="225">
        <f>Summary!D26</f>
        <v>1.7352203034682106E-3</v>
      </c>
      <c r="I55" s="226">
        <f>Summary!E26</f>
        <v>576.29570032190441</v>
      </c>
      <c r="J55" s="212">
        <f>Summary!F26</f>
        <v>32.782395392176042</v>
      </c>
      <c r="K55" s="227">
        <f>Summary!G26</f>
        <v>5.6884678080826583E-2</v>
      </c>
      <c r="L55" s="212">
        <f>Summary!H26</f>
        <v>7.965629184351843</v>
      </c>
      <c r="M55" s="140"/>
      <c r="N55" s="140"/>
      <c r="P55" s="116"/>
      <c r="Q55" s="116"/>
      <c r="R55" s="116"/>
      <c r="S55" s="116"/>
    </row>
    <row r="56" spans="1:21" ht="15.5" x14ac:dyDescent="0.35">
      <c r="A56" s="179" t="str">
        <f>Summary!A27</f>
        <v>Bonus4</v>
      </c>
      <c r="B56" s="213">
        <f>Summary!B27</f>
        <v>3.9E-2</v>
      </c>
      <c r="C56" s="212">
        <f>Summary!C27</f>
        <v>18.26144219</v>
      </c>
      <c r="D56" s="254">
        <f>E20</f>
        <v>0.25</v>
      </c>
      <c r="E56" s="227">
        <f>Summary!K7</f>
        <v>0.17586719510449883</v>
      </c>
      <c r="F56" s="236">
        <f t="shared" si="0"/>
        <v>5.6861087675038444</v>
      </c>
      <c r="G56" s="288">
        <f>Summary!L7</f>
        <v>9.7000000000000003E-3</v>
      </c>
      <c r="H56" s="225">
        <f>Summary!D27</f>
        <v>1.6725909325702893E-3</v>
      </c>
      <c r="I56" s="226">
        <f>Summary!E27</f>
        <v>597.87481835937535</v>
      </c>
      <c r="J56" s="212">
        <f>Summary!F27</f>
        <v>34.120454680000009</v>
      </c>
      <c r="K56" s="227">
        <f>Summary!G27</f>
        <v>5.7069563112943505E-2</v>
      </c>
      <c r="L56" s="212">
        <f>Summary!H27</f>
        <v>7.9915188554771301</v>
      </c>
      <c r="M56" s="140"/>
      <c r="N56" s="140"/>
      <c r="P56" s="116"/>
      <c r="Q56" s="116"/>
      <c r="R56" s="116"/>
      <c r="S56" s="116"/>
    </row>
    <row r="57" spans="1:21" ht="18.5" x14ac:dyDescent="0.45">
      <c r="A57" s="89"/>
      <c r="B57" s="2"/>
      <c r="C57" s="2"/>
      <c r="D57" s="255">
        <f>SUM(D53:D56)</f>
        <v>1</v>
      </c>
      <c r="E57" s="120">
        <f>SUM(E53:E56)</f>
        <v>0.70346878041799532</v>
      </c>
      <c r="F57" s="320">
        <f>1/E57</f>
        <v>1.4215271918759611</v>
      </c>
      <c r="G57" s="208"/>
      <c r="H57" s="228">
        <f>Summary!D28</f>
        <v>7.1412661529078247E-3</v>
      </c>
      <c r="I57" s="229">
        <f>Summary!E28</f>
        <v>140.03119035030139</v>
      </c>
      <c r="J57" s="2"/>
      <c r="K57" s="120">
        <f>Summary!G28</f>
        <v>0.22528389686756045</v>
      </c>
      <c r="L57" s="230">
        <f>Summary!H28</f>
        <v>31.546772245119023</v>
      </c>
      <c r="M57" s="140"/>
      <c r="P57" s="116"/>
      <c r="Q57" s="116"/>
      <c r="R57" s="116"/>
      <c r="S57" s="116"/>
    </row>
    <row r="58" spans="1:21" x14ac:dyDescent="0.35">
      <c r="M58" s="140"/>
      <c r="N58" s="140"/>
      <c r="O58" s="140"/>
      <c r="R58" s="116"/>
      <c r="S58" s="116"/>
      <c r="T58" s="116"/>
      <c r="U58" s="116"/>
    </row>
    <row r="59" spans="1:21" ht="18.5" x14ac:dyDescent="0.45">
      <c r="A59" s="47" t="s">
        <v>160</v>
      </c>
      <c r="F59" s="241"/>
      <c r="G59" s="241"/>
      <c r="H59" s="241"/>
      <c r="J59" s="81"/>
      <c r="K59" s="81"/>
      <c r="L59" s="68"/>
      <c r="M59" s="140"/>
      <c r="N59" s="140"/>
      <c r="O59" s="140"/>
      <c r="S59" s="116"/>
      <c r="T59" s="116"/>
      <c r="U59" s="116"/>
    </row>
    <row r="60" spans="1:21" x14ac:dyDescent="0.35">
      <c r="A60" s="50" t="str">
        <f>Bonus_Game1!G3</f>
        <v>Value</v>
      </c>
      <c r="B60" s="200" t="s">
        <v>284</v>
      </c>
      <c r="C60" s="200" t="s">
        <v>189</v>
      </c>
      <c r="D60" s="200" t="s">
        <v>180</v>
      </c>
      <c r="E60" s="194" t="s">
        <v>285</v>
      </c>
      <c r="F60" s="267"/>
      <c r="I60" s="81"/>
      <c r="J60" s="81"/>
      <c r="K60" s="68"/>
      <c r="L60" s="140"/>
      <c r="M60" s="140"/>
      <c r="N60" s="140"/>
      <c r="O60" s="140"/>
      <c r="R60" s="116"/>
      <c r="S60" s="116"/>
      <c r="T60" s="116"/>
    </row>
    <row r="61" spans="1:21" x14ac:dyDescent="0.35">
      <c r="A61" s="209" t="s">
        <v>207</v>
      </c>
      <c r="B61" s="287">
        <f>B36</f>
        <v>0.16</v>
      </c>
      <c r="C61" s="287">
        <f>B36</f>
        <v>0.16</v>
      </c>
      <c r="D61" s="287">
        <f>B36</f>
        <v>0.16</v>
      </c>
      <c r="E61" s="287">
        <f>B36</f>
        <v>0.16</v>
      </c>
      <c r="F61" s="43"/>
      <c r="I61" s="81"/>
      <c r="J61" s="81"/>
      <c r="K61" s="68"/>
      <c r="L61" s="140"/>
      <c r="M61" s="140"/>
      <c r="N61" s="140"/>
      <c r="O61" s="140"/>
      <c r="R61" s="116"/>
      <c r="S61" s="116"/>
      <c r="T61" s="116"/>
    </row>
    <row r="62" spans="1:21" x14ac:dyDescent="0.35">
      <c r="A62" s="209" t="s">
        <v>249</v>
      </c>
      <c r="B62" s="287">
        <f>Bonus_Game1!D3</f>
        <v>0.02</v>
      </c>
      <c r="C62" s="287">
        <f>Bonus_Game2!D3</f>
        <v>0.02</v>
      </c>
      <c r="D62" s="287">
        <f>Bonus_Game3!D3</f>
        <v>0.02</v>
      </c>
      <c r="E62" s="287">
        <f>Bonus_Game4!D3</f>
        <v>0.02</v>
      </c>
      <c r="F62" s="43"/>
      <c r="I62" s="81"/>
      <c r="J62" s="81"/>
      <c r="K62" s="68"/>
      <c r="L62" s="140"/>
      <c r="M62" s="140"/>
      <c r="N62" s="140"/>
      <c r="O62" s="140"/>
      <c r="R62" s="116"/>
      <c r="S62" s="116"/>
      <c r="T62" s="116"/>
    </row>
    <row r="63" spans="1:21" x14ac:dyDescent="0.35">
      <c r="A63" s="209" t="s">
        <v>251</v>
      </c>
      <c r="B63" s="289">
        <f>Bonus_Game1!E3</f>
        <v>0.34973169999999998</v>
      </c>
      <c r="C63" s="289">
        <f>Bonus_Game2!E3</f>
        <v>0.34900556999999999</v>
      </c>
      <c r="D63" s="289">
        <f>Bonus_Game3!E3</f>
        <v>0.35183703999999999</v>
      </c>
      <c r="E63" s="289">
        <f>Bonus_Game4!E3</f>
        <v>0.27455153999999998</v>
      </c>
      <c r="F63" s="43"/>
      <c r="I63" s="81"/>
      <c r="J63" s="81"/>
      <c r="K63" s="68"/>
      <c r="L63" s="140"/>
      <c r="M63" s="140"/>
      <c r="N63" s="140"/>
      <c r="O63" s="140"/>
      <c r="R63" s="116"/>
      <c r="S63" s="116"/>
      <c r="T63" s="116"/>
    </row>
    <row r="64" spans="1:21" x14ac:dyDescent="0.35">
      <c r="A64" s="209" t="s">
        <v>248</v>
      </c>
      <c r="B64" s="287">
        <f>Bonus_Game1!D4</f>
        <v>0.03</v>
      </c>
      <c r="C64" s="287">
        <f>Bonus_Game2!D4</f>
        <v>2.7E-2</v>
      </c>
      <c r="D64" s="287">
        <f>Bonus_Game3!D4</f>
        <v>2.7E-2</v>
      </c>
      <c r="E64" s="287">
        <f>Bonus_Game4!D4</f>
        <v>5.1999999999999998E-2</v>
      </c>
      <c r="F64" s="43"/>
      <c r="I64" s="81"/>
      <c r="J64" s="81"/>
      <c r="K64" s="68"/>
      <c r="L64" s="140"/>
      <c r="M64" s="140"/>
      <c r="N64" s="140"/>
      <c r="O64" s="140"/>
      <c r="R64" s="116"/>
      <c r="S64" s="116"/>
      <c r="T64" s="116"/>
    </row>
    <row r="65" spans="1:20" x14ac:dyDescent="0.35">
      <c r="A65" s="209" t="s">
        <v>250</v>
      </c>
      <c r="B65" s="289">
        <f>Bonus_Game1!E4</f>
        <v>0.63232896999999999</v>
      </c>
      <c r="C65" s="289">
        <f>Bonus_Game2!E4</f>
        <v>0.56697998000000005</v>
      </c>
      <c r="D65" s="289">
        <f>Bonus_Game3!E4</f>
        <v>0.57423950000000001</v>
      </c>
      <c r="E65" s="289">
        <f>Bonus_Game4!E4</f>
        <v>2.52433006</v>
      </c>
      <c r="F65" s="43"/>
      <c r="I65" s="81"/>
      <c r="J65" s="81"/>
      <c r="K65" s="68"/>
      <c r="L65" s="140"/>
      <c r="M65" s="140"/>
      <c r="N65" s="140"/>
      <c r="O65" s="140"/>
      <c r="R65" s="116"/>
      <c r="S65" s="116"/>
      <c r="T65" s="116"/>
    </row>
    <row r="66" spans="1:20" x14ac:dyDescent="0.35">
      <c r="A66" s="253">
        <f>Bonus_Game1!G4</f>
        <v>0.5</v>
      </c>
      <c r="B66" s="322">
        <f>Bonus_Game1!H4</f>
        <v>0.29659999999999997</v>
      </c>
      <c r="C66" s="322">
        <f>Bonus_Game2!H4</f>
        <v>0.29659999999999997</v>
      </c>
      <c r="D66" s="322">
        <f>Bonus_Game3!H4</f>
        <v>0.29659999999999997</v>
      </c>
      <c r="E66" s="322">
        <f>Bonus_Game4!H4</f>
        <v>0.29659999999999997</v>
      </c>
      <c r="G66" s="50" t="s">
        <v>247</v>
      </c>
      <c r="J66" s="81"/>
      <c r="L66" s="140"/>
      <c r="M66" s="140"/>
      <c r="N66" s="140"/>
      <c r="O66" s="140"/>
    </row>
    <row r="67" spans="1:20" ht="15.5" x14ac:dyDescent="0.35">
      <c r="A67" s="253">
        <f>Bonus_Game1!G5</f>
        <v>1</v>
      </c>
      <c r="B67" s="322">
        <f>Bonus_Game1!H5</f>
        <v>0.3</v>
      </c>
      <c r="C67" s="322">
        <f>Bonus_Game2!H5</f>
        <v>0.3</v>
      </c>
      <c r="D67" s="322">
        <f>Bonus_Game3!H5</f>
        <v>0.3</v>
      </c>
      <c r="E67" s="322">
        <f>Bonus_Game4!H5</f>
        <v>0.3</v>
      </c>
      <c r="G67" s="9" t="str">
        <f>Bonus_Game3!C15</f>
        <v>Multiplier</v>
      </c>
      <c r="H67" s="321" t="str">
        <f>Bonus_Game3!D15</f>
        <v>Chance</v>
      </c>
      <c r="I67" s="9" t="str">
        <f>Bonus_Game3!E15</f>
        <v>EV</v>
      </c>
      <c r="J67" s="81"/>
      <c r="K67" s="123"/>
      <c r="L67" s="140"/>
      <c r="M67" s="140"/>
      <c r="N67" s="140"/>
      <c r="O67" s="140"/>
    </row>
    <row r="68" spans="1:20" x14ac:dyDescent="0.35">
      <c r="A68" s="253">
        <f>Bonus_Game1!G6</f>
        <v>1.5</v>
      </c>
      <c r="B68" s="322">
        <f>Bonus_Game1!H6</f>
        <v>0.13</v>
      </c>
      <c r="C68" s="322">
        <f>Bonus_Game2!H6</f>
        <v>0.13</v>
      </c>
      <c r="D68" s="322">
        <f>Bonus_Game3!H6</f>
        <v>0.13</v>
      </c>
      <c r="E68" s="322">
        <f>Bonus_Game4!H6</f>
        <v>0.13</v>
      </c>
      <c r="G68" s="260">
        <f>Bonus_Game3!C16</f>
        <v>2</v>
      </c>
      <c r="H68" s="214">
        <f>Bonus_Game3!D16</f>
        <v>0.93</v>
      </c>
      <c r="I68" s="260">
        <f>Bonus_Game3!E16</f>
        <v>1.86</v>
      </c>
      <c r="J68" s="81"/>
      <c r="K68" s="122"/>
      <c r="L68" s="140"/>
      <c r="M68" s="140"/>
      <c r="N68" s="140"/>
      <c r="O68" s="140"/>
    </row>
    <row r="69" spans="1:20" x14ac:dyDescent="0.35">
      <c r="A69" s="253">
        <f>Bonus_Game1!G7</f>
        <v>2</v>
      </c>
      <c r="B69" s="322">
        <f>Bonus_Game1!H7</f>
        <v>0.09</v>
      </c>
      <c r="C69" s="322">
        <f>Bonus_Game2!H7</f>
        <v>0.09</v>
      </c>
      <c r="D69" s="322">
        <f>Bonus_Game3!H7</f>
        <v>0.09</v>
      </c>
      <c r="E69" s="322">
        <f>Bonus_Game4!H7</f>
        <v>0.09</v>
      </c>
      <c r="G69" s="260">
        <f>Bonus_Game3!C17</f>
        <v>3</v>
      </c>
      <c r="H69" s="214">
        <f>Bonus_Game3!D17</f>
        <v>0.05</v>
      </c>
      <c r="I69" s="260">
        <f>Bonus_Game3!E17</f>
        <v>0.15000000000000002</v>
      </c>
      <c r="J69" s="81"/>
      <c r="K69" s="140"/>
      <c r="L69" s="140"/>
      <c r="M69" s="140"/>
      <c r="N69" s="140"/>
      <c r="O69" s="140"/>
    </row>
    <row r="70" spans="1:20" x14ac:dyDescent="0.35">
      <c r="A70" s="253">
        <f>Bonus_Game1!G8</f>
        <v>2.5</v>
      </c>
      <c r="B70" s="322">
        <f>Bonus_Game1!H8</f>
        <v>0.05</v>
      </c>
      <c r="C70" s="322">
        <f>Bonus_Game2!H8</f>
        <v>0.05</v>
      </c>
      <c r="D70" s="322">
        <f>Bonus_Game3!H8</f>
        <v>0.05</v>
      </c>
      <c r="E70" s="322">
        <f>Bonus_Game4!H8</f>
        <v>0.05</v>
      </c>
      <c r="G70" s="260">
        <f>Bonus_Game3!C18</f>
        <v>4</v>
      </c>
      <c r="H70" s="214">
        <f>Bonus_Game3!D18</f>
        <v>0.01</v>
      </c>
      <c r="I70" s="260">
        <f>Bonus_Game3!E18</f>
        <v>0.04</v>
      </c>
      <c r="J70" s="81"/>
      <c r="K70" s="140"/>
      <c r="L70" s="140"/>
      <c r="M70" s="140"/>
      <c r="N70" s="140"/>
      <c r="O70" s="140"/>
    </row>
    <row r="71" spans="1:20" x14ac:dyDescent="0.35">
      <c r="A71" s="253">
        <f>Bonus_Game1!G9</f>
        <v>3</v>
      </c>
      <c r="B71" s="322">
        <f>Bonus_Game1!H9</f>
        <v>0.03</v>
      </c>
      <c r="C71" s="322">
        <f>Bonus_Game2!H9</f>
        <v>0.03</v>
      </c>
      <c r="D71" s="322">
        <f>Bonus_Game3!H9</f>
        <v>0.03</v>
      </c>
      <c r="E71" s="322">
        <f>Bonus_Game4!H9</f>
        <v>0.03</v>
      </c>
      <c r="G71" s="260">
        <f>Bonus_Game3!C19</f>
        <v>5</v>
      </c>
      <c r="H71" s="214">
        <f>Bonus_Game3!D19</f>
        <v>0.01</v>
      </c>
      <c r="I71" s="260">
        <f>Bonus_Game3!E19</f>
        <v>0.05</v>
      </c>
      <c r="J71" s="81"/>
      <c r="K71" s="140"/>
      <c r="L71" s="140"/>
      <c r="M71" s="140"/>
      <c r="N71" s="140"/>
      <c r="O71" s="140"/>
    </row>
    <row r="72" spans="1:20" x14ac:dyDescent="0.35">
      <c r="A72" s="253">
        <f>Bonus_Game1!G10</f>
        <v>3.5</v>
      </c>
      <c r="B72" s="322">
        <f>Bonus_Game1!H10</f>
        <v>0.02</v>
      </c>
      <c r="C72" s="322">
        <f>Bonus_Game2!H10</f>
        <v>0.02</v>
      </c>
      <c r="D72" s="322">
        <f>Bonus_Game3!H10</f>
        <v>0.02</v>
      </c>
      <c r="E72" s="322">
        <f>Bonus_Game4!H10</f>
        <v>0.02</v>
      </c>
      <c r="G72" s="2"/>
      <c r="H72" s="286">
        <f>Bonus_Game3!D20</f>
        <v>1</v>
      </c>
      <c r="I72" s="2">
        <f>Bonus_Game3!E20</f>
        <v>2.1</v>
      </c>
      <c r="J72" s="81"/>
      <c r="K72" s="140"/>
      <c r="L72" s="140"/>
      <c r="M72" s="140"/>
      <c r="N72" s="140"/>
      <c r="O72" s="140"/>
    </row>
    <row r="73" spans="1:20" x14ac:dyDescent="0.35">
      <c r="A73" s="253">
        <f>Bonus_Game1!G11</f>
        <v>4</v>
      </c>
      <c r="B73" s="322">
        <f>Bonus_Game1!H11</f>
        <v>1.4999999999999999E-2</v>
      </c>
      <c r="C73" s="322">
        <f>Bonus_Game2!H11</f>
        <v>1.4999999999999999E-2</v>
      </c>
      <c r="D73" s="322">
        <f>Bonus_Game3!H11</f>
        <v>1.4999999999999999E-2</v>
      </c>
      <c r="E73" s="322">
        <f>Bonus_Game4!H11</f>
        <v>1.4999999999999999E-2</v>
      </c>
      <c r="I73" s="81"/>
      <c r="J73" s="81"/>
      <c r="K73" s="140"/>
      <c r="L73" s="140"/>
      <c r="M73" s="140"/>
      <c r="N73" s="140"/>
      <c r="O73" s="140"/>
    </row>
    <row r="74" spans="1:20" x14ac:dyDescent="0.35">
      <c r="A74" s="253">
        <f>Bonus_Game1!G12</f>
        <v>5</v>
      </c>
      <c r="B74" s="322">
        <f>Bonus_Game1!H12</f>
        <v>1.4E-2</v>
      </c>
      <c r="C74" s="322">
        <f>Bonus_Game2!H12</f>
        <v>1.4E-2</v>
      </c>
      <c r="D74" s="322">
        <f>Bonus_Game3!H12</f>
        <v>1.4E-2</v>
      </c>
      <c r="E74" s="322">
        <f>Bonus_Game4!H12</f>
        <v>1.4E-2</v>
      </c>
      <c r="J74" s="140"/>
      <c r="K74" s="140"/>
      <c r="L74" s="140"/>
      <c r="M74" s="17"/>
      <c r="N74" s="17"/>
      <c r="O74" s="17"/>
    </row>
    <row r="75" spans="1:20" x14ac:dyDescent="0.35">
      <c r="A75" s="253">
        <f>Bonus_Game1!G13</f>
        <v>6</v>
      </c>
      <c r="B75" s="322">
        <f>Bonus_Game1!H13</f>
        <v>1.2E-2</v>
      </c>
      <c r="C75" s="322">
        <f>Bonus_Game2!H13</f>
        <v>1.2E-2</v>
      </c>
      <c r="D75" s="322">
        <f>Bonus_Game3!H13</f>
        <v>1.2E-2</v>
      </c>
      <c r="E75" s="322">
        <f>Bonus_Game4!H13</f>
        <v>1.2E-2</v>
      </c>
      <c r="J75" s="140"/>
      <c r="K75" s="140"/>
      <c r="L75" s="140"/>
      <c r="M75" s="17"/>
      <c r="N75" s="17"/>
      <c r="O75" s="17"/>
    </row>
    <row r="76" spans="1:20" x14ac:dyDescent="0.35">
      <c r="A76" s="253">
        <f>Bonus_Game1!G14</f>
        <v>7</v>
      </c>
      <c r="B76" s="322">
        <f>Bonus_Game1!H14</f>
        <v>0.01</v>
      </c>
      <c r="C76" s="322">
        <f>Bonus_Game2!H14</f>
        <v>0.01</v>
      </c>
      <c r="D76" s="322">
        <f>Bonus_Game3!H14</f>
        <v>0.01</v>
      </c>
      <c r="E76" s="322">
        <f>Bonus_Game4!H14</f>
        <v>0.01</v>
      </c>
      <c r="J76" s="140"/>
      <c r="K76" s="140"/>
      <c r="L76" s="140"/>
      <c r="M76" s="17"/>
      <c r="N76" s="17"/>
      <c r="O76" s="17"/>
    </row>
    <row r="77" spans="1:20" x14ac:dyDescent="0.35">
      <c r="A77" s="253">
        <f>Bonus_Game1!G15</f>
        <v>8</v>
      </c>
      <c r="B77" s="322">
        <f>Bonus_Game1!H15</f>
        <v>8.0000000000000002E-3</v>
      </c>
      <c r="C77" s="322">
        <f>Bonus_Game2!H15</f>
        <v>8.0000000000000002E-3</v>
      </c>
      <c r="D77" s="322">
        <f>Bonus_Game3!H15</f>
        <v>8.0000000000000002E-3</v>
      </c>
      <c r="E77" s="322">
        <f>Bonus_Game4!H15</f>
        <v>8.0000000000000002E-3</v>
      </c>
      <c r="J77" s="140"/>
      <c r="K77" s="140"/>
      <c r="L77" s="140"/>
      <c r="M77" s="17"/>
      <c r="N77" s="17"/>
      <c r="O77" s="17"/>
    </row>
    <row r="78" spans="1:20" x14ac:dyDescent="0.35">
      <c r="A78" s="253">
        <f>Bonus_Game1!G16</f>
        <v>9</v>
      </c>
      <c r="B78" s="322">
        <f>Bonus_Game1!H16</f>
        <v>6.0000000000000001E-3</v>
      </c>
      <c r="C78" s="322">
        <f>Bonus_Game2!H16</f>
        <v>6.0000000000000001E-3</v>
      </c>
      <c r="D78" s="322">
        <f>Bonus_Game3!H16</f>
        <v>6.0000000000000001E-3</v>
      </c>
      <c r="E78" s="322">
        <f>Bonus_Game4!H16</f>
        <v>6.0000000000000001E-3</v>
      </c>
      <c r="I78" s="115"/>
      <c r="J78" s="140"/>
      <c r="K78" s="140"/>
      <c r="L78" s="140"/>
      <c r="M78" s="17"/>
      <c r="N78" s="17"/>
      <c r="O78" s="17"/>
    </row>
    <row r="79" spans="1:20" x14ac:dyDescent="0.35">
      <c r="A79" s="253">
        <f>Bonus_Game1!G17</f>
        <v>10</v>
      </c>
      <c r="B79" s="322">
        <f>Bonus_Game1!H17</f>
        <v>5.0000000000000001E-3</v>
      </c>
      <c r="C79" s="322">
        <f>Bonus_Game2!H17</f>
        <v>5.0000000000000001E-3</v>
      </c>
      <c r="D79" s="322">
        <f>Bonus_Game3!H17</f>
        <v>5.0000000000000001E-3</v>
      </c>
      <c r="E79" s="322">
        <f>Bonus_Game4!H17</f>
        <v>5.0000000000000001E-3</v>
      </c>
      <c r="I79" s="115"/>
      <c r="J79" s="140"/>
      <c r="K79" s="140"/>
      <c r="L79" s="17"/>
      <c r="M79" s="17"/>
      <c r="N79" s="17"/>
      <c r="O79" s="17"/>
    </row>
    <row r="80" spans="1:20" ht="15.5" x14ac:dyDescent="0.35">
      <c r="A80" s="253">
        <f>Bonus_Game1!G18</f>
        <v>12</v>
      </c>
      <c r="B80" s="322">
        <f>Bonus_Game1!H18</f>
        <v>4.0000000000000001E-3</v>
      </c>
      <c r="C80" s="322">
        <f>Bonus_Game2!H18</f>
        <v>4.0000000000000001E-3</v>
      </c>
      <c r="D80" s="322">
        <f>Bonus_Game3!H18</f>
        <v>4.0000000000000001E-3</v>
      </c>
      <c r="E80" s="322">
        <f>Bonus_Game4!H18</f>
        <v>4.0000000000000001E-3</v>
      </c>
      <c r="G80" s="141"/>
      <c r="H80" s="142"/>
      <c r="I80" s="115"/>
      <c r="J80" s="140"/>
      <c r="K80" s="140"/>
      <c r="L80" s="17"/>
      <c r="M80" s="17"/>
      <c r="N80" s="17"/>
      <c r="O80" s="17"/>
    </row>
    <row r="81" spans="1:20" ht="15.5" x14ac:dyDescent="0.35">
      <c r="A81" s="253">
        <f>Bonus_Game1!G19</f>
        <v>15</v>
      </c>
      <c r="B81" s="322">
        <f>Bonus_Game1!H19</f>
        <v>3.0000000000000001E-3</v>
      </c>
      <c r="C81" s="322">
        <f>Bonus_Game2!H19</f>
        <v>3.0000000000000001E-3</v>
      </c>
      <c r="D81" s="322">
        <f>Bonus_Game3!H19</f>
        <v>3.0000000000000001E-3</v>
      </c>
      <c r="E81" s="322">
        <f>Bonus_Game4!H19</f>
        <v>3.0000000000000001E-3</v>
      </c>
      <c r="F81" s="140"/>
      <c r="G81" s="141"/>
      <c r="H81" s="142"/>
      <c r="I81" s="115"/>
      <c r="J81" s="140"/>
      <c r="K81" s="140"/>
      <c r="L81" s="17"/>
      <c r="M81" s="17"/>
      <c r="N81" s="17"/>
      <c r="O81" s="17"/>
    </row>
    <row r="82" spans="1:20" ht="15.5" x14ac:dyDescent="0.35">
      <c r="A82" s="253">
        <f>Bonus_Game1!G20</f>
        <v>20</v>
      </c>
      <c r="B82" s="322">
        <f>Bonus_Game1!H20</f>
        <v>2.5000000000000001E-3</v>
      </c>
      <c r="C82" s="322">
        <f>Bonus_Game2!H20</f>
        <v>2.5000000000000001E-3</v>
      </c>
      <c r="D82" s="322">
        <f>Bonus_Game3!H20</f>
        <v>2.5000000000000001E-3</v>
      </c>
      <c r="E82" s="322">
        <f>Bonus_Game4!H20</f>
        <v>2.5000000000000001E-3</v>
      </c>
      <c r="F82" s="140"/>
      <c r="G82" s="141"/>
      <c r="H82" s="142"/>
      <c r="I82" s="115"/>
      <c r="J82" s="140"/>
      <c r="K82" s="140"/>
      <c r="L82" s="17"/>
      <c r="M82" s="17"/>
      <c r="N82" s="17"/>
      <c r="O82" s="17"/>
    </row>
    <row r="83" spans="1:20" ht="15.5" x14ac:dyDescent="0.35">
      <c r="A83" s="253">
        <f>Bonus_Game1!G21</f>
        <v>25</v>
      </c>
      <c r="B83" s="322">
        <f>Bonus_Game1!H21</f>
        <v>2E-3</v>
      </c>
      <c r="C83" s="322">
        <f>Bonus_Game2!H21</f>
        <v>2E-3</v>
      </c>
      <c r="D83" s="322">
        <f>Bonus_Game3!H21</f>
        <v>2E-3</v>
      </c>
      <c r="E83" s="322">
        <f>Bonus_Game4!H21</f>
        <v>2E-3</v>
      </c>
      <c r="F83" s="140"/>
      <c r="G83" s="141"/>
      <c r="H83" s="142"/>
      <c r="I83" s="115"/>
      <c r="J83" s="140"/>
      <c r="K83" s="140"/>
      <c r="L83" s="17"/>
      <c r="M83" s="17"/>
      <c r="N83" s="17"/>
      <c r="O83" s="17"/>
    </row>
    <row r="84" spans="1:20" ht="15.5" x14ac:dyDescent="0.35">
      <c r="A84" s="253">
        <f>Bonus_Game1!G22</f>
        <v>30</v>
      </c>
      <c r="B84" s="322">
        <f>Bonus_Game1!H22</f>
        <v>1E-3</v>
      </c>
      <c r="C84" s="322">
        <f>Bonus_Game2!H22</f>
        <v>1E-3</v>
      </c>
      <c r="D84" s="322">
        <f>Bonus_Game3!H22</f>
        <v>1E-3</v>
      </c>
      <c r="E84" s="322">
        <f>Bonus_Game4!H22</f>
        <v>1E-3</v>
      </c>
      <c r="F84" s="140"/>
      <c r="G84" s="141"/>
      <c r="H84" s="142"/>
      <c r="I84" s="115"/>
      <c r="J84" s="140"/>
      <c r="K84" s="140"/>
      <c r="L84" s="17"/>
      <c r="M84" s="17"/>
      <c r="N84" s="17"/>
      <c r="O84" s="17"/>
    </row>
    <row r="85" spans="1:20" ht="15.5" x14ac:dyDescent="0.35">
      <c r="A85" s="253">
        <f>Bonus_Game1!G23</f>
        <v>40</v>
      </c>
      <c r="B85" s="322">
        <f>Bonus_Game1!H23</f>
        <v>5.0000000000000001E-4</v>
      </c>
      <c r="C85" s="322">
        <f>Bonus_Game2!H23</f>
        <v>5.0000000000000001E-4</v>
      </c>
      <c r="D85" s="322">
        <f>Bonus_Game3!H23</f>
        <v>5.0000000000000001E-4</v>
      </c>
      <c r="E85" s="322">
        <f>Bonus_Game4!H23</f>
        <v>5.0000000000000001E-4</v>
      </c>
      <c r="F85" s="140"/>
      <c r="G85" s="141"/>
      <c r="H85" s="142"/>
      <c r="I85" s="115"/>
      <c r="J85" s="140"/>
      <c r="K85" s="140"/>
      <c r="L85" s="17"/>
      <c r="M85" s="17"/>
      <c r="N85" s="17"/>
      <c r="O85" s="17"/>
    </row>
    <row r="86" spans="1:20" ht="15.5" x14ac:dyDescent="0.35">
      <c r="A86" s="253">
        <f>Bonus_Game1!G24</f>
        <v>50</v>
      </c>
      <c r="B86" s="322">
        <f>Bonus_Game1!H24</f>
        <v>4.0000000000000002E-4</v>
      </c>
      <c r="C86" s="322">
        <f>Bonus_Game2!H24</f>
        <v>4.0000000000000002E-4</v>
      </c>
      <c r="D86" s="322">
        <f>Bonus_Game3!H24</f>
        <v>4.0000000000000002E-4</v>
      </c>
      <c r="E86" s="322">
        <f>Bonus_Game4!H24</f>
        <v>4.0000000000000002E-4</v>
      </c>
      <c r="F86" s="140"/>
      <c r="G86" s="141"/>
      <c r="H86" s="142"/>
      <c r="I86" s="115"/>
      <c r="J86" s="140"/>
      <c r="K86" s="140"/>
      <c r="L86" s="17"/>
    </row>
    <row r="87" spans="1:20" x14ac:dyDescent="0.35">
      <c r="B87" s="198">
        <f>SUM(B66:B86)</f>
        <v>1</v>
      </c>
      <c r="C87" s="198">
        <f>SUM(C66:C86)</f>
        <v>1</v>
      </c>
      <c r="D87" s="198">
        <f>SUM(D66:D86)</f>
        <v>1</v>
      </c>
      <c r="E87" s="198">
        <f>SUM(E66:E86)</f>
        <v>1</v>
      </c>
      <c r="F87" s="140"/>
      <c r="G87" s="140"/>
      <c r="H87" s="140"/>
      <c r="I87" s="140"/>
      <c r="J87" s="140"/>
      <c r="K87" s="140"/>
      <c r="N87" s="80"/>
      <c r="O87" s="80"/>
      <c r="P87" s="80"/>
    </row>
    <row r="88" spans="1:20" x14ac:dyDescent="0.35">
      <c r="G88" s="140"/>
      <c r="H88" s="140"/>
      <c r="I88" s="140"/>
      <c r="J88" s="140"/>
      <c r="K88" s="140"/>
      <c r="L88" s="140"/>
      <c r="N88" s="80"/>
      <c r="O88" s="80"/>
      <c r="P88" s="80"/>
    </row>
    <row r="89" spans="1:20" x14ac:dyDescent="0.35">
      <c r="G89" s="140"/>
      <c r="H89" s="140"/>
      <c r="I89" s="140"/>
      <c r="J89" s="140"/>
      <c r="K89" s="140"/>
      <c r="L89" s="140"/>
      <c r="N89" s="80"/>
      <c r="O89" s="80"/>
      <c r="P89" s="80"/>
    </row>
    <row r="90" spans="1:20" x14ac:dyDescent="0.35">
      <c r="A90" s="235"/>
      <c r="B90" s="140"/>
      <c r="C90" s="140"/>
      <c r="D90" s="140"/>
      <c r="E90" s="140"/>
      <c r="F90" s="122"/>
      <c r="G90" s="140"/>
      <c r="H90" s="315"/>
      <c r="I90" s="80"/>
      <c r="J90" s="80"/>
      <c r="K90" s="80"/>
      <c r="L90" s="80"/>
      <c r="M90" s="80"/>
      <c r="O90" s="50"/>
      <c r="P90" s="23"/>
      <c r="Q90" s="23"/>
      <c r="R90" s="23"/>
      <c r="S90" s="23"/>
    </row>
    <row r="91" spans="1:20" x14ac:dyDescent="0.35">
      <c r="A91" s="233"/>
      <c r="B91" s="233"/>
      <c r="C91" s="233"/>
      <c r="D91" s="233"/>
      <c r="E91" s="233"/>
      <c r="F91" s="233"/>
      <c r="G91" s="140"/>
      <c r="H91" s="316"/>
      <c r="I91" s="316"/>
      <c r="J91" s="316"/>
      <c r="K91" s="316"/>
      <c r="L91" s="316"/>
      <c r="M91" s="316"/>
      <c r="O91" s="317"/>
      <c r="P91" s="317"/>
      <c r="Q91" s="317"/>
      <c r="R91" s="317"/>
      <c r="S91" s="317"/>
      <c r="T91" s="317"/>
    </row>
    <row r="92" spans="1:20" x14ac:dyDescent="0.35">
      <c r="A92" s="30"/>
      <c r="B92" s="140"/>
      <c r="C92" s="231"/>
      <c r="D92" s="232"/>
      <c r="E92" s="231"/>
      <c r="F92" s="256"/>
      <c r="G92" s="140"/>
      <c r="H92" s="5"/>
      <c r="I92" s="234"/>
      <c r="J92" s="318"/>
      <c r="K92" s="318"/>
      <c r="L92" s="231"/>
      <c r="M92" s="257"/>
      <c r="P92" s="80"/>
      <c r="Q92" s="85"/>
      <c r="R92" s="26"/>
      <c r="S92" s="26"/>
      <c r="T92" s="85"/>
    </row>
    <row r="93" spans="1:20" x14ac:dyDescent="0.35">
      <c r="A93" s="30"/>
      <c r="B93" s="140"/>
      <c r="C93" s="231"/>
      <c r="D93" s="232"/>
      <c r="E93" s="231"/>
      <c r="F93" s="256"/>
      <c r="H93" s="5"/>
      <c r="I93" s="234"/>
      <c r="J93" s="318"/>
      <c r="K93" s="318"/>
      <c r="L93" s="231"/>
      <c r="M93" s="257"/>
      <c r="P93" s="80"/>
      <c r="Q93" s="85"/>
      <c r="R93" s="26"/>
      <c r="S93" s="26"/>
      <c r="T93" s="85"/>
    </row>
    <row r="94" spans="1:20" x14ac:dyDescent="0.35">
      <c r="A94" s="30"/>
      <c r="B94" s="140"/>
      <c r="C94" s="231"/>
      <c r="D94" s="232"/>
      <c r="E94" s="231"/>
      <c r="F94" s="256"/>
      <c r="H94" s="5"/>
      <c r="I94" s="234"/>
      <c r="J94" s="318"/>
      <c r="K94" s="318"/>
      <c r="L94" s="231"/>
      <c r="M94" s="257"/>
      <c r="P94" s="80"/>
      <c r="Q94" s="85"/>
      <c r="R94" s="26"/>
      <c r="S94" s="26"/>
      <c r="T94" s="85"/>
    </row>
    <row r="95" spans="1:20" x14ac:dyDescent="0.35">
      <c r="A95" s="30"/>
      <c r="B95" s="140"/>
      <c r="C95" s="231"/>
      <c r="D95" s="232"/>
      <c r="E95" s="231"/>
      <c r="F95" s="256"/>
      <c r="G95" s="319"/>
      <c r="H95" s="5"/>
      <c r="I95" s="234"/>
      <c r="J95" s="318"/>
      <c r="K95" s="318"/>
      <c r="L95" s="231"/>
      <c r="M95" s="257"/>
      <c r="P95" s="80"/>
      <c r="Q95" s="85"/>
      <c r="R95" s="26"/>
      <c r="S95" s="26"/>
      <c r="T95" s="85"/>
    </row>
    <row r="96" spans="1:20" x14ac:dyDescent="0.35">
      <c r="A96" s="30"/>
      <c r="B96" s="140"/>
      <c r="C96" s="231"/>
      <c r="D96" s="232"/>
      <c r="E96" s="231"/>
      <c r="F96" s="256"/>
      <c r="G96" s="122"/>
      <c r="H96" s="5"/>
      <c r="I96" s="234"/>
      <c r="J96" s="318"/>
      <c r="K96" s="318"/>
      <c r="L96" s="231"/>
      <c r="M96" s="257"/>
      <c r="P96" s="80"/>
      <c r="Q96" s="85"/>
      <c r="R96" s="26"/>
      <c r="S96" s="26"/>
      <c r="T96" s="85"/>
    </row>
    <row r="97" spans="1:20" x14ac:dyDescent="0.35">
      <c r="A97" s="30"/>
      <c r="B97" s="140"/>
      <c r="C97" s="231"/>
      <c r="D97" s="232"/>
      <c r="E97" s="231"/>
      <c r="F97" s="256"/>
      <c r="G97" s="80"/>
      <c r="H97" s="5"/>
      <c r="I97" s="234"/>
      <c r="J97" s="318"/>
      <c r="K97" s="318"/>
      <c r="L97" s="231"/>
      <c r="M97" s="257"/>
      <c r="P97" s="80"/>
      <c r="Q97" s="85"/>
      <c r="R97" s="26"/>
      <c r="S97" s="26"/>
      <c r="T97" s="85"/>
    </row>
    <row r="98" spans="1:20" x14ac:dyDescent="0.35">
      <c r="A98" s="30"/>
      <c r="B98" s="140"/>
      <c r="C98" s="231"/>
      <c r="D98" s="232"/>
      <c r="E98" s="231"/>
      <c r="F98" s="256"/>
      <c r="G98" s="80"/>
      <c r="H98" s="5"/>
      <c r="I98" s="234"/>
      <c r="J98" s="318"/>
      <c r="K98" s="318"/>
      <c r="L98" s="231"/>
      <c r="M98" s="257"/>
      <c r="P98" s="80"/>
      <c r="Q98" s="85"/>
      <c r="R98" s="26"/>
      <c r="S98" s="26"/>
      <c r="T98" s="85"/>
    </row>
    <row r="99" spans="1:20" x14ac:dyDescent="0.35">
      <c r="A99" s="30"/>
      <c r="B99" s="140"/>
      <c r="C99" s="231"/>
      <c r="D99" s="232"/>
      <c r="E99" s="231"/>
      <c r="F99" s="256"/>
      <c r="G99" s="80"/>
      <c r="H99" s="5"/>
      <c r="I99" s="234"/>
      <c r="J99" s="318"/>
      <c r="K99" s="318"/>
      <c r="L99" s="231"/>
      <c r="M99" s="257"/>
      <c r="P99" s="80"/>
      <c r="Q99" s="85"/>
      <c r="R99" s="26"/>
      <c r="S99" s="26"/>
      <c r="T99" s="85"/>
    </row>
    <row r="100" spans="1:20" x14ac:dyDescent="0.35">
      <c r="A100" s="30"/>
      <c r="B100" s="140"/>
      <c r="C100" s="231"/>
      <c r="D100" s="232"/>
      <c r="E100" s="231"/>
      <c r="F100" s="256"/>
      <c r="G100" s="80"/>
      <c r="H100" s="5"/>
      <c r="I100" s="234"/>
      <c r="J100" s="318"/>
      <c r="K100" s="318"/>
      <c r="L100" s="231"/>
      <c r="M100" s="257"/>
      <c r="P100" s="80"/>
      <c r="Q100" s="85"/>
      <c r="R100" s="26"/>
      <c r="S100" s="26"/>
      <c r="T100" s="85"/>
    </row>
    <row r="101" spans="1:20" x14ac:dyDescent="0.35">
      <c r="A101" s="30"/>
      <c r="B101" s="140"/>
      <c r="C101" s="231"/>
      <c r="D101" s="232"/>
      <c r="E101" s="231"/>
      <c r="F101" s="256"/>
      <c r="G101" s="80"/>
      <c r="H101" s="5"/>
      <c r="I101" s="234"/>
      <c r="J101" s="318"/>
      <c r="K101" s="318"/>
      <c r="L101" s="231"/>
      <c r="M101" s="257"/>
      <c r="P101" s="80"/>
      <c r="Q101" s="85"/>
      <c r="R101" s="26"/>
      <c r="S101" s="26"/>
      <c r="T101" s="85"/>
    </row>
    <row r="102" spans="1:20" x14ac:dyDescent="0.35">
      <c r="A102" s="30"/>
      <c r="B102" s="140"/>
      <c r="C102" s="231"/>
      <c r="D102" s="232"/>
      <c r="E102" s="231"/>
      <c r="F102" s="256"/>
      <c r="G102" s="80"/>
      <c r="H102" s="5"/>
      <c r="I102" s="234"/>
      <c r="J102" s="318"/>
      <c r="K102" s="318"/>
      <c r="L102" s="231"/>
      <c r="M102" s="257"/>
      <c r="P102" s="80"/>
      <c r="Q102" s="85"/>
      <c r="R102" s="26"/>
      <c r="S102" s="26"/>
      <c r="T102" s="85"/>
    </row>
    <row r="103" spans="1:20" x14ac:dyDescent="0.35">
      <c r="A103" s="30"/>
      <c r="B103" s="140"/>
      <c r="C103" s="231"/>
      <c r="D103" s="232"/>
      <c r="E103" s="231"/>
      <c r="F103" s="256"/>
      <c r="G103" s="80"/>
      <c r="H103" s="5"/>
      <c r="I103" s="234"/>
      <c r="J103" s="318"/>
      <c r="K103" s="318"/>
      <c r="L103" s="231"/>
      <c r="M103" s="257"/>
      <c r="P103" s="80"/>
      <c r="Q103" s="85"/>
      <c r="R103" s="26"/>
      <c r="S103" s="26"/>
      <c r="T103" s="85"/>
    </row>
    <row r="104" spans="1:20" x14ac:dyDescent="0.35">
      <c r="A104" s="30"/>
      <c r="B104" s="140"/>
      <c r="C104" s="231"/>
      <c r="D104" s="232"/>
      <c r="E104" s="231"/>
      <c r="F104" s="256"/>
      <c r="G104" s="80"/>
      <c r="H104" s="5"/>
      <c r="I104" s="234"/>
      <c r="J104" s="318"/>
      <c r="K104" s="318"/>
      <c r="L104" s="231"/>
      <c r="M104" s="257"/>
      <c r="P104" s="80"/>
      <c r="Q104" s="85"/>
      <c r="R104" s="26"/>
      <c r="S104" s="26"/>
      <c r="T104" s="85"/>
    </row>
    <row r="105" spans="1:20" x14ac:dyDescent="0.35">
      <c r="A105" s="30"/>
      <c r="B105" s="140"/>
      <c r="C105" s="231"/>
      <c r="D105" s="232"/>
      <c r="E105" s="231"/>
      <c r="F105" s="256"/>
      <c r="G105" s="80"/>
      <c r="H105" s="5"/>
      <c r="I105" s="234"/>
      <c r="J105" s="318"/>
      <c r="K105" s="318"/>
      <c r="L105" s="231"/>
      <c r="M105" s="257"/>
      <c r="P105" s="80"/>
      <c r="Q105" s="85"/>
      <c r="R105" s="26"/>
      <c r="S105" s="26"/>
      <c r="T105" s="85"/>
    </row>
    <row r="106" spans="1:20" x14ac:dyDescent="0.35">
      <c r="A106" s="30"/>
      <c r="B106" s="140"/>
      <c r="C106" s="231"/>
      <c r="D106" s="232"/>
      <c r="E106" s="231"/>
      <c r="F106" s="256"/>
      <c r="G106" s="80"/>
      <c r="H106" s="5"/>
      <c r="I106" s="234"/>
      <c r="J106" s="318"/>
      <c r="K106" s="318"/>
      <c r="L106" s="231"/>
      <c r="M106" s="257"/>
      <c r="P106" s="80"/>
      <c r="Q106" s="85"/>
      <c r="R106" s="26"/>
      <c r="S106" s="26"/>
      <c r="T106" s="85"/>
    </row>
    <row r="107" spans="1:20" x14ac:dyDescent="0.35">
      <c r="A107" s="30"/>
      <c r="B107" s="140"/>
      <c r="C107" s="231"/>
      <c r="D107" s="232"/>
      <c r="E107" s="231"/>
      <c r="F107" s="256"/>
      <c r="G107" s="80"/>
      <c r="H107" s="5"/>
      <c r="I107" s="234"/>
      <c r="J107" s="318"/>
      <c r="K107" s="318"/>
      <c r="L107" s="231"/>
      <c r="M107" s="257"/>
      <c r="P107" s="80"/>
      <c r="Q107" s="85"/>
      <c r="R107" s="26"/>
      <c r="S107" s="26"/>
      <c r="T107" s="85"/>
    </row>
    <row r="108" spans="1:20" x14ac:dyDescent="0.35">
      <c r="A108" s="30"/>
      <c r="B108" s="140"/>
      <c r="C108" s="231"/>
      <c r="D108" s="232"/>
      <c r="E108" s="231"/>
      <c r="F108" s="256"/>
      <c r="G108" s="80"/>
      <c r="H108" s="5"/>
      <c r="I108" s="234"/>
      <c r="J108" s="318"/>
      <c r="K108" s="318"/>
      <c r="L108" s="231"/>
      <c r="M108" s="257"/>
      <c r="P108" s="80"/>
      <c r="Q108" s="85"/>
      <c r="R108" s="26"/>
      <c r="S108" s="26"/>
      <c r="T108" s="85"/>
    </row>
    <row r="109" spans="1:20" x14ac:dyDescent="0.35">
      <c r="A109" s="30"/>
      <c r="B109" s="140"/>
      <c r="C109" s="231"/>
      <c r="D109" s="232"/>
      <c r="E109" s="231"/>
      <c r="F109" s="256"/>
      <c r="G109" s="80"/>
      <c r="H109" s="5"/>
      <c r="I109" s="234"/>
      <c r="J109" s="318"/>
      <c r="K109" s="318"/>
      <c r="L109" s="231"/>
      <c r="M109" s="257"/>
      <c r="P109" s="80"/>
      <c r="Q109" s="85"/>
      <c r="R109" s="26"/>
      <c r="S109" s="26"/>
      <c r="T109" s="85"/>
    </row>
    <row r="110" spans="1:20" x14ac:dyDescent="0.35">
      <c r="A110" s="30"/>
      <c r="B110" s="140"/>
      <c r="C110" s="231"/>
      <c r="D110" s="232"/>
      <c r="E110" s="231"/>
      <c r="F110" s="256"/>
      <c r="G110" s="80"/>
      <c r="H110" s="5"/>
      <c r="I110" s="234"/>
      <c r="J110" s="318"/>
      <c r="K110" s="318"/>
      <c r="L110" s="231"/>
      <c r="M110" s="257"/>
      <c r="P110" s="80"/>
      <c r="Q110" s="85"/>
      <c r="R110" s="26"/>
      <c r="S110" s="26"/>
      <c r="T110" s="85"/>
    </row>
    <row r="111" spans="1:20" x14ac:dyDescent="0.35">
      <c r="A111" s="30"/>
      <c r="B111" s="140"/>
      <c r="C111" s="231"/>
      <c r="D111" s="232"/>
      <c r="E111" s="231"/>
      <c r="F111" s="256"/>
      <c r="G111" s="80"/>
      <c r="H111" s="5"/>
      <c r="I111" s="234"/>
      <c r="J111" s="318"/>
      <c r="K111" s="318"/>
      <c r="L111" s="231"/>
      <c r="M111" s="257"/>
      <c r="P111" s="80"/>
      <c r="Q111" s="85"/>
      <c r="R111" s="26"/>
      <c r="S111" s="26"/>
      <c r="T111" s="85"/>
    </row>
    <row r="112" spans="1:20" x14ac:dyDescent="0.35">
      <c r="A112" s="30"/>
      <c r="B112" s="140"/>
      <c r="C112" s="231"/>
      <c r="D112" s="232"/>
      <c r="E112" s="231"/>
      <c r="F112" s="256"/>
      <c r="G112" s="80"/>
      <c r="H112" s="5"/>
      <c r="I112" s="234"/>
      <c r="J112" s="318"/>
      <c r="K112" s="318"/>
      <c r="L112" s="231"/>
      <c r="M112" s="257"/>
      <c r="P112" s="80"/>
      <c r="Q112" s="85"/>
      <c r="R112" s="26"/>
      <c r="S112" s="26"/>
      <c r="T112" s="85"/>
    </row>
    <row r="113" spans="1:20" x14ac:dyDescent="0.35">
      <c r="A113" s="30"/>
      <c r="B113" s="140"/>
      <c r="C113" s="231"/>
      <c r="D113" s="232"/>
      <c r="E113" s="231"/>
      <c r="F113" s="256"/>
      <c r="G113" s="80"/>
      <c r="H113" s="5"/>
      <c r="I113" s="234"/>
      <c r="J113" s="318"/>
      <c r="K113" s="318"/>
      <c r="L113" s="231"/>
      <c r="M113" s="257"/>
      <c r="P113" s="80"/>
      <c r="Q113" s="85"/>
      <c r="R113" s="26"/>
      <c r="S113" s="26"/>
      <c r="T113" s="85"/>
    </row>
    <row r="114" spans="1:20" x14ac:dyDescent="0.35">
      <c r="A114" s="30"/>
      <c r="B114" s="140"/>
      <c r="C114" s="231"/>
      <c r="D114" s="232"/>
      <c r="E114" s="231"/>
      <c r="F114" s="256"/>
      <c r="G114" s="23"/>
      <c r="H114" s="5"/>
      <c r="I114" s="234"/>
      <c r="J114" s="318"/>
      <c r="K114" s="318"/>
      <c r="L114" s="231"/>
      <c r="M114" s="257"/>
      <c r="P114" s="80"/>
      <c r="Q114" s="85"/>
      <c r="R114" s="26"/>
      <c r="S114" s="26"/>
      <c r="T114" s="85"/>
    </row>
    <row r="115" spans="1:20" x14ac:dyDescent="0.35">
      <c r="A115" s="30"/>
      <c r="B115" s="140"/>
      <c r="C115" s="231"/>
      <c r="D115" s="232"/>
      <c r="E115" s="231"/>
      <c r="F115" s="256"/>
      <c r="H115" s="5"/>
      <c r="I115" s="234"/>
      <c r="J115" s="318"/>
      <c r="K115" s="318"/>
      <c r="L115" s="231"/>
      <c r="M115" s="257"/>
      <c r="P115" s="80"/>
      <c r="Q115" s="85"/>
      <c r="R115" s="26"/>
      <c r="S115" s="26"/>
      <c r="T115" s="85"/>
    </row>
    <row r="116" spans="1:20" x14ac:dyDescent="0.35">
      <c r="A116" s="30"/>
      <c r="B116" s="140"/>
      <c r="C116" s="231"/>
      <c r="D116" s="232"/>
      <c r="E116" s="231"/>
      <c r="F116" s="256"/>
      <c r="H116" s="5"/>
      <c r="I116" s="234"/>
      <c r="J116" s="318"/>
      <c r="K116" s="318"/>
      <c r="L116" s="231"/>
      <c r="M116" s="257"/>
      <c r="P116" s="80"/>
      <c r="Q116" s="85"/>
      <c r="R116" s="26"/>
      <c r="S116" s="26"/>
      <c r="T116" s="85"/>
    </row>
    <row r="117" spans="1:20" x14ac:dyDescent="0.35">
      <c r="A117" s="30"/>
      <c r="B117" s="140"/>
      <c r="C117" s="231"/>
      <c r="D117" s="232"/>
      <c r="E117" s="231"/>
      <c r="F117" s="256"/>
      <c r="H117" s="5"/>
      <c r="I117" s="234"/>
      <c r="J117" s="318"/>
      <c r="K117" s="318"/>
      <c r="L117" s="231"/>
      <c r="M117" s="257"/>
      <c r="P117" s="80"/>
      <c r="Q117" s="85"/>
      <c r="R117" s="26"/>
      <c r="S117" s="26"/>
      <c r="T117" s="85"/>
    </row>
    <row r="118" spans="1:20" x14ac:dyDescent="0.35">
      <c r="A118" s="30"/>
      <c r="B118" s="140"/>
      <c r="C118" s="231"/>
      <c r="D118" s="232"/>
      <c r="E118" s="231"/>
      <c r="F118" s="256"/>
      <c r="H118" s="5"/>
      <c r="I118" s="234"/>
      <c r="J118" s="318"/>
      <c r="K118" s="318"/>
      <c r="L118" s="231"/>
      <c r="M118" s="257"/>
      <c r="P118" s="80"/>
      <c r="Q118" s="85"/>
      <c r="R118" s="26"/>
      <c r="S118" s="26"/>
      <c r="T118" s="85"/>
    </row>
    <row r="119" spans="1:20" x14ac:dyDescent="0.35">
      <c r="A119" s="30"/>
      <c r="B119" s="140"/>
      <c r="C119" s="231"/>
      <c r="D119" s="232"/>
      <c r="E119" s="231"/>
      <c r="F119" s="256"/>
      <c r="H119" s="5"/>
      <c r="I119" s="234"/>
      <c r="J119" s="318"/>
      <c r="K119" s="318"/>
      <c r="L119" s="231"/>
      <c r="M119" s="257"/>
      <c r="P119" s="80"/>
      <c r="Q119" s="85"/>
      <c r="R119" s="26"/>
      <c r="S119" s="26"/>
      <c r="T119" s="85"/>
    </row>
    <row r="120" spans="1:20" x14ac:dyDescent="0.35">
      <c r="A120" s="30"/>
      <c r="B120" s="140"/>
      <c r="C120" s="231"/>
      <c r="D120" s="232"/>
      <c r="E120" s="231"/>
      <c r="F120" s="256"/>
      <c r="H120" s="5"/>
      <c r="I120" s="234"/>
      <c r="J120" s="318"/>
      <c r="K120" s="318"/>
      <c r="L120" s="231"/>
      <c r="M120" s="257"/>
      <c r="P120" s="80"/>
      <c r="Q120" s="85"/>
      <c r="R120" s="26"/>
      <c r="S120" s="26"/>
      <c r="T120" s="85"/>
    </row>
    <row r="121" spans="1:20" x14ac:dyDescent="0.35">
      <c r="A121" s="30"/>
      <c r="B121" s="140"/>
      <c r="C121" s="231"/>
      <c r="D121" s="232"/>
      <c r="E121" s="231"/>
      <c r="F121" s="256"/>
      <c r="H121" s="5"/>
      <c r="I121" s="234"/>
      <c r="J121" s="318"/>
      <c r="K121" s="318"/>
      <c r="L121" s="231"/>
      <c r="M121" s="257"/>
      <c r="P121" s="80"/>
      <c r="Q121" s="85"/>
      <c r="R121" s="26"/>
      <c r="S121" s="26"/>
      <c r="T121" s="85"/>
    </row>
    <row r="122" spans="1:20" x14ac:dyDescent="0.35">
      <c r="A122" s="30"/>
      <c r="B122" s="140"/>
      <c r="C122" s="231"/>
      <c r="D122" s="232"/>
      <c r="E122" s="231"/>
      <c r="F122" s="256"/>
      <c r="H122" s="5"/>
      <c r="I122" s="234"/>
      <c r="J122" s="318"/>
      <c r="K122" s="318"/>
      <c r="L122" s="231"/>
      <c r="M122" s="257"/>
      <c r="P122" s="80"/>
      <c r="Q122" s="85"/>
      <c r="R122" s="26"/>
      <c r="S122" s="26"/>
      <c r="T122" s="85"/>
    </row>
    <row r="123" spans="1:20" x14ac:dyDescent="0.35">
      <c r="A123" s="30"/>
      <c r="B123" s="140"/>
      <c r="C123" s="231"/>
      <c r="D123" s="232"/>
      <c r="E123" s="231"/>
      <c r="F123" s="256"/>
      <c r="H123" s="5"/>
      <c r="I123" s="234"/>
      <c r="J123" s="318"/>
      <c r="K123" s="318"/>
      <c r="L123" s="231"/>
      <c r="M123" s="257"/>
      <c r="P123" s="80"/>
      <c r="Q123" s="85"/>
      <c r="R123" s="26"/>
      <c r="S123" s="26"/>
      <c r="T123" s="85"/>
    </row>
    <row r="124" spans="1:20" x14ac:dyDescent="0.35">
      <c r="A124" s="30"/>
      <c r="B124" s="140"/>
      <c r="C124" s="231"/>
      <c r="D124" s="232"/>
      <c r="E124" s="231"/>
      <c r="F124" s="256"/>
      <c r="H124" s="5"/>
      <c r="I124" s="234"/>
      <c r="J124" s="318"/>
      <c r="K124" s="318"/>
      <c r="L124" s="231"/>
      <c r="M124" s="257"/>
      <c r="P124" s="80"/>
      <c r="Q124" s="85"/>
      <c r="R124" s="26"/>
      <c r="S124" s="26"/>
      <c r="T124" s="85"/>
    </row>
    <row r="125" spans="1:20" x14ac:dyDescent="0.35">
      <c r="A125" s="30"/>
      <c r="B125" s="140"/>
      <c r="C125" s="231"/>
      <c r="D125" s="232"/>
      <c r="E125" s="231"/>
      <c r="F125" s="256"/>
      <c r="H125" s="5"/>
      <c r="I125" s="234"/>
      <c r="J125" s="318"/>
      <c r="K125" s="318"/>
      <c r="L125" s="231"/>
      <c r="M125" s="257"/>
      <c r="P125" s="80"/>
      <c r="Q125" s="85"/>
      <c r="R125" s="26"/>
      <c r="S125" s="26"/>
      <c r="T125" s="85"/>
    </row>
    <row r="126" spans="1:20" x14ac:dyDescent="0.35">
      <c r="A126" s="30"/>
      <c r="B126" s="140"/>
      <c r="C126" s="231"/>
      <c r="D126" s="232"/>
      <c r="E126" s="231"/>
      <c r="F126" s="256"/>
      <c r="H126" s="5"/>
      <c r="I126" s="234"/>
      <c r="J126" s="318"/>
      <c r="K126" s="318"/>
      <c r="L126" s="231"/>
      <c r="M126" s="257"/>
      <c r="P126" s="80"/>
      <c r="Q126" s="85"/>
      <c r="R126" s="26"/>
      <c r="S126" s="26"/>
      <c r="T126" s="85"/>
    </row>
    <row r="127" spans="1:20" x14ac:dyDescent="0.35">
      <c r="A127" s="30"/>
      <c r="B127" s="140"/>
      <c r="C127" s="231"/>
      <c r="D127" s="232"/>
      <c r="E127" s="231"/>
      <c r="F127" s="256"/>
      <c r="H127" s="5"/>
      <c r="I127" s="234"/>
      <c r="J127" s="318"/>
      <c r="K127" s="318"/>
      <c r="L127" s="231"/>
      <c r="M127" s="257"/>
      <c r="P127" s="80"/>
      <c r="Q127" s="85"/>
      <c r="R127" s="26"/>
      <c r="S127" s="26"/>
      <c r="T127" s="85"/>
    </row>
    <row r="128" spans="1:20" x14ac:dyDescent="0.35">
      <c r="A128" s="30"/>
      <c r="B128" s="140"/>
      <c r="C128" s="231"/>
      <c r="D128" s="232"/>
      <c r="E128" s="231"/>
      <c r="F128" s="256"/>
      <c r="H128" s="5"/>
      <c r="I128" s="234"/>
      <c r="J128" s="318"/>
      <c r="K128" s="318"/>
      <c r="L128" s="231"/>
      <c r="M128" s="257"/>
      <c r="P128" s="80"/>
      <c r="Q128" s="85"/>
      <c r="R128" s="26"/>
      <c r="S128" s="26"/>
      <c r="T128" s="85"/>
    </row>
    <row r="129" spans="1:20" x14ac:dyDescent="0.35">
      <c r="A129" s="30"/>
      <c r="B129" s="140"/>
      <c r="C129" s="231"/>
      <c r="D129" s="232"/>
      <c r="E129" s="231"/>
      <c r="F129" s="256"/>
      <c r="H129" s="5"/>
      <c r="I129" s="234"/>
      <c r="J129" s="318"/>
      <c r="K129" s="318"/>
      <c r="L129" s="231"/>
      <c r="M129" s="257"/>
      <c r="P129" s="80"/>
      <c r="Q129" s="85"/>
      <c r="R129" s="26"/>
      <c r="S129" s="26"/>
      <c r="T129" s="85"/>
    </row>
    <row r="130" spans="1:20" x14ac:dyDescent="0.35">
      <c r="A130" s="30"/>
      <c r="B130" s="140"/>
      <c r="C130" s="231"/>
      <c r="D130" s="232"/>
      <c r="E130" s="231"/>
      <c r="F130" s="256"/>
      <c r="H130" s="5"/>
      <c r="I130" s="234"/>
      <c r="J130" s="318"/>
      <c r="K130" s="318"/>
      <c r="L130" s="231"/>
      <c r="M130" s="257"/>
      <c r="P130" s="80"/>
      <c r="Q130" s="85"/>
      <c r="R130" s="26"/>
      <c r="S130" s="26"/>
      <c r="T130" s="85"/>
    </row>
    <row r="131" spans="1:20" x14ac:dyDescent="0.35">
      <c r="A131" s="30"/>
      <c r="B131" s="140"/>
      <c r="C131" s="231"/>
      <c r="D131" s="232"/>
      <c r="E131" s="231"/>
      <c r="F131" s="256"/>
      <c r="H131" s="5"/>
      <c r="I131" s="234"/>
      <c r="J131" s="318"/>
      <c r="K131" s="318"/>
      <c r="L131" s="231"/>
      <c r="M131" s="257"/>
      <c r="P131" s="80"/>
      <c r="Q131" s="85"/>
      <c r="R131" s="26"/>
      <c r="S131" s="26"/>
      <c r="T131" s="85"/>
    </row>
    <row r="132" spans="1:20" x14ac:dyDescent="0.35">
      <c r="A132" s="30"/>
      <c r="B132" s="140"/>
      <c r="C132" s="231"/>
      <c r="D132" s="232"/>
      <c r="E132" s="231"/>
      <c r="F132" s="256"/>
      <c r="H132" s="5"/>
      <c r="I132" s="234"/>
      <c r="J132" s="318"/>
      <c r="K132" s="318"/>
      <c r="L132" s="231"/>
      <c r="M132" s="257"/>
      <c r="P132" s="80"/>
      <c r="Q132" s="85"/>
      <c r="R132" s="26"/>
      <c r="S132" s="26"/>
      <c r="T132" s="85"/>
    </row>
    <row r="133" spans="1:20" x14ac:dyDescent="0.35">
      <c r="A133" s="30"/>
      <c r="B133" s="140"/>
      <c r="C133" s="231"/>
      <c r="D133" s="232"/>
      <c r="E133" s="259"/>
      <c r="F133" s="256"/>
      <c r="H133" s="5"/>
      <c r="I133" s="234"/>
      <c r="J133" s="318"/>
      <c r="K133" s="318"/>
      <c r="L133" s="259"/>
      <c r="M133" s="257"/>
      <c r="P133" s="80"/>
      <c r="Q133" s="85"/>
      <c r="R133" s="26"/>
      <c r="S133" s="26"/>
      <c r="T133" s="85"/>
    </row>
    <row r="134" spans="1:20" x14ac:dyDescent="0.35">
      <c r="P134" s="80"/>
      <c r="Q134" s="85"/>
      <c r="R134" s="26"/>
      <c r="S134" s="26"/>
      <c r="T134" s="85"/>
    </row>
    <row r="140" spans="1:20" x14ac:dyDescent="0.35">
      <c r="E140" s="29"/>
    </row>
    <row r="141" spans="1:20" x14ac:dyDescent="0.35">
      <c r="E141" s="29"/>
    </row>
    <row r="142" spans="1:20" x14ac:dyDescent="0.35">
      <c r="E142" s="29"/>
    </row>
    <row r="143" spans="1:20" x14ac:dyDescent="0.35">
      <c r="E143" s="29"/>
    </row>
    <row r="144" spans="1:20" x14ac:dyDescent="0.35">
      <c r="C144" s="29"/>
      <c r="D144" s="29"/>
      <c r="E144" s="29"/>
    </row>
    <row r="151" spans="5:5" x14ac:dyDescent="0.35">
      <c r="E151" s="29"/>
    </row>
    <row r="152" spans="5:5" x14ac:dyDescent="0.35">
      <c r="E152" s="29"/>
    </row>
    <row r="153" spans="5:5" x14ac:dyDescent="0.35">
      <c r="E153" s="29"/>
    </row>
    <row r="154" spans="5:5" x14ac:dyDescent="0.35">
      <c r="E154" s="29"/>
    </row>
    <row r="155" spans="5:5" x14ac:dyDescent="0.35">
      <c r="E155" s="29"/>
    </row>
    <row r="156" spans="5:5" x14ac:dyDescent="0.35">
      <c r="E156" s="29"/>
    </row>
    <row r="157" spans="5:5" x14ac:dyDescent="0.35">
      <c r="E157" s="29"/>
    </row>
    <row r="158" spans="5:5" x14ac:dyDescent="0.35">
      <c r="E158" s="29"/>
    </row>
    <row r="159" spans="5:5" x14ac:dyDescent="0.35">
      <c r="E159" s="29"/>
    </row>
    <row r="160" spans="5:5" x14ac:dyDescent="0.35">
      <c r="E160" s="29"/>
    </row>
    <row r="161" spans="1:5" x14ac:dyDescent="0.35">
      <c r="C161" s="29"/>
      <c r="D161" s="29"/>
      <c r="E161" s="29"/>
    </row>
    <row r="163" spans="1:5" x14ac:dyDescent="0.35">
      <c r="A163" s="1"/>
    </row>
    <row r="165" spans="1:5" x14ac:dyDescent="0.35">
      <c r="E165" s="29"/>
    </row>
    <row r="166" spans="1:5" x14ac:dyDescent="0.35">
      <c r="E166" s="29"/>
    </row>
    <row r="167" spans="1:5" x14ac:dyDescent="0.35">
      <c r="E167" s="29"/>
    </row>
    <row r="168" spans="1:5" x14ac:dyDescent="0.35">
      <c r="E168" s="29"/>
    </row>
    <row r="169" spans="1:5" x14ac:dyDescent="0.35">
      <c r="E169" s="29"/>
    </row>
    <row r="170" spans="1:5" x14ac:dyDescent="0.35">
      <c r="E170" s="29"/>
    </row>
    <row r="171" spans="1:5" x14ac:dyDescent="0.35">
      <c r="E171" s="29"/>
    </row>
    <row r="172" spans="1:5" x14ac:dyDescent="0.35">
      <c r="E172" s="29"/>
    </row>
    <row r="173" spans="1:5" x14ac:dyDescent="0.35">
      <c r="E173" s="29"/>
    </row>
    <row r="174" spans="1:5" x14ac:dyDescent="0.35">
      <c r="E174" s="29"/>
    </row>
    <row r="175" spans="1:5" x14ac:dyDescent="0.35">
      <c r="E175" s="29"/>
    </row>
    <row r="176" spans="1:5" x14ac:dyDescent="0.35">
      <c r="E176" s="29"/>
    </row>
    <row r="177" spans="1:5" x14ac:dyDescent="0.35">
      <c r="E177" s="29"/>
    </row>
    <row r="178" spans="1:5" x14ac:dyDescent="0.35">
      <c r="E178" s="29"/>
    </row>
    <row r="179" spans="1:5" x14ac:dyDescent="0.35">
      <c r="E179" s="29"/>
    </row>
    <row r="180" spans="1:5" x14ac:dyDescent="0.35">
      <c r="E180" s="29"/>
    </row>
    <row r="181" spans="1:5" x14ac:dyDescent="0.35">
      <c r="C181" s="29"/>
      <c r="D181" s="29"/>
      <c r="E181" s="29"/>
    </row>
    <row r="183" spans="1:5" x14ac:dyDescent="0.35">
      <c r="A183" s="1"/>
    </row>
    <row r="185" spans="1:5" x14ac:dyDescent="0.35">
      <c r="E185" s="29"/>
    </row>
    <row r="186" spans="1:5" x14ac:dyDescent="0.35">
      <c r="E186" s="29"/>
    </row>
    <row r="187" spans="1:5" x14ac:dyDescent="0.35">
      <c r="E187" s="29"/>
    </row>
    <row r="188" spans="1:5" x14ac:dyDescent="0.35">
      <c r="E188" s="29"/>
    </row>
    <row r="189" spans="1:5" x14ac:dyDescent="0.35">
      <c r="E189" s="29"/>
    </row>
    <row r="190" spans="1:5" x14ac:dyDescent="0.35">
      <c r="E190" s="29"/>
    </row>
    <row r="191" spans="1:5" x14ac:dyDescent="0.35">
      <c r="E191" s="29"/>
    </row>
    <row r="192" spans="1:5" x14ac:dyDescent="0.35">
      <c r="E192" s="29"/>
    </row>
    <row r="193" spans="3:5" x14ac:dyDescent="0.35">
      <c r="E193" s="29"/>
    </row>
    <row r="194" spans="3:5" x14ac:dyDescent="0.35">
      <c r="E194" s="29"/>
    </row>
    <row r="195" spans="3:5" x14ac:dyDescent="0.35">
      <c r="E195" s="29"/>
    </row>
    <row r="196" spans="3:5" x14ac:dyDescent="0.35">
      <c r="E196" s="29"/>
    </row>
    <row r="197" spans="3:5" x14ac:dyDescent="0.35">
      <c r="E197" s="29"/>
    </row>
    <row r="198" spans="3:5" x14ac:dyDescent="0.35">
      <c r="E198" s="29"/>
    </row>
    <row r="199" spans="3:5" x14ac:dyDescent="0.35">
      <c r="E199" s="29"/>
    </row>
    <row r="200" spans="3:5" x14ac:dyDescent="0.35">
      <c r="E200" s="29"/>
    </row>
    <row r="201" spans="3:5" x14ac:dyDescent="0.35">
      <c r="C201" s="29"/>
      <c r="D201" s="29"/>
      <c r="E201" s="29"/>
    </row>
  </sheetData>
  <phoneticPr fontId="1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8671-DB8B-4066-ACA1-03F3F7412E69}">
  <sheetPr codeName="Sheet5"/>
  <dimension ref="A1:U41"/>
  <sheetViews>
    <sheetView zoomScale="90" zoomScaleNormal="90" workbookViewId="0">
      <selection activeCell="O18" sqref="O18"/>
    </sheetView>
  </sheetViews>
  <sheetFormatPr defaultRowHeight="14.5" x14ac:dyDescent="0.35"/>
  <cols>
    <col min="1" max="1" width="20.1796875" customWidth="1"/>
    <col min="2" max="2" width="19.54296875" customWidth="1"/>
    <col min="3" max="3" width="20.26953125" customWidth="1"/>
    <col min="4" max="4" width="16.54296875" customWidth="1"/>
    <col min="5" max="5" width="13.453125" customWidth="1"/>
    <col min="6" max="6" width="20.7265625" customWidth="1"/>
    <col min="7" max="7" width="12.81640625" customWidth="1"/>
    <col min="8" max="8" width="16.81640625" customWidth="1"/>
    <col min="9" max="9" width="23" customWidth="1"/>
    <col min="10" max="10" width="26.26953125" customWidth="1"/>
    <col min="11" max="11" width="20.54296875" customWidth="1"/>
    <col min="12" max="12" width="27.7265625" customWidth="1"/>
    <col min="13" max="13" width="19.26953125" customWidth="1"/>
    <col min="14" max="14" width="16.54296875" customWidth="1"/>
    <col min="15" max="15" width="14.54296875" customWidth="1"/>
    <col min="16" max="17" width="20.26953125" customWidth="1"/>
    <col min="18" max="18" width="17.453125" customWidth="1"/>
    <col min="19" max="19" width="15" customWidth="1"/>
    <col min="20" max="20" width="14.7265625" customWidth="1"/>
  </cols>
  <sheetData>
    <row r="1" spans="1:21" ht="18.5" x14ac:dyDescent="0.45">
      <c r="A1" s="10" t="s">
        <v>100</v>
      </c>
    </row>
    <row r="2" spans="1:21" ht="18.5" x14ac:dyDescent="0.45">
      <c r="B2" t="s">
        <v>12</v>
      </c>
      <c r="C2" t="s">
        <v>58</v>
      </c>
      <c r="D2" t="s">
        <v>9</v>
      </c>
      <c r="F2" t="s">
        <v>103</v>
      </c>
      <c r="G2" t="s">
        <v>9</v>
      </c>
      <c r="J2" s="47" t="s">
        <v>149</v>
      </c>
    </row>
    <row r="3" spans="1:21" x14ac:dyDescent="0.35">
      <c r="A3" s="11" t="s">
        <v>101</v>
      </c>
      <c r="B3" s="150">
        <f>1 - SUM(B4:B5)</f>
        <v>0.72</v>
      </c>
      <c r="C3" s="148">
        <f>BaseA!H1</f>
        <v>0.48924808455313479</v>
      </c>
      <c r="D3" s="107">
        <f>B3 * C3</f>
        <v>0.35225862087825704</v>
      </c>
      <c r="F3" s="107">
        <f>BaseA!E1</f>
        <v>0.48924808455313479</v>
      </c>
      <c r="G3" s="107">
        <f>B3 * F3</f>
        <v>0.35225862087825704</v>
      </c>
      <c r="J3" t="s">
        <v>153</v>
      </c>
      <c r="K3" s="200" t="s">
        <v>246</v>
      </c>
      <c r="L3" s="200" t="s">
        <v>162</v>
      </c>
      <c r="M3" s="200" t="s">
        <v>152</v>
      </c>
      <c r="N3" s="200" t="s">
        <v>125</v>
      </c>
    </row>
    <row r="4" spans="1:21" x14ac:dyDescent="0.35">
      <c r="A4" s="11" t="s">
        <v>102</v>
      </c>
      <c r="B4" s="150">
        <v>0.24</v>
      </c>
      <c r="C4" s="148">
        <f>BaseB!H1</f>
        <v>2.2487377279125949</v>
      </c>
      <c r="D4" s="107">
        <f>B4 * C4</f>
        <v>0.53969705469902274</v>
      </c>
      <c r="F4" s="107">
        <f>BaseB!E1+BaseB!K1</f>
        <v>1.4412013939091206</v>
      </c>
      <c r="G4" s="107">
        <f>B4 * F4</f>
        <v>0.34588833453818896</v>
      </c>
      <c r="J4" s="11" t="s">
        <v>172</v>
      </c>
      <c r="K4" s="72">
        <f>BaseB!I92 *  B4  +  BaseC!I84  *  B5</f>
        <v>0.17586719510449883</v>
      </c>
      <c r="L4" s="262">
        <f>BaseB!O68</f>
        <v>1.0999999999999999E-2</v>
      </c>
      <c r="M4" s="107">
        <f>B4 * BaseB!P68  +  B5 * BaseC!P68</f>
        <v>1.9345391461494869E-3</v>
      </c>
      <c r="N4" s="204">
        <f>1/M4</f>
        <v>516.9189788639859</v>
      </c>
    </row>
    <row r="5" spans="1:21" x14ac:dyDescent="0.35">
      <c r="A5" s="11" t="s">
        <v>126</v>
      </c>
      <c r="B5" s="150">
        <v>0.04</v>
      </c>
      <c r="C5" s="148">
        <f>BaseC!H1</f>
        <v>0.98421665215534382</v>
      </c>
      <c r="D5" s="107">
        <f>B5 * C5</f>
        <v>3.9368666086213755E-2</v>
      </c>
      <c r="F5" s="107">
        <f>BaseC!E1+BaseC!K1</f>
        <v>0.19733723448717769</v>
      </c>
      <c r="G5" s="107">
        <f>B5 * F5</f>
        <v>7.8934893794871085E-3</v>
      </c>
      <c r="J5" s="11" t="s">
        <v>175</v>
      </c>
      <c r="K5" s="72">
        <f>B4 *  BaseB!J92  +  B5 *  BaseC!J84</f>
        <v>0.17586719510449883</v>
      </c>
      <c r="L5" s="262">
        <f>BaseB!O69</f>
        <v>1.03E-2</v>
      </c>
      <c r="M5" s="107">
        <f>B4 * BaseB!P69  +  B5 * BaseC!P69</f>
        <v>1.7989157707198377E-3</v>
      </c>
      <c r="N5" s="204">
        <f>1/M5</f>
        <v>555.89039591322785</v>
      </c>
    </row>
    <row r="6" spans="1:21" x14ac:dyDescent="0.35">
      <c r="B6" s="7">
        <f>SUM(B3:B5)</f>
        <v>1</v>
      </c>
      <c r="D6" s="205">
        <f>SUM(D3:D5)</f>
        <v>0.93132434166349354</v>
      </c>
      <c r="G6" s="151">
        <f>SUM(G3:G5)</f>
        <v>0.70604044479593309</v>
      </c>
      <c r="J6" s="11" t="s">
        <v>176</v>
      </c>
      <c r="K6" s="72">
        <f>B4 *  BaseB!K92  +  B5  *  BaseC!K84</f>
        <v>0.17586719510449883</v>
      </c>
      <c r="L6" s="262">
        <f>BaseB!O70</f>
        <v>0.01</v>
      </c>
      <c r="M6" s="107">
        <f>B4 * BaseB!P70  +  B5 * BaseC!P70</f>
        <v>1.7352203034682106E-3</v>
      </c>
      <c r="N6" s="204">
        <f>1/M6</f>
        <v>576.29570032190441</v>
      </c>
    </row>
    <row r="7" spans="1:21" x14ac:dyDescent="0.35">
      <c r="J7" s="11" t="s">
        <v>276</v>
      </c>
      <c r="K7" s="72">
        <f>B4 *  BaseB!L92  +  B5 * BaseC!L84</f>
        <v>0.17586719510449883</v>
      </c>
      <c r="L7" s="262">
        <f>BaseB!O71</f>
        <v>9.7000000000000003E-3</v>
      </c>
      <c r="M7" s="107">
        <f>B4 * BaseB!P71  +  B5 * BaseC!P71</f>
        <v>1.6725909325702893E-3</v>
      </c>
      <c r="N7" s="204">
        <f>1/M7</f>
        <v>597.87481835937535</v>
      </c>
    </row>
    <row r="8" spans="1:21" x14ac:dyDescent="0.35">
      <c r="A8" s="11" t="s">
        <v>154</v>
      </c>
      <c r="B8" s="147">
        <f>H28</f>
        <v>31.546772245119023</v>
      </c>
      <c r="F8" s="1" t="s">
        <v>286</v>
      </c>
      <c r="G8" t="s">
        <v>12</v>
      </c>
      <c r="H8" s="2"/>
      <c r="K8" s="23"/>
      <c r="M8" s="60">
        <f>SUM(M4:M7)</f>
        <v>7.1412661529078247E-3</v>
      </c>
      <c r="N8" s="15">
        <f>1/M8</f>
        <v>140.03119035030139</v>
      </c>
    </row>
    <row r="9" spans="1:21" x14ac:dyDescent="0.35">
      <c r="A9" s="11" t="s">
        <v>104</v>
      </c>
      <c r="B9" s="72">
        <f>D28</f>
        <v>7.1412661529078247E-3</v>
      </c>
      <c r="C9" t="s">
        <v>105</v>
      </c>
      <c r="D9" s="210">
        <f>1/B9</f>
        <v>140.03119035030139</v>
      </c>
      <c r="F9" s="11" t="s">
        <v>279</v>
      </c>
      <c r="G9" s="148">
        <f>BaseB!H66</f>
        <v>0.25</v>
      </c>
      <c r="H9" s="115"/>
    </row>
    <row r="10" spans="1:21" x14ac:dyDescent="0.35">
      <c r="A10" s="11" t="s">
        <v>79</v>
      </c>
      <c r="B10" s="148">
        <f>B8*B9</f>
        <v>0.22528389686756045</v>
      </c>
      <c r="D10" s="210"/>
      <c r="F10" s="11" t="s">
        <v>280</v>
      </c>
      <c r="G10" s="148">
        <f>BaseB!H67</f>
        <v>0.25</v>
      </c>
      <c r="H10" s="115"/>
      <c r="J10" s="247" t="s">
        <v>201</v>
      </c>
      <c r="K10" s="290">
        <v>0.4</v>
      </c>
      <c r="L10" s="43"/>
      <c r="M10" s="43"/>
    </row>
    <row r="11" spans="1:21" x14ac:dyDescent="0.35">
      <c r="D11" s="210"/>
      <c r="F11" s="11" t="s">
        <v>281</v>
      </c>
      <c r="G11" s="148">
        <f>BaseB!H68</f>
        <v>0.25</v>
      </c>
      <c r="H11" s="115"/>
      <c r="J11" s="11" t="s">
        <v>200</v>
      </c>
      <c r="K11" s="102">
        <f>K10 * B3</f>
        <v>0.28799999999999998</v>
      </c>
      <c r="L11" s="43" t="s">
        <v>80</v>
      </c>
      <c r="M11" s="270">
        <f>1/K11</f>
        <v>3.4722222222222223</v>
      </c>
    </row>
    <row r="12" spans="1:21" x14ac:dyDescent="0.35">
      <c r="A12" s="11" t="s">
        <v>272</v>
      </c>
      <c r="B12" s="107">
        <f>B4 * G16  +  B5 * H16</f>
        <v>4.5661840578037176E-2</v>
      </c>
      <c r="C12" t="s">
        <v>105</v>
      </c>
      <c r="D12" s="210">
        <f>1/B12</f>
        <v>21.900124641076964</v>
      </c>
      <c r="F12" s="11" t="s">
        <v>282</v>
      </c>
      <c r="G12" s="148">
        <f>BaseB!H69</f>
        <v>0.25</v>
      </c>
      <c r="H12" s="115"/>
      <c r="L12" s="43"/>
      <c r="M12" s="43"/>
    </row>
    <row r="13" spans="1:21" x14ac:dyDescent="0.35">
      <c r="A13" s="11" t="s">
        <v>106</v>
      </c>
      <c r="B13" s="107">
        <f>G18 * B4  +  H18 * B5</f>
        <v>0.3360049379857053</v>
      </c>
      <c r="G13" s="27">
        <f>SUM(G9:G12)</f>
        <v>1</v>
      </c>
      <c r="H13" s="115"/>
      <c r="J13" s="1" t="s">
        <v>283</v>
      </c>
      <c r="K13" s="313">
        <f>Bonus_Game1!M$29</f>
        <v>0.16</v>
      </c>
      <c r="L13" s="43"/>
      <c r="M13" s="43"/>
    </row>
    <row r="14" spans="1:21" x14ac:dyDescent="0.35">
      <c r="A14" s="11" t="s">
        <v>127</v>
      </c>
      <c r="B14" s="178">
        <f>B13/B12</f>
        <v>7.3585500219042821</v>
      </c>
      <c r="G14" s="27"/>
      <c r="H14" s="3"/>
      <c r="J14" s="134" t="s">
        <v>198</v>
      </c>
      <c r="K14" s="134" t="s">
        <v>236</v>
      </c>
      <c r="L14" s="9" t="s">
        <v>237</v>
      </c>
      <c r="M14" s="134" t="s">
        <v>204</v>
      </c>
      <c r="N14" s="134" t="s">
        <v>205</v>
      </c>
      <c r="O14" s="134" t="s">
        <v>202</v>
      </c>
      <c r="P14" s="134" t="s">
        <v>206</v>
      </c>
      <c r="Q14" s="134" t="s">
        <v>208</v>
      </c>
      <c r="R14" s="134" t="s">
        <v>238</v>
      </c>
      <c r="S14" s="134" t="s">
        <v>58</v>
      </c>
      <c r="T14" s="134" t="s">
        <v>203</v>
      </c>
    </row>
    <row r="15" spans="1:21" x14ac:dyDescent="0.35">
      <c r="G15" s="50" t="str">
        <f>A4</f>
        <v>BaseB</v>
      </c>
      <c r="H15" s="50" t="str">
        <f>A5</f>
        <v>BaseC</v>
      </c>
      <c r="J15" s="247" t="str">
        <f>Bonus_Game1!L33</f>
        <v>Mini</v>
      </c>
      <c r="K15" s="312">
        <f>100%/4</f>
        <v>0.25</v>
      </c>
      <c r="L15" s="253">
        <v>0.5</v>
      </c>
      <c r="M15" s="283">
        <v>10</v>
      </c>
      <c r="N15" s="283">
        <v>20</v>
      </c>
      <c r="O15" s="293">
        <v>19.907801925426099</v>
      </c>
      <c r="P15" s="213">
        <f>Bonus_Game1!N33</f>
        <v>0.26</v>
      </c>
      <c r="Q15" s="260">
        <v>2</v>
      </c>
      <c r="R15" s="284">
        <f>M$4 * Bonus_Game1!O33   +  M$5  *  Bonus_Game2!O33   +  M$6  *  Bonus_Game3!O33   +  M$7  *  Bonus_Game4!O33</f>
        <v>3.5350539275975045E-4</v>
      </c>
      <c r="S15" s="273">
        <f>O15*R15</f>
        <v>7.0375153386310696E-3</v>
      </c>
      <c r="T15" s="204">
        <f t="shared" ref="T15:T18" si="0">1/R15</f>
        <v>2828.8111595503174</v>
      </c>
      <c r="U15" s="60"/>
    </row>
    <row r="16" spans="1:21" x14ac:dyDescent="0.35">
      <c r="A16" s="11" t="s">
        <v>158</v>
      </c>
      <c r="B16" s="107">
        <f>G6-B13</f>
        <v>0.37003550681022779</v>
      </c>
      <c r="C16" s="303"/>
      <c r="F16" s="11" t="s">
        <v>272</v>
      </c>
      <c r="G16" s="107">
        <f>1  -   (    (1-BaseB!B40 )  *  (1 - BaseB!E40 )  )</f>
        <v>0.1897137445964614</v>
      </c>
      <c r="H16" s="107">
        <f>BaseC!B39</f>
        <v>3.2635468721610148E-3</v>
      </c>
      <c r="J16" s="247" t="str">
        <f>Bonus_Game1!L34</f>
        <v>Midi</v>
      </c>
      <c r="K16" s="312">
        <f t="shared" ref="K16:K18" si="1">100%/4</f>
        <v>0.25</v>
      </c>
      <c r="L16" s="253">
        <v>2</v>
      </c>
      <c r="M16" s="283">
        <v>30</v>
      </c>
      <c r="N16" s="283">
        <v>50</v>
      </c>
      <c r="O16" s="293">
        <v>49.980773167133599</v>
      </c>
      <c r="P16" s="213">
        <f>Bonus_Game1!N34</f>
        <v>0.31</v>
      </c>
      <c r="Q16" s="260">
        <v>3</v>
      </c>
      <c r="R16" s="284">
        <f>M$4 * Bonus_Game1!O34   +  M$5  *  Bonus_Game2!O34   +  M$6  *  Bonus_Game3!O34    +  M$7  *  Bonus_Game4!O34</f>
        <v>7.1023742297489806E-5</v>
      </c>
      <c r="S16" s="273">
        <f>O16*R16</f>
        <v>3.5498215532517902E-3</v>
      </c>
      <c r="T16" s="204">
        <f t="shared" si="0"/>
        <v>14079.798777870692</v>
      </c>
      <c r="U16" s="60"/>
    </row>
    <row r="17" spans="1:21" x14ac:dyDescent="0.35">
      <c r="A17" s="11" t="s">
        <v>106</v>
      </c>
      <c r="B17" s="107">
        <f>B13</f>
        <v>0.3360049379857053</v>
      </c>
      <c r="C17" s="303"/>
      <c r="D17" s="23"/>
      <c r="F17" s="11" t="s">
        <v>127</v>
      </c>
      <c r="G17" s="147">
        <f>G18/G16</f>
        <v>7.2581712388825466</v>
      </c>
      <c r="H17" s="147">
        <f>H18/H16</f>
        <v>42.369356762632037</v>
      </c>
      <c r="J17" s="247" t="str">
        <f>Bonus_Game1!L35</f>
        <v>Maxi</v>
      </c>
      <c r="K17" s="312">
        <f t="shared" si="1"/>
        <v>0.25</v>
      </c>
      <c r="L17" s="253">
        <v>5</v>
      </c>
      <c r="M17" s="283">
        <v>250</v>
      </c>
      <c r="N17" s="283">
        <v>500</v>
      </c>
      <c r="O17" s="293">
        <v>499.95122612112101</v>
      </c>
      <c r="P17" s="213">
        <f>Bonus_Game1!N35</f>
        <v>0.25</v>
      </c>
      <c r="Q17" s="260">
        <v>4</v>
      </c>
      <c r="R17" s="284">
        <f>M$4 * Bonus_Game1!O35   +  M$5  *  Bonus_Game2!O35   +  M$6  *  Bonus_Game3!O35     +  M$7  *  Bonus_Game4!O35</f>
        <v>3.7047892099365434E-6</v>
      </c>
      <c r="S17" s="273">
        <f>O17*R17</f>
        <v>1.8522139080280741E-3</v>
      </c>
      <c r="T17" s="204">
        <f t="shared" si="0"/>
        <v>269920.88978177746</v>
      </c>
      <c r="U17" s="60"/>
    </row>
    <row r="18" spans="1:21" x14ac:dyDescent="0.35">
      <c r="A18" s="11" t="s">
        <v>157</v>
      </c>
      <c r="B18" s="107">
        <f>G28</f>
        <v>0.22528389686756045</v>
      </c>
      <c r="C18" s="303"/>
      <c r="D18" s="23"/>
      <c r="F18" s="11" t="s">
        <v>106</v>
      </c>
      <c r="G18" s="148">
        <f>BaseB!K1</f>
        <v>1.3769748446507453</v>
      </c>
      <c r="H18" s="148">
        <f>BaseC!K1</f>
        <v>0.13827438173816192</v>
      </c>
      <c r="J18" s="247" t="str">
        <f>Bonus_Game1!L36</f>
        <v>Grand</v>
      </c>
      <c r="K18" s="312">
        <f t="shared" si="1"/>
        <v>0.25</v>
      </c>
      <c r="L18" s="253">
        <v>10</v>
      </c>
      <c r="M18" s="283">
        <v>5000</v>
      </c>
      <c r="N18" s="283">
        <v>10000</v>
      </c>
      <c r="O18" s="293">
        <v>10000</v>
      </c>
      <c r="P18" s="213">
        <f>Bonus_Game1!N36</f>
        <v>0.18</v>
      </c>
      <c r="Q18" s="260">
        <v>5</v>
      </c>
      <c r="R18" s="284">
        <f>M$4 * Bonus_Game1!O36   +  M$5  *  Bonus_Game2!O36   +  M$6  *  Bonus_Game3!O36     +  M$7  *  Bonus_Game4!O36</f>
        <v>6.0134175798496279E-8</v>
      </c>
      <c r="S18" s="273">
        <f>O18*R18</f>
        <v>6.013417579849628E-4</v>
      </c>
      <c r="T18" s="204">
        <f t="shared" si="0"/>
        <v>16629478.773449924</v>
      </c>
      <c r="U18" s="60"/>
    </row>
    <row r="19" spans="1:21" x14ac:dyDescent="0.35">
      <c r="A19" s="11" t="s">
        <v>119</v>
      </c>
      <c r="B19" s="107">
        <f>S19</f>
        <v>1.3040892557895898E-2</v>
      </c>
      <c r="C19" s="303"/>
      <c r="J19" s="43"/>
      <c r="K19" s="275">
        <f>SUM(K15:K18)</f>
        <v>1</v>
      </c>
      <c r="L19" s="2"/>
      <c r="M19" s="43"/>
      <c r="N19" s="43"/>
      <c r="P19" s="275">
        <f>SUM(P15:P18)</f>
        <v>1</v>
      </c>
      <c r="R19" s="167">
        <f>SUM(R15:R18)</f>
        <v>4.2829405844297525E-4</v>
      </c>
      <c r="S19" s="272">
        <f>SUM(S15:S18)</f>
        <v>1.3040892557895898E-2</v>
      </c>
      <c r="T19" s="93">
        <f>1/R19</f>
        <v>2334.8444375703239</v>
      </c>
      <c r="U19" s="60"/>
    </row>
    <row r="20" spans="1:21" x14ac:dyDescent="0.35">
      <c r="B20" s="60">
        <f>SUM(B16:B19)</f>
        <v>0.9443652342213894</v>
      </c>
      <c r="C20" s="303"/>
      <c r="K20" s="2"/>
      <c r="L20" s="2"/>
      <c r="U20" s="60"/>
    </row>
    <row r="21" spans="1:21" x14ac:dyDescent="0.35">
      <c r="K21" s="2"/>
      <c r="L21" s="2"/>
      <c r="U21" s="60"/>
    </row>
    <row r="23" spans="1:21" x14ac:dyDescent="0.35">
      <c r="A23" s="1" t="s">
        <v>153</v>
      </c>
      <c r="B23" s="209" t="s">
        <v>179</v>
      </c>
      <c r="C23" s="1" t="s">
        <v>209</v>
      </c>
      <c r="D23" s="1" t="s">
        <v>12</v>
      </c>
      <c r="E23" s="1" t="s">
        <v>155</v>
      </c>
      <c r="F23" s="1" t="s">
        <v>156</v>
      </c>
      <c r="G23" s="1" t="s">
        <v>9</v>
      </c>
      <c r="H23" s="1" t="s">
        <v>161</v>
      </c>
    </row>
    <row r="24" spans="1:21" x14ac:dyDescent="0.35">
      <c r="A24" s="11" t="s">
        <v>172</v>
      </c>
      <c r="B24" s="213">
        <f>Bonus_Game1!B4</f>
        <v>3.9E-2</v>
      </c>
      <c r="C24" s="212">
        <f>Bonus_Game1!I71</f>
        <v>13.714566329999998</v>
      </c>
      <c r="D24" s="215">
        <f>M4</f>
        <v>1.9345391461494869E-3</v>
      </c>
      <c r="E24" s="216">
        <f t="shared" ref="E24:E28" si="2">1/D24</f>
        <v>516.9189788639859</v>
      </c>
      <c r="F24" s="212">
        <f>BaseB!N15</f>
        <v>28.718256245000003</v>
      </c>
      <c r="G24" s="214">
        <f>D24 * F24</f>
        <v>5.5556590915104474E-2</v>
      </c>
      <c r="H24" s="217">
        <f>D24/D$28  *  F24</f>
        <v>7.7796555576468194</v>
      </c>
      <c r="I24" s="330"/>
      <c r="J24" s="66"/>
    </row>
    <row r="25" spans="1:21" x14ac:dyDescent="0.35">
      <c r="A25" s="11" t="s">
        <v>175</v>
      </c>
      <c r="B25" s="213">
        <f>Bonus_Game2!B4</f>
        <v>3.9E-2</v>
      </c>
      <c r="C25" s="212">
        <f>Bonus_Game2!I71</f>
        <v>13.632570300000005</v>
      </c>
      <c r="D25" s="215">
        <f>M5</f>
        <v>1.7989157707198377E-3</v>
      </c>
      <c r="E25" s="216">
        <f t="shared" si="2"/>
        <v>555.89039591322785</v>
      </c>
      <c r="F25" s="212">
        <f>BaseB!O15</f>
        <v>31.00371105</v>
      </c>
      <c r="G25" s="214">
        <f>D25 * F25</f>
        <v>5.5773064758685896E-2</v>
      </c>
      <c r="H25" s="217">
        <f>D25/D$28  *  F25</f>
        <v>7.8099686476432302</v>
      </c>
      <c r="I25" s="330"/>
      <c r="J25" s="66"/>
    </row>
    <row r="26" spans="1:21" x14ac:dyDescent="0.35">
      <c r="A26" s="11" t="s">
        <v>176</v>
      </c>
      <c r="B26" s="213">
        <f>Bonus_Game3!B4</f>
        <v>3.9E-2</v>
      </c>
      <c r="C26" s="212">
        <f>Bonus_Game3!I71</f>
        <v>13.301108956988907</v>
      </c>
      <c r="D26" s="215">
        <f>M6</f>
        <v>1.7352203034682106E-3</v>
      </c>
      <c r="E26" s="216">
        <f t="shared" si="2"/>
        <v>576.29570032190441</v>
      </c>
      <c r="F26" s="212">
        <f>BaseB!P15</f>
        <v>32.782395392176042</v>
      </c>
      <c r="G26" s="214">
        <f>D26 * F26</f>
        <v>5.6884678080826583E-2</v>
      </c>
      <c r="H26" s="217">
        <f>D26/D$28  *  F26</f>
        <v>7.965629184351843</v>
      </c>
      <c r="I26" s="330"/>
      <c r="J26" s="66"/>
    </row>
    <row r="27" spans="1:21" x14ac:dyDescent="0.35">
      <c r="A27" s="11" t="s">
        <v>276</v>
      </c>
      <c r="B27" s="213">
        <f>Bonus_Game4!B4</f>
        <v>3.9E-2</v>
      </c>
      <c r="C27" s="212">
        <f>Bonus_Game4!I71</f>
        <v>18.26144219</v>
      </c>
      <c r="D27" s="215">
        <f>M7</f>
        <v>1.6725909325702893E-3</v>
      </c>
      <c r="E27" s="216">
        <f t="shared" si="2"/>
        <v>597.87481835937535</v>
      </c>
      <c r="F27" s="212">
        <f>BaseB!Q15</f>
        <v>34.120454680000009</v>
      </c>
      <c r="G27" s="214">
        <f>D27 * F27</f>
        <v>5.7069563112943505E-2</v>
      </c>
      <c r="H27" s="217">
        <f>D27/D$28  *  F27</f>
        <v>7.9915188554771301</v>
      </c>
      <c r="I27" s="330"/>
      <c r="J27" s="66"/>
    </row>
    <row r="28" spans="1:21" x14ac:dyDescent="0.35">
      <c r="B28" s="2"/>
      <c r="C28" s="2"/>
      <c r="D28" s="218">
        <f>SUM(D24:D27)</f>
        <v>7.1412661529078247E-3</v>
      </c>
      <c r="E28" s="219">
        <f t="shared" si="2"/>
        <v>140.03119035030139</v>
      </c>
      <c r="F28" s="2"/>
      <c r="G28" s="220">
        <f>SUM(G24:G27)</f>
        <v>0.22528389686756045</v>
      </c>
      <c r="H28" s="221">
        <f>SUM(H24:H27)</f>
        <v>31.546772245119023</v>
      </c>
      <c r="I28" s="330"/>
      <c r="J28" s="66"/>
    </row>
    <row r="30" spans="1:21" x14ac:dyDescent="0.35">
      <c r="A30" s="50"/>
    </row>
    <row r="31" spans="1:21" x14ac:dyDescent="0.35">
      <c r="B31" s="85"/>
    </row>
    <row r="32" spans="1:21" x14ac:dyDescent="0.35">
      <c r="B32" s="85"/>
      <c r="H32" s="243"/>
    </row>
    <row r="33" spans="2:8" x14ac:dyDescent="0.35">
      <c r="B33" s="3"/>
      <c r="D33" s="210"/>
      <c r="F33" s="20"/>
      <c r="H33" s="299"/>
    </row>
    <row r="34" spans="2:8" x14ac:dyDescent="0.35">
      <c r="B34" s="3"/>
      <c r="D34" s="210"/>
      <c r="F34" s="20"/>
      <c r="H34" s="299"/>
    </row>
    <row r="35" spans="2:8" x14ac:dyDescent="0.35">
      <c r="D35" s="210"/>
      <c r="H35" s="243"/>
    </row>
    <row r="36" spans="2:8" x14ac:dyDescent="0.35">
      <c r="B36" s="298"/>
      <c r="H36" s="243"/>
    </row>
    <row r="39" spans="2:8" x14ac:dyDescent="0.35">
      <c r="B39" s="3"/>
      <c r="C39" s="243"/>
      <c r="D39" s="243"/>
      <c r="E39" s="243"/>
      <c r="F39" s="243"/>
    </row>
    <row r="40" spans="2:8" x14ac:dyDescent="0.35">
      <c r="B40" s="3"/>
      <c r="C40" s="243"/>
      <c r="D40" s="243"/>
      <c r="E40" s="243"/>
      <c r="F40" s="243"/>
    </row>
    <row r="41" spans="2:8" x14ac:dyDescent="0.35">
      <c r="B41" s="3"/>
      <c r="C41" s="243"/>
      <c r="D41" s="243"/>
      <c r="E41" s="243"/>
      <c r="F41" s="243"/>
    </row>
  </sheetData>
  <phoneticPr fontId="1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B746-99E9-4B45-89D1-E3D0A42325ED}">
  <sheetPr codeName="Sheet13"/>
  <dimension ref="A1:AW119"/>
  <sheetViews>
    <sheetView zoomScale="86" zoomScaleNormal="86" workbookViewId="0">
      <selection activeCell="E15" sqref="E15"/>
    </sheetView>
  </sheetViews>
  <sheetFormatPr defaultColWidth="8.81640625" defaultRowHeight="14.5" x14ac:dyDescent="0.35"/>
  <cols>
    <col min="1" max="1" width="20.26953125" customWidth="1"/>
    <col min="2" max="2" width="13.26953125" customWidth="1"/>
    <col min="3" max="3" width="12.81640625" customWidth="1"/>
    <col min="4" max="4" width="13.7265625" customWidth="1"/>
    <col min="5" max="5" width="14.7265625" customWidth="1"/>
    <col min="6" max="6" width="13.81640625" customWidth="1"/>
    <col min="7" max="7" width="10.453125" customWidth="1"/>
    <col min="8" max="8" width="13.453125" customWidth="1"/>
    <col min="9" max="9" width="16.26953125" customWidth="1"/>
    <col min="10" max="10" width="15.81640625" customWidth="1"/>
    <col min="11" max="11" width="17.81640625" customWidth="1"/>
    <col min="12" max="12" width="16.26953125" customWidth="1"/>
    <col min="13" max="13" width="16.1796875" customWidth="1"/>
    <col min="14" max="14" width="21.453125" customWidth="1"/>
    <col min="15" max="15" width="16.54296875" customWidth="1"/>
    <col min="16" max="16" width="13.453125" customWidth="1"/>
    <col min="17" max="17" width="12.81640625" customWidth="1"/>
    <col min="18" max="18" width="20.26953125" customWidth="1"/>
    <col min="19" max="19" width="16.81640625" customWidth="1"/>
    <col min="20" max="20" width="19.26953125" customWidth="1"/>
    <col min="21" max="21" width="17.7265625" customWidth="1"/>
    <col min="22" max="22" width="20.453125" customWidth="1"/>
    <col min="23" max="24" width="10.26953125" bestFit="1" customWidth="1"/>
    <col min="25" max="25" width="12.26953125" customWidth="1"/>
    <col min="26" max="26" width="12.1796875" customWidth="1"/>
    <col min="27" max="27" width="16.7265625" customWidth="1"/>
    <col min="28" max="28" width="13.7265625" customWidth="1"/>
    <col min="29" max="34" width="9.26953125" bestFit="1" customWidth="1"/>
    <col min="35" max="35" width="8.81640625" customWidth="1"/>
    <col min="36" max="36" width="10.54296875" customWidth="1"/>
    <col min="37" max="37" width="10.1796875" customWidth="1"/>
    <col min="38" max="39" width="10.26953125" customWidth="1"/>
    <col min="40" max="40" width="10.81640625" customWidth="1"/>
    <col min="41" max="41" width="15.1796875" customWidth="1"/>
    <col min="42" max="42" width="17.26953125" customWidth="1"/>
    <col min="43" max="43" width="14.1796875" customWidth="1"/>
    <col min="44" max="47" width="15.7265625" bestFit="1" customWidth="1"/>
    <col min="48" max="48" width="14.453125" bestFit="1" customWidth="1"/>
    <col min="49" max="49" width="14" customWidth="1"/>
    <col min="50" max="50" width="12" bestFit="1" customWidth="1"/>
    <col min="51" max="51" width="10.26953125" customWidth="1"/>
    <col min="52" max="62" width="12" bestFit="1" customWidth="1"/>
  </cols>
  <sheetData>
    <row r="1" spans="1:32" ht="21" x14ac:dyDescent="0.5">
      <c r="A1" s="10" t="s">
        <v>101</v>
      </c>
      <c r="D1" t="s">
        <v>10</v>
      </c>
      <c r="E1" s="57">
        <f>Q35</f>
        <v>0.48924808455313479</v>
      </c>
      <c r="G1" t="s">
        <v>83</v>
      </c>
      <c r="H1" s="79">
        <f>E1 + K1</f>
        <v>0.48924808455313479</v>
      </c>
      <c r="I1" s="12"/>
      <c r="J1" s="114"/>
      <c r="K1" s="25"/>
      <c r="M1" s="3"/>
      <c r="Q1" s="3"/>
      <c r="R1" s="80"/>
      <c r="T1" s="85"/>
    </row>
    <row r="2" spans="1:32" ht="15.5" x14ac:dyDescent="0.35">
      <c r="A2" t="s">
        <v>8</v>
      </c>
      <c r="H2" t="s">
        <v>7</v>
      </c>
      <c r="M2" t="s">
        <v>48</v>
      </c>
      <c r="R2" s="1"/>
      <c r="AD2" s="13"/>
    </row>
    <row r="3" spans="1:32" x14ac:dyDescent="0.35">
      <c r="A3" t="s">
        <v>0</v>
      </c>
      <c r="B3" t="s">
        <v>1</v>
      </c>
      <c r="C3" t="s">
        <v>2</v>
      </c>
      <c r="D3" t="s">
        <v>3</v>
      </c>
      <c r="E3" t="s">
        <v>4</v>
      </c>
      <c r="F3" t="s">
        <v>5</v>
      </c>
      <c r="H3" t="s">
        <v>0</v>
      </c>
      <c r="I3" t="s">
        <v>45</v>
      </c>
      <c r="J3" t="s">
        <v>46</v>
      </c>
      <c r="K3" t="s">
        <v>47</v>
      </c>
      <c r="M3" t="s">
        <v>0</v>
      </c>
      <c r="N3" t="str">
        <f>I3</f>
        <v>3Hit</v>
      </c>
      <c r="O3" t="str">
        <f>J3</f>
        <v>4Hit</v>
      </c>
      <c r="P3" t="str">
        <f>K3</f>
        <v>5Hit</v>
      </c>
    </row>
    <row r="4" spans="1:32" ht="15.5" x14ac:dyDescent="0.35">
      <c r="A4" s="5" t="s">
        <v>37</v>
      </c>
      <c r="B4" s="11">
        <v>7</v>
      </c>
      <c r="C4" s="11">
        <v>6</v>
      </c>
      <c r="D4" s="11">
        <v>7</v>
      </c>
      <c r="E4" s="11">
        <v>6</v>
      </c>
      <c r="F4" s="11">
        <v>7</v>
      </c>
      <c r="H4" s="5" t="str">
        <f t="shared" ref="H4:H13" si="0">A4</f>
        <v>H1</v>
      </c>
      <c r="I4" s="55">
        <f>(B25+B$34)/B$38   *  (C25+C$34)/C$38   *    (D25+D$34)/D$38   *    (E$38-E25-E$34)/E$38     -   (B$34)/B$38   *  (C$34)/C$38   *    (D$34)/D$38      *    (E$38-E25-E$34)/E$38</f>
        <v>7.8593420839410152E-4</v>
      </c>
      <c r="J4" s="56">
        <f>(B25+B$34)/B$38   *  (C25+C$34)/C$38   *    (D25+D$34)/D$38   *    (E25+E$34)/E$38   *    (F$38 - F25-F$34)/F$38      -   (B$34)/B$38   *  (C$34)/C$38   *    (D$34)/D$38   *    (E$34)/E$38   *     (F$38 - F25-F$34)/F$38</f>
        <v>7.2192513368983963E-5</v>
      </c>
      <c r="K4" s="56">
        <f>(B25+B$34)/B$38   *  (C25+C$34)/C$38   *    (D25+D$34)/D$38   *    (E25+E$34)/E$38   *    (F25+F$34)/F$38     -   (B$34)/B$38   *  (C$34)/C$38   *    (D$34)/D$38   *    (E$34)/E$38   *    (F$34)/F$38</f>
        <v>8.0781072759682392E-6</v>
      </c>
      <c r="M4" s="5" t="str">
        <f t="shared" ref="M4:M13" si="1">H4</f>
        <v>H1</v>
      </c>
      <c r="N4" s="131">
        <v>20</v>
      </c>
      <c r="O4" s="131">
        <v>80</v>
      </c>
      <c r="P4" s="131">
        <v>400</v>
      </c>
      <c r="R4" s="5"/>
      <c r="S4" s="5"/>
      <c r="T4" s="240"/>
      <c r="U4" s="240"/>
      <c r="V4" s="70"/>
      <c r="W4" s="111"/>
      <c r="X4" s="111"/>
      <c r="Y4" s="111"/>
      <c r="AA4" s="66"/>
      <c r="AB4" s="2"/>
      <c r="AC4" s="2"/>
      <c r="AD4" s="2"/>
      <c r="AE4" s="2"/>
      <c r="AF4" s="2"/>
    </row>
    <row r="5" spans="1:32" ht="15.5" x14ac:dyDescent="0.35">
      <c r="A5" s="5" t="s">
        <v>38</v>
      </c>
      <c r="B5" s="11">
        <v>8</v>
      </c>
      <c r="C5" s="11">
        <v>8</v>
      </c>
      <c r="D5" s="11">
        <v>8</v>
      </c>
      <c r="E5" s="11">
        <v>8</v>
      </c>
      <c r="F5" s="11">
        <v>8</v>
      </c>
      <c r="H5" s="5" t="str">
        <f t="shared" si="0"/>
        <v>H2</v>
      </c>
      <c r="I5" s="55">
        <f t="shared" ref="I5:I12" si="2">(B26+B$34)/B$38   *  (C26+C$34)/C$38   *    (D26+D$34)/D$38   *    (E$38-E26-E$34)/E$38     -   (B$34)/B$38   *  (C$34)/C$38   *    (D$34)/D$38      *    (E$38-E26-E$34)/E$38</f>
        <v>1.1478620628947425E-3</v>
      </c>
      <c r="J5" s="56">
        <f>(B26+B$34)/B$38   *  (C26+C$34)/C$38   *    (D26+D$34)/D$38   *    (E26+E$34)/E$38   *    (F$38 - F26-F$34)/F$38      -   (B$34)/B$38   *  (C$34)/C$38   *    (D$34)/D$38   *    (E$34)/E$38   *     (F$38 - F26-F$34)/F$38</f>
        <v>1.2962262754300779E-4</v>
      </c>
      <c r="K5" s="56">
        <f t="shared" ref="K5:K10" si="3">(B26+B$34)/B$38   *  (C26+C$34)/C$38   *    (D26+D$34)/D$38   *    (E26+E$34)/E$38   *    (F26+F$34)/F$38     -   (B$34)/B$38   *  (C$34)/C$38   *    (D$34)/D$38   *    (E$34)/E$38   *    (F26 + F$34)/F$38</f>
        <v>1.6020774190708831E-5</v>
      </c>
      <c r="M5" s="5" t="str">
        <f t="shared" si="1"/>
        <v>H2</v>
      </c>
      <c r="N5" s="131">
        <v>16</v>
      </c>
      <c r="O5" s="131">
        <v>60</v>
      </c>
      <c r="P5" s="131">
        <v>200</v>
      </c>
      <c r="R5" s="5"/>
      <c r="S5" s="5"/>
      <c r="T5" s="240"/>
      <c r="U5" s="240"/>
      <c r="V5" s="70"/>
      <c r="W5" s="111"/>
      <c r="X5" s="111"/>
      <c r="Y5" s="111"/>
      <c r="AA5" s="66"/>
      <c r="AB5" s="2"/>
      <c r="AC5" s="2"/>
      <c r="AD5" s="2"/>
      <c r="AE5" s="2"/>
      <c r="AF5" s="2"/>
    </row>
    <row r="6" spans="1:32" ht="15.5" x14ac:dyDescent="0.35">
      <c r="A6" s="5" t="s">
        <v>39</v>
      </c>
      <c r="B6" s="11">
        <v>9</v>
      </c>
      <c r="C6" s="11">
        <v>9</v>
      </c>
      <c r="D6" s="11">
        <v>10</v>
      </c>
      <c r="E6" s="11">
        <v>9</v>
      </c>
      <c r="F6" s="11">
        <v>9</v>
      </c>
      <c r="H6" s="5" t="str">
        <f t="shared" si="0"/>
        <v>H3</v>
      </c>
      <c r="I6" s="55">
        <f t="shared" si="2"/>
        <v>1.6056284772862314E-3</v>
      </c>
      <c r="J6" s="56">
        <f t="shared" ref="J6:J12" si="4">(B27+B$34)/B$38   *  (C27+C$34)/C$38   *    (D27+D$34)/D$38   *    (E27+E$34)/E$38   *    (F$38 - F27-F$34)/F$38      -   (B$34)/B$38   *  (C$34)/C$38   *    (D$34)/D$38   *    (E27 + E$34)/E$38   *     (F$38 - F27-F$34)/F$38</f>
        <v>1.948900772430184E-4</v>
      </c>
      <c r="K6" s="56">
        <f t="shared" si="3"/>
        <v>2.6867606546750931E-5</v>
      </c>
      <c r="M6" s="5" t="str">
        <f t="shared" si="1"/>
        <v>H3</v>
      </c>
      <c r="N6" s="131">
        <v>12</v>
      </c>
      <c r="O6" s="131">
        <v>40</v>
      </c>
      <c r="P6" s="131">
        <v>120</v>
      </c>
      <c r="R6" s="5"/>
      <c r="S6" s="5"/>
      <c r="T6" s="240"/>
      <c r="U6" s="240"/>
      <c r="V6" s="70"/>
      <c r="W6" s="111"/>
      <c r="X6" s="111"/>
      <c r="Y6" s="111"/>
      <c r="AA6" s="66"/>
      <c r="AB6" s="2"/>
      <c r="AC6" s="2"/>
      <c r="AD6" s="2"/>
      <c r="AE6" s="2"/>
      <c r="AF6" s="2"/>
    </row>
    <row r="7" spans="1:32" ht="15.5" x14ac:dyDescent="0.35">
      <c r="A7" s="5" t="s">
        <v>40</v>
      </c>
      <c r="B7" s="11">
        <v>11</v>
      </c>
      <c r="C7" s="11">
        <v>10</v>
      </c>
      <c r="D7" s="11">
        <v>11</v>
      </c>
      <c r="E7" s="11">
        <v>10</v>
      </c>
      <c r="F7" s="11">
        <v>11</v>
      </c>
      <c r="H7" s="5" t="str">
        <f t="shared" si="0"/>
        <v>H4</v>
      </c>
      <c r="I7" s="55">
        <f t="shared" si="2"/>
        <v>2.1687062744697927E-3</v>
      </c>
      <c r="J7" s="56">
        <f t="shared" si="4"/>
        <v>2.81931815681073E-4</v>
      </c>
      <c r="K7" s="56">
        <f t="shared" si="3"/>
        <v>4.6273989648915384E-5</v>
      </c>
      <c r="M7" s="5" t="str">
        <f t="shared" si="1"/>
        <v>H4</v>
      </c>
      <c r="N7" s="131">
        <v>8</v>
      </c>
      <c r="O7" s="131">
        <v>28</v>
      </c>
      <c r="P7" s="131">
        <v>80</v>
      </c>
      <c r="R7" s="5"/>
      <c r="S7" s="5"/>
      <c r="T7" s="240"/>
      <c r="U7" s="240"/>
      <c r="V7" s="70"/>
      <c r="W7" s="111"/>
      <c r="X7" s="111"/>
      <c r="Y7" s="111"/>
      <c r="AA7" s="66"/>
      <c r="AB7" s="66"/>
      <c r="AC7" s="66"/>
      <c r="AD7" s="66"/>
      <c r="AE7" s="70"/>
    </row>
    <row r="8" spans="1:32" ht="15.5" x14ac:dyDescent="0.35">
      <c r="A8" s="5" t="s">
        <v>173</v>
      </c>
      <c r="B8" s="11">
        <v>11</v>
      </c>
      <c r="C8" s="11">
        <v>11</v>
      </c>
      <c r="D8" s="11">
        <v>11</v>
      </c>
      <c r="E8" s="11">
        <v>11</v>
      </c>
      <c r="F8" s="11">
        <v>11</v>
      </c>
      <c r="H8" s="5" t="str">
        <f t="shared" si="0"/>
        <v>H5</v>
      </c>
      <c r="I8" s="55">
        <f t="shared" si="2"/>
        <v>2.3101384212495324E-3</v>
      </c>
      <c r="J8" s="56">
        <f t="shared" si="4"/>
        <v>3.272243128452279E-4</v>
      </c>
      <c r="K8" s="56">
        <f t="shared" si="3"/>
        <v>5.3684998129442579E-5</v>
      </c>
      <c r="M8" s="5" t="str">
        <f t="shared" si="1"/>
        <v>H5</v>
      </c>
      <c r="N8" s="131">
        <v>8</v>
      </c>
      <c r="O8" s="131">
        <v>28</v>
      </c>
      <c r="P8" s="131">
        <v>80</v>
      </c>
      <c r="R8" s="5"/>
      <c r="S8" s="5"/>
      <c r="T8" s="240"/>
      <c r="U8" s="240"/>
      <c r="V8" s="70"/>
      <c r="W8" s="111"/>
      <c r="X8" s="111"/>
      <c r="Y8" s="111"/>
      <c r="AA8" s="66"/>
      <c r="AB8" s="66"/>
      <c r="AC8" s="66"/>
      <c r="AD8" s="66"/>
      <c r="AE8" s="70"/>
    </row>
    <row r="9" spans="1:32" ht="15.5" x14ac:dyDescent="0.35">
      <c r="A9" s="5" t="s">
        <v>41</v>
      </c>
      <c r="B9" s="11">
        <v>12</v>
      </c>
      <c r="C9" s="11">
        <v>12</v>
      </c>
      <c r="D9" s="11">
        <v>12</v>
      </c>
      <c r="E9" s="11">
        <v>12</v>
      </c>
      <c r="F9" s="11">
        <v>12</v>
      </c>
      <c r="H9" s="5" t="str">
        <f t="shared" si="0"/>
        <v>L1</v>
      </c>
      <c r="I9" s="55">
        <f t="shared" si="2"/>
        <v>2.8131583211797118E-3</v>
      </c>
      <c r="J9" s="56">
        <f t="shared" si="4"/>
        <v>4.2699724517906344E-4</v>
      </c>
      <c r="K9" s="56">
        <f t="shared" si="3"/>
        <v>7.5838599902771042E-5</v>
      </c>
      <c r="M9" s="5" t="str">
        <f t="shared" si="1"/>
        <v>L1</v>
      </c>
      <c r="N9" s="131">
        <v>8</v>
      </c>
      <c r="O9" s="131">
        <v>16</v>
      </c>
      <c r="P9" s="131">
        <v>60</v>
      </c>
      <c r="R9" s="5"/>
      <c r="S9" s="5"/>
      <c r="T9" s="240"/>
      <c r="U9" s="240"/>
      <c r="V9" s="70"/>
      <c r="W9" s="111"/>
      <c r="X9" s="111"/>
      <c r="Y9" s="111"/>
      <c r="AA9" s="66"/>
      <c r="AB9" s="91"/>
      <c r="AC9" s="91"/>
      <c r="AD9" s="91"/>
      <c r="AE9" s="91"/>
      <c r="AF9" s="91"/>
    </row>
    <row r="10" spans="1:32" ht="15.5" x14ac:dyDescent="0.35">
      <c r="A10" s="5" t="s">
        <v>42</v>
      </c>
      <c r="B10" s="11">
        <v>12</v>
      </c>
      <c r="C10" s="11">
        <v>12</v>
      </c>
      <c r="D10" s="11">
        <v>12</v>
      </c>
      <c r="E10" s="11">
        <v>12</v>
      </c>
      <c r="F10" s="11">
        <v>12</v>
      </c>
      <c r="H10" s="5" t="str">
        <f t="shared" si="0"/>
        <v>L2</v>
      </c>
      <c r="I10" s="55">
        <f t="shared" si="2"/>
        <v>2.8131583211797118E-3</v>
      </c>
      <c r="J10" s="56">
        <f t="shared" si="4"/>
        <v>4.2699724517906344E-4</v>
      </c>
      <c r="K10" s="56">
        <f t="shared" si="3"/>
        <v>7.5838599902771042E-5</v>
      </c>
      <c r="M10" s="5" t="str">
        <f t="shared" si="1"/>
        <v>L2</v>
      </c>
      <c r="N10" s="131">
        <v>8</v>
      </c>
      <c r="O10" s="131">
        <v>16</v>
      </c>
      <c r="P10" s="131">
        <v>60</v>
      </c>
      <c r="R10" s="5"/>
      <c r="S10" s="5"/>
      <c r="T10" s="240"/>
      <c r="U10" s="240"/>
      <c r="V10" s="70"/>
      <c r="W10" s="111"/>
      <c r="X10" s="111"/>
      <c r="Y10" s="111"/>
      <c r="AA10" s="66"/>
      <c r="AB10" s="91"/>
      <c r="AC10" s="91"/>
      <c r="AD10" s="91"/>
      <c r="AE10" s="91"/>
      <c r="AF10" s="91"/>
    </row>
    <row r="11" spans="1:32" ht="15.5" x14ac:dyDescent="0.35">
      <c r="A11" s="5" t="s">
        <v>43</v>
      </c>
      <c r="B11" s="11">
        <v>13</v>
      </c>
      <c r="C11" s="11">
        <v>14</v>
      </c>
      <c r="D11" s="11">
        <v>14</v>
      </c>
      <c r="E11" s="11">
        <v>14</v>
      </c>
      <c r="F11" s="11">
        <v>13</v>
      </c>
      <c r="H11" s="5" t="str">
        <f t="shared" si="0"/>
        <v>L3</v>
      </c>
      <c r="I11" s="55">
        <f t="shared" si="2"/>
        <v>3.770663657770016E-3</v>
      </c>
      <c r="J11" s="56">
        <f t="shared" si="4"/>
        <v>6.5664728088970527E-4</v>
      </c>
      <c r="K11" s="56">
        <f>(B32+B$34)/B$38   *  (C32+C$34)/C$38   *    (D32+D$34)/D$38   *    (E32+E$34)/E$38   *    (F32+F$34)/F$38     -   (B$34)/B$38   *  (C$34)/C$38   *    (D$34)/D$38   *    (E32+E$34)/E$38   *    (F32 + F$34)/F$38</f>
        <v>1.2507567255042005E-4</v>
      </c>
      <c r="M11" s="5" t="str">
        <f t="shared" si="1"/>
        <v>L3</v>
      </c>
      <c r="N11" s="131">
        <v>4</v>
      </c>
      <c r="O11" s="131">
        <v>12</v>
      </c>
      <c r="P11" s="131">
        <v>40</v>
      </c>
      <c r="R11" s="5"/>
      <c r="S11" s="5"/>
      <c r="T11" s="240"/>
      <c r="U11" s="240"/>
      <c r="V11" s="70"/>
      <c r="W11" s="111"/>
      <c r="X11" s="111"/>
      <c r="Y11" s="111"/>
      <c r="AA11" s="66"/>
      <c r="AB11" s="66"/>
      <c r="AC11" s="66"/>
      <c r="AD11" s="66"/>
      <c r="AE11" s="70"/>
    </row>
    <row r="12" spans="1:32" ht="15.5" x14ac:dyDescent="0.35">
      <c r="A12" s="5" t="s">
        <v>44</v>
      </c>
      <c r="B12" s="11">
        <v>14</v>
      </c>
      <c r="C12" s="11">
        <v>14</v>
      </c>
      <c r="D12" s="11">
        <v>14</v>
      </c>
      <c r="E12" s="11">
        <v>14</v>
      </c>
      <c r="F12" s="11">
        <v>14</v>
      </c>
      <c r="H12" s="5" t="str">
        <f t="shared" si="0"/>
        <v>L4</v>
      </c>
      <c r="I12" s="55">
        <f t="shared" si="2"/>
        <v>4.0077142988610617E-3</v>
      </c>
      <c r="J12" s="56">
        <f t="shared" si="4"/>
        <v>6.8962010679182414E-4</v>
      </c>
      <c r="K12" s="56">
        <f>(B33+B$34)/B$38   *  (C33+C$34)/C$38   *    (D33+D$34)/D$38   *    (E33+E$34)/E$38   *    (F33+F$34)/F$38     -   (B$34)/B$38   *  (C$34)/C$38   *    (D$34)/D$38   *    (E33+E$34)/E$38   *    (F33 + F$34)/F$38</f>
        <v>1.4124749175254228E-4</v>
      </c>
      <c r="M12" s="5" t="str">
        <f t="shared" si="1"/>
        <v>L4</v>
      </c>
      <c r="N12" s="131">
        <v>4</v>
      </c>
      <c r="O12" s="131">
        <v>12</v>
      </c>
      <c r="P12" s="131">
        <v>40</v>
      </c>
      <c r="R12" s="5"/>
      <c r="S12" s="5"/>
      <c r="T12" s="240"/>
      <c r="U12" s="240"/>
      <c r="V12" s="70"/>
      <c r="W12" s="111"/>
      <c r="X12" s="111"/>
      <c r="Y12" s="111"/>
      <c r="AA12" s="66"/>
      <c r="AB12" s="66"/>
      <c r="AC12" s="66"/>
      <c r="AD12" s="66"/>
      <c r="AE12" s="6"/>
    </row>
    <row r="13" spans="1:32" x14ac:dyDescent="0.35">
      <c r="A13" s="5" t="s">
        <v>36</v>
      </c>
      <c r="B13" s="11">
        <v>3</v>
      </c>
      <c r="C13" s="11">
        <v>3</v>
      </c>
      <c r="D13" s="11">
        <v>3</v>
      </c>
      <c r="E13" s="11">
        <v>3</v>
      </c>
      <c r="F13" s="11">
        <v>3</v>
      </c>
      <c r="H13" s="5" t="str">
        <f t="shared" si="0"/>
        <v>W</v>
      </c>
      <c r="I13" s="55">
        <f>(B$34)/B$38   *  (C$34)/C$38   *    (D$34)/D$38   *    (E$38 - E$34-E25-E26)/E$38     -      (B$34)/B$38   *  (C$34)/C$38   *    (D$34)/D$38   *  (  E27/E38   *  (F27 + F34)/F38      +    E28/E38   *  (F28 + F34)/F38      +       E29/E38   *  (F29 + F34)/F38      +     E30/E38  *  (F30+F34)/F38           +     E31/E38  *  (F31+F34)/F38                                     )</f>
        <v>2.0088586398746826E-5</v>
      </c>
      <c r="J13" s="56">
        <f>(B$34)/B$38   *  (C$34)/C$38   *    (D$34)/D$38   *    (E$34)/E$38   *    (F$38 - F$34-F25)/F$38</f>
        <v>7.2921730675741372E-7</v>
      </c>
      <c r="K13" s="56">
        <f>(B$34)/B$38   *  (C$34)/C$38   *    (D$34)/D$38   *    (E$34)/E$38   *    (F$34)/F$38</f>
        <v>2.4307243558580458E-8</v>
      </c>
      <c r="M13" s="5" t="str">
        <f t="shared" si="1"/>
        <v>W</v>
      </c>
      <c r="N13" s="131">
        <v>40</v>
      </c>
      <c r="O13" s="131">
        <v>200</v>
      </c>
      <c r="P13" s="131">
        <v>1000</v>
      </c>
      <c r="R13" s="5"/>
      <c r="S13" s="5"/>
      <c r="T13" s="240"/>
      <c r="U13" s="240"/>
      <c r="V13" s="6"/>
    </row>
    <row r="14" spans="1:32" x14ac:dyDescent="0.35">
      <c r="A14" s="5" t="s">
        <v>65</v>
      </c>
      <c r="B14" s="11">
        <v>17</v>
      </c>
      <c r="C14" s="11">
        <v>17</v>
      </c>
      <c r="D14" s="11">
        <v>17</v>
      </c>
      <c r="E14" s="11">
        <v>16</v>
      </c>
      <c r="F14" s="11">
        <v>15</v>
      </c>
      <c r="H14" s="5"/>
      <c r="I14" s="73"/>
      <c r="J14" s="74"/>
      <c r="K14" s="74"/>
      <c r="M14" s="5"/>
      <c r="N14" s="52"/>
      <c r="O14" s="52"/>
      <c r="P14" s="52"/>
      <c r="R14" s="5"/>
      <c r="S14" s="66"/>
      <c r="T14" s="66"/>
      <c r="U14" s="66"/>
      <c r="V14" s="6"/>
      <c r="Y14" s="2"/>
      <c r="Z14" s="14"/>
      <c r="AC14" s="66"/>
      <c r="AD14" s="66"/>
      <c r="AE14" s="6"/>
    </row>
    <row r="15" spans="1:32" x14ac:dyDescent="0.35">
      <c r="A15" s="5"/>
      <c r="B15" s="11"/>
      <c r="C15" s="11"/>
      <c r="D15" s="11"/>
      <c r="E15" s="11"/>
      <c r="F15" s="11"/>
      <c r="H15" s="5"/>
      <c r="I15" s="56"/>
      <c r="J15" s="56"/>
      <c r="K15" s="56"/>
      <c r="M15" s="5"/>
      <c r="N15" s="52"/>
      <c r="O15" s="52"/>
      <c r="P15" s="52"/>
      <c r="S15" s="3"/>
      <c r="T15" s="69"/>
      <c r="U15" s="69"/>
      <c r="AA15" s="5"/>
      <c r="AB15" s="31"/>
      <c r="AC15" s="69"/>
      <c r="AE15" s="70"/>
    </row>
    <row r="16" spans="1:32" x14ac:dyDescent="0.35">
      <c r="A16" s="5" t="s">
        <v>59</v>
      </c>
      <c r="B16" s="11">
        <v>0</v>
      </c>
      <c r="C16" s="11">
        <v>0</v>
      </c>
      <c r="D16" s="11">
        <v>0</v>
      </c>
      <c r="E16" s="11">
        <v>0</v>
      </c>
      <c r="F16" s="11">
        <v>0</v>
      </c>
      <c r="H16" s="5"/>
      <c r="I16" s="14"/>
      <c r="K16" s="14"/>
      <c r="L16" s="60"/>
      <c r="M16" s="5"/>
      <c r="N16" s="52"/>
      <c r="O16" s="54"/>
      <c r="P16" s="54"/>
      <c r="Q16" s="1"/>
      <c r="R16" s="3"/>
      <c r="T16" s="69"/>
      <c r="U16" s="69"/>
      <c r="AB16" s="31"/>
      <c r="AC16" s="69"/>
      <c r="AE16" s="70"/>
    </row>
    <row r="17" spans="1:32" x14ac:dyDescent="0.35">
      <c r="A17" s="5" t="s">
        <v>6</v>
      </c>
      <c r="B17">
        <f>SUM(B4:B16)</f>
        <v>117</v>
      </c>
      <c r="C17">
        <f t="shared" ref="C17:F17" si="5">SUM(C4:C16)</f>
        <v>116</v>
      </c>
      <c r="D17">
        <f t="shared" si="5"/>
        <v>119</v>
      </c>
      <c r="E17">
        <f t="shared" si="5"/>
        <v>115</v>
      </c>
      <c r="F17">
        <f t="shared" si="5"/>
        <v>115</v>
      </c>
      <c r="H17" s="5"/>
      <c r="I17" s="5"/>
      <c r="J17" s="5"/>
      <c r="L17" s="60"/>
      <c r="M17" s="5"/>
      <c r="N17" s="52"/>
      <c r="O17" s="18"/>
      <c r="P17" s="18"/>
      <c r="Q17" s="1"/>
      <c r="T17" s="5"/>
      <c r="Z17" s="5"/>
      <c r="AB17" s="31"/>
      <c r="AE17" s="70"/>
    </row>
    <row r="18" spans="1:32" x14ac:dyDescent="0.35">
      <c r="A18" s="5"/>
      <c r="H18" s="5"/>
      <c r="I18" s="19"/>
      <c r="J18" s="5"/>
      <c r="K18" s="14"/>
      <c r="L18" s="60"/>
      <c r="M18" s="5"/>
      <c r="N18" s="5"/>
      <c r="Q18" s="1"/>
      <c r="AB18" s="31"/>
      <c r="AE18" s="70"/>
    </row>
    <row r="19" spans="1:32" x14ac:dyDescent="0.35">
      <c r="A19" s="5"/>
      <c r="H19" s="5"/>
      <c r="I19" s="19"/>
      <c r="K19" s="14"/>
      <c r="L19" s="60"/>
      <c r="M19" s="5"/>
      <c r="N19" s="5"/>
      <c r="O19" s="6"/>
      <c r="Q19" s="1"/>
      <c r="AB19" s="31"/>
      <c r="AE19" s="70"/>
    </row>
    <row r="20" spans="1:32" x14ac:dyDescent="0.35">
      <c r="A20" s="5"/>
      <c r="J20" s="17"/>
      <c r="K20" s="20"/>
      <c r="L20" s="60"/>
      <c r="M20" s="5"/>
      <c r="S20" s="3"/>
      <c r="AE20" s="70"/>
    </row>
    <row r="21" spans="1:32" x14ac:dyDescent="0.35">
      <c r="A21" s="5"/>
      <c r="B21" s="60"/>
      <c r="E21" s="33"/>
      <c r="J21" s="15"/>
      <c r="K21" s="15"/>
      <c r="O21" s="88"/>
      <c r="P21" s="6"/>
      <c r="S21" s="3"/>
      <c r="AA21" s="3"/>
      <c r="AE21" s="70"/>
    </row>
    <row r="22" spans="1:32" ht="16.899999999999999" customHeight="1" x14ac:dyDescent="0.35">
      <c r="O22" s="85"/>
      <c r="Q22" s="5"/>
      <c r="AE22" s="12"/>
    </row>
    <row r="23" spans="1:32" x14ac:dyDescent="0.35">
      <c r="H23" t="s">
        <v>9</v>
      </c>
      <c r="O23" s="28"/>
      <c r="P23" s="27"/>
      <c r="S23" s="16"/>
      <c r="U23" s="16"/>
      <c r="AB23" s="60"/>
      <c r="AC23" s="16"/>
      <c r="AD23" s="16"/>
      <c r="AE23" s="25"/>
    </row>
    <row r="24" spans="1:32" ht="24" customHeight="1" x14ac:dyDescent="0.35">
      <c r="G24" s="21"/>
      <c r="H24" t="str">
        <f>H3</f>
        <v>Pattern</v>
      </c>
      <c r="I24" t="str">
        <f>I3</f>
        <v>3Hit</v>
      </c>
      <c r="J24" t="str">
        <f>J3</f>
        <v>4Hit</v>
      </c>
      <c r="K24" t="str">
        <f>K3</f>
        <v>5Hit</v>
      </c>
      <c r="L24" t="s">
        <v>6</v>
      </c>
      <c r="N24" s="1" t="s">
        <v>67</v>
      </c>
      <c r="O24" s="130" t="s">
        <v>12</v>
      </c>
      <c r="P24" s="127" t="s">
        <v>58</v>
      </c>
      <c r="Q24" s="1" t="s">
        <v>9</v>
      </c>
      <c r="AB24" s="80"/>
      <c r="AE24" s="70"/>
    </row>
    <row r="25" spans="1:32" x14ac:dyDescent="0.35">
      <c r="A25" t="str">
        <f>A4</f>
        <v>H1</v>
      </c>
      <c r="B25" s="53">
        <f>B4 + B51</f>
        <v>7</v>
      </c>
      <c r="C25" s="53">
        <f t="shared" ref="C25:F25" si="6">C4 + C51</f>
        <v>6</v>
      </c>
      <c r="D25" s="53">
        <f t="shared" si="6"/>
        <v>7</v>
      </c>
      <c r="E25" s="53">
        <f t="shared" si="6"/>
        <v>6</v>
      </c>
      <c r="F25" s="53">
        <f t="shared" si="6"/>
        <v>7</v>
      </c>
      <c r="G25" s="22"/>
      <c r="H25" s="5" t="str">
        <f t="shared" ref="H25:H34" si="7">A4</f>
        <v>H1</v>
      </c>
      <c r="I25" s="72">
        <f t="shared" ref="I25:I33" si="8">I4 * N4</f>
        <v>1.5718684167882031E-2</v>
      </c>
      <c r="J25" s="72">
        <f t="shared" ref="J25:J33" si="9">J4 * O4</f>
        <v>5.7754010695187166E-3</v>
      </c>
      <c r="K25" s="72">
        <f t="shared" ref="K25:K33" si="10">K4 * P4</f>
        <v>3.2312429103872956E-3</v>
      </c>
      <c r="L25" s="72">
        <f t="shared" ref="L25:L34" si="11">SUM(I25:K25)</f>
        <v>2.4725328147788043E-2</v>
      </c>
      <c r="N25" s="11" t="str">
        <f t="shared" ref="N25:N34" si="12">H25</f>
        <v>H1</v>
      </c>
      <c r="O25" s="107">
        <v>7.0000000000000007E-2</v>
      </c>
      <c r="P25" s="148">
        <v>0.71154416196621439</v>
      </c>
      <c r="Q25" s="107">
        <f>O25 * P25</f>
        <v>4.9808091337635009E-2</v>
      </c>
      <c r="S25">
        <f>SUM(O$25:O25)  * 100</f>
        <v>7.0000000000000009</v>
      </c>
      <c r="T25" s="23"/>
      <c r="V25" s="70"/>
      <c r="AA25" s="70"/>
      <c r="AB25" s="80"/>
    </row>
    <row r="26" spans="1:32" x14ac:dyDescent="0.35">
      <c r="A26" t="str">
        <f t="shared" ref="A26:F37" si="13">A5</f>
        <v>H2</v>
      </c>
      <c r="B26" s="53">
        <f t="shared" ref="B26:F26" si="14">B5 + B52</f>
        <v>8</v>
      </c>
      <c r="C26" s="53">
        <f t="shared" si="14"/>
        <v>8</v>
      </c>
      <c r="D26" s="53">
        <f t="shared" si="14"/>
        <v>8</v>
      </c>
      <c r="E26" s="53">
        <f t="shared" si="14"/>
        <v>8</v>
      </c>
      <c r="F26" s="53">
        <f t="shared" si="14"/>
        <v>8</v>
      </c>
      <c r="H26" s="5" t="str">
        <f t="shared" si="7"/>
        <v>H2</v>
      </c>
      <c r="I26" s="72">
        <f t="shared" si="8"/>
        <v>1.836579300631588E-2</v>
      </c>
      <c r="J26" s="72">
        <f t="shared" si="9"/>
        <v>7.7773576525804675E-3</v>
      </c>
      <c r="K26" s="72">
        <f t="shared" si="10"/>
        <v>3.2041548381417664E-3</v>
      </c>
      <c r="L26" s="72">
        <f t="shared" si="11"/>
        <v>2.9347305497038113E-2</v>
      </c>
      <c r="N26" s="11" t="str">
        <f t="shared" si="12"/>
        <v>H2</v>
      </c>
      <c r="O26" s="107">
        <v>0.08</v>
      </c>
      <c r="P26" s="148">
        <v>0.60242232630534653</v>
      </c>
      <c r="Q26" s="107">
        <f t="shared" ref="Q26:Q33" si="15">O26 * P26</f>
        <v>4.8193786104427726E-2</v>
      </c>
      <c r="S26">
        <f>SUM(O$25:O26)  * 100</f>
        <v>15.000000000000002</v>
      </c>
      <c r="T26" s="23"/>
      <c r="V26" s="70"/>
      <c r="AB26" s="80"/>
      <c r="AD26" s="70"/>
      <c r="AE26" s="70"/>
    </row>
    <row r="27" spans="1:32" x14ac:dyDescent="0.35">
      <c r="A27" t="str">
        <f t="shared" si="13"/>
        <v>H3</v>
      </c>
      <c r="B27" s="53">
        <f t="shared" ref="B27:F27" si="16">B6 + B53</f>
        <v>9</v>
      </c>
      <c r="C27" s="53">
        <f t="shared" si="16"/>
        <v>9</v>
      </c>
      <c r="D27" s="53">
        <f t="shared" si="16"/>
        <v>10</v>
      </c>
      <c r="E27" s="53">
        <f t="shared" si="16"/>
        <v>9</v>
      </c>
      <c r="F27" s="53">
        <f t="shared" si="16"/>
        <v>9</v>
      </c>
      <c r="H27" s="5" t="str">
        <f t="shared" si="7"/>
        <v>H3</v>
      </c>
      <c r="I27" s="72">
        <f t="shared" si="8"/>
        <v>1.9267541727434778E-2</v>
      </c>
      <c r="J27" s="72">
        <f t="shared" si="9"/>
        <v>7.795603089720736E-3</v>
      </c>
      <c r="K27" s="72">
        <f t="shared" si="10"/>
        <v>3.2241127856101116E-3</v>
      </c>
      <c r="L27" s="72">
        <f t="shared" si="11"/>
        <v>3.0287257602765627E-2</v>
      </c>
      <c r="N27" s="11" t="str">
        <f t="shared" si="12"/>
        <v>H3</v>
      </c>
      <c r="O27" s="107">
        <v>0.1</v>
      </c>
      <c r="P27" s="148">
        <v>0.50832917914257048</v>
      </c>
      <c r="Q27" s="107">
        <f t="shared" si="15"/>
        <v>5.083291791425705E-2</v>
      </c>
      <c r="S27">
        <f>SUM(O$25:O27)  * 100</f>
        <v>25</v>
      </c>
      <c r="T27" s="23"/>
      <c r="V27" s="70"/>
      <c r="AA27" s="70"/>
      <c r="AB27" s="80"/>
      <c r="AD27" s="70"/>
      <c r="AE27" s="70"/>
    </row>
    <row r="28" spans="1:32" x14ac:dyDescent="0.35">
      <c r="A28" t="str">
        <f t="shared" si="13"/>
        <v>H4</v>
      </c>
      <c r="B28" s="53">
        <f t="shared" ref="B28:F28" si="17">B7 + B54</f>
        <v>11</v>
      </c>
      <c r="C28" s="53">
        <f t="shared" si="17"/>
        <v>10</v>
      </c>
      <c r="D28" s="53">
        <f t="shared" si="17"/>
        <v>11</v>
      </c>
      <c r="E28" s="53">
        <f t="shared" si="17"/>
        <v>10</v>
      </c>
      <c r="F28" s="53">
        <f t="shared" si="17"/>
        <v>11</v>
      </c>
      <c r="H28" s="5" t="str">
        <f t="shared" si="7"/>
        <v>H4</v>
      </c>
      <c r="I28" s="72">
        <f t="shared" si="8"/>
        <v>1.7349650195758341E-2</v>
      </c>
      <c r="J28" s="72">
        <f t="shared" si="9"/>
        <v>7.8940908390700438E-3</v>
      </c>
      <c r="K28" s="72">
        <f t="shared" si="10"/>
        <v>3.7019191719132307E-3</v>
      </c>
      <c r="L28" s="72">
        <f t="shared" si="11"/>
        <v>2.8945660206741615E-2</v>
      </c>
      <c r="N28" s="11" t="str">
        <f t="shared" si="12"/>
        <v>H4</v>
      </c>
      <c r="O28" s="107">
        <v>0.11</v>
      </c>
      <c r="P28" s="148">
        <v>0.43579211415436525</v>
      </c>
      <c r="Q28" s="107">
        <f t="shared" si="15"/>
        <v>4.7937132556980178E-2</v>
      </c>
      <c r="S28">
        <f>SUM(O$25:O28)  * 100</f>
        <v>36</v>
      </c>
      <c r="V28" s="81"/>
      <c r="AA28" s="70"/>
      <c r="AE28" s="81"/>
    </row>
    <row r="29" spans="1:32" ht="15.5" x14ac:dyDescent="0.35">
      <c r="A29" t="str">
        <f t="shared" si="13"/>
        <v>H5</v>
      </c>
      <c r="B29" s="53">
        <f t="shared" ref="B29:F29" si="18">B8 + B55</f>
        <v>11</v>
      </c>
      <c r="C29" s="53">
        <f t="shared" si="18"/>
        <v>11</v>
      </c>
      <c r="D29" s="53">
        <f t="shared" si="18"/>
        <v>11</v>
      </c>
      <c r="E29" s="53">
        <f t="shared" si="18"/>
        <v>11</v>
      </c>
      <c r="F29" s="53">
        <f t="shared" si="18"/>
        <v>11</v>
      </c>
      <c r="H29" s="5" t="str">
        <f t="shared" si="7"/>
        <v>H5</v>
      </c>
      <c r="I29" s="72">
        <f t="shared" si="8"/>
        <v>1.8481107369996259E-2</v>
      </c>
      <c r="J29" s="72">
        <f t="shared" si="9"/>
        <v>9.1622807596663802E-3</v>
      </c>
      <c r="K29" s="72">
        <f t="shared" si="10"/>
        <v>4.2947998503554061E-3</v>
      </c>
      <c r="L29" s="72">
        <f t="shared" si="11"/>
        <v>3.1938187980018046E-2</v>
      </c>
      <c r="N29" s="11" t="str">
        <f t="shared" si="12"/>
        <v>H5</v>
      </c>
      <c r="O29" s="107">
        <v>0.11</v>
      </c>
      <c r="P29" s="148">
        <v>0.44911078968633311</v>
      </c>
      <c r="Q29" s="107">
        <f t="shared" si="15"/>
        <v>4.940218686549664E-2</v>
      </c>
      <c r="S29">
        <f>SUM(O$25:O29)  * 100</f>
        <v>47</v>
      </c>
      <c r="V29" s="70"/>
      <c r="Z29" s="13"/>
      <c r="AD29" s="70"/>
      <c r="AE29" s="70"/>
    </row>
    <row r="30" spans="1:32" ht="15.5" x14ac:dyDescent="0.35">
      <c r="A30" t="str">
        <f t="shared" si="13"/>
        <v>L1</v>
      </c>
      <c r="B30" s="53">
        <f t="shared" ref="B30:F30" si="19">B9 + B56</f>
        <v>12</v>
      </c>
      <c r="C30" s="53">
        <f t="shared" si="19"/>
        <v>12</v>
      </c>
      <c r="D30" s="53">
        <f t="shared" si="19"/>
        <v>12</v>
      </c>
      <c r="E30" s="53">
        <f t="shared" si="19"/>
        <v>12</v>
      </c>
      <c r="F30" s="53">
        <f t="shared" si="19"/>
        <v>12</v>
      </c>
      <c r="H30" s="5" t="str">
        <f t="shared" si="7"/>
        <v>L1</v>
      </c>
      <c r="I30" s="72">
        <f t="shared" si="8"/>
        <v>2.2505266569437694E-2</v>
      </c>
      <c r="J30" s="72">
        <f t="shared" si="9"/>
        <v>6.8319559228650151E-3</v>
      </c>
      <c r="K30" s="72">
        <f t="shared" si="10"/>
        <v>4.5503159941662624E-3</v>
      </c>
      <c r="L30" s="72">
        <f t="shared" si="11"/>
        <v>3.3887538486468971E-2</v>
      </c>
      <c r="N30" s="11" t="str">
        <f t="shared" si="12"/>
        <v>L1</v>
      </c>
      <c r="O30" s="107">
        <v>0.12</v>
      </c>
      <c r="P30" s="148">
        <v>0.40964367277215974</v>
      </c>
      <c r="Q30" s="107">
        <f t="shared" si="15"/>
        <v>4.9157240732659167E-2</v>
      </c>
      <c r="S30">
        <f>SUM(O$25:O30)  * 100</f>
        <v>59</v>
      </c>
      <c r="T30" s="23"/>
      <c r="V30" s="70"/>
      <c r="Z30" s="13"/>
      <c r="AA30" s="70"/>
      <c r="AB30" s="70"/>
      <c r="AD30" s="70"/>
      <c r="AE30" s="70"/>
    </row>
    <row r="31" spans="1:32" ht="15.5" x14ac:dyDescent="0.35">
      <c r="A31" t="str">
        <f t="shared" si="13"/>
        <v>L2</v>
      </c>
      <c r="B31" s="53">
        <f t="shared" ref="B31:F31" si="20">B10 + B57</f>
        <v>12</v>
      </c>
      <c r="C31" s="53">
        <f t="shared" si="20"/>
        <v>12</v>
      </c>
      <c r="D31" s="53">
        <f t="shared" si="20"/>
        <v>12</v>
      </c>
      <c r="E31" s="53">
        <f t="shared" si="20"/>
        <v>12</v>
      </c>
      <c r="F31" s="53">
        <f t="shared" si="20"/>
        <v>12</v>
      </c>
      <c r="H31" s="5" t="str">
        <f t="shared" si="7"/>
        <v>L2</v>
      </c>
      <c r="I31" s="72">
        <f t="shared" si="8"/>
        <v>2.2505266569437694E-2</v>
      </c>
      <c r="J31" s="72">
        <f t="shared" si="9"/>
        <v>6.8319559228650151E-3</v>
      </c>
      <c r="K31" s="72">
        <f t="shared" si="10"/>
        <v>4.5503159941662624E-3</v>
      </c>
      <c r="L31" s="72">
        <f t="shared" si="11"/>
        <v>3.3887538486468971E-2</v>
      </c>
      <c r="N31" s="11" t="str">
        <f t="shared" si="12"/>
        <v>L2</v>
      </c>
      <c r="O31" s="107">
        <v>0.12</v>
      </c>
      <c r="P31" s="148">
        <v>0.40964367277215974</v>
      </c>
      <c r="Q31" s="107">
        <f t="shared" si="15"/>
        <v>4.9157240732659167E-2</v>
      </c>
      <c r="S31">
        <f>SUM(O$25:O31)  * 100</f>
        <v>71</v>
      </c>
      <c r="T31" s="23"/>
      <c r="V31" s="70"/>
      <c r="W31" s="3"/>
      <c r="Z31" s="82"/>
      <c r="AD31" s="70"/>
      <c r="AE31" s="70"/>
      <c r="AF31" s="3"/>
    </row>
    <row r="32" spans="1:32" ht="15.5" x14ac:dyDescent="0.35">
      <c r="A32" t="str">
        <f t="shared" si="13"/>
        <v>L3</v>
      </c>
      <c r="B32" s="53">
        <f t="shared" ref="B32:F32" si="21">B11 + B58</f>
        <v>13</v>
      </c>
      <c r="C32" s="53">
        <f t="shared" si="21"/>
        <v>14</v>
      </c>
      <c r="D32" s="53">
        <f t="shared" si="21"/>
        <v>14</v>
      </c>
      <c r="E32" s="53">
        <f t="shared" si="21"/>
        <v>14</v>
      </c>
      <c r="F32" s="53">
        <f t="shared" si="21"/>
        <v>13</v>
      </c>
      <c r="H32" s="5" t="str">
        <f t="shared" si="7"/>
        <v>L3</v>
      </c>
      <c r="I32" s="72">
        <f t="shared" si="8"/>
        <v>1.5082654631080064E-2</v>
      </c>
      <c r="J32" s="72">
        <f t="shared" si="9"/>
        <v>7.8797673706764628E-3</v>
      </c>
      <c r="K32" s="72">
        <f t="shared" si="10"/>
        <v>5.0030269020168022E-3</v>
      </c>
      <c r="L32" s="72">
        <f t="shared" si="11"/>
        <v>2.7965448903773331E-2</v>
      </c>
      <c r="N32" s="11" t="str">
        <f t="shared" si="12"/>
        <v>L3</v>
      </c>
      <c r="O32" s="107">
        <v>0.14000000000000001</v>
      </c>
      <c r="P32" s="148">
        <v>0.34463584673380027</v>
      </c>
      <c r="Q32" s="107">
        <f t="shared" si="15"/>
        <v>4.8249018542732044E-2</v>
      </c>
      <c r="S32">
        <f>SUM(O$25:O32)  * 100</f>
        <v>85</v>
      </c>
      <c r="T32" s="23"/>
      <c r="V32" s="70"/>
      <c r="W32" s="3"/>
      <c r="Z32" s="82"/>
      <c r="AA32" s="70"/>
      <c r="AB32" s="70"/>
      <c r="AD32" s="70"/>
      <c r="AE32" s="70"/>
      <c r="AF32" s="3"/>
    </row>
    <row r="33" spans="1:31" ht="15.5" x14ac:dyDescent="0.35">
      <c r="A33" t="str">
        <f t="shared" si="13"/>
        <v>L4</v>
      </c>
      <c r="B33" s="53">
        <f t="shared" ref="B33:F34" si="22">B12 + B59</f>
        <v>14</v>
      </c>
      <c r="C33" s="53">
        <f t="shared" si="22"/>
        <v>14</v>
      </c>
      <c r="D33" s="53">
        <f t="shared" si="22"/>
        <v>14</v>
      </c>
      <c r="E33" s="53">
        <f t="shared" si="22"/>
        <v>14</v>
      </c>
      <c r="F33" s="53">
        <f t="shared" si="22"/>
        <v>14</v>
      </c>
      <c r="H33" s="5" t="str">
        <f t="shared" si="7"/>
        <v>L4</v>
      </c>
      <c r="I33" s="72">
        <f t="shared" si="8"/>
        <v>1.6030857195444247E-2</v>
      </c>
      <c r="J33" s="72">
        <f t="shared" si="9"/>
        <v>8.2754412815018892E-3</v>
      </c>
      <c r="K33" s="72">
        <f t="shared" si="10"/>
        <v>5.649899670101691E-3</v>
      </c>
      <c r="L33" s="72">
        <f t="shared" si="11"/>
        <v>2.9956198147047829E-2</v>
      </c>
      <c r="N33" s="11" t="str">
        <f t="shared" si="12"/>
        <v>L4</v>
      </c>
      <c r="O33" s="107">
        <v>0.13</v>
      </c>
      <c r="P33" s="148">
        <v>0.35125208987086232</v>
      </c>
      <c r="Q33" s="107">
        <f t="shared" si="15"/>
        <v>4.5662771683212103E-2</v>
      </c>
      <c r="S33">
        <f>SUM(O$25:O33)  * 100</f>
        <v>98</v>
      </c>
      <c r="T33" s="23"/>
      <c r="V33" s="70"/>
      <c r="Z33" s="82"/>
      <c r="AA33" s="70"/>
      <c r="AB33" s="70"/>
      <c r="AD33" s="70"/>
      <c r="AE33" s="70"/>
    </row>
    <row r="34" spans="1:31" ht="15.5" x14ac:dyDescent="0.35">
      <c r="A34" t="str">
        <f t="shared" si="13"/>
        <v>W</v>
      </c>
      <c r="B34" s="53">
        <f t="shared" si="22"/>
        <v>3</v>
      </c>
      <c r="C34" s="53">
        <f t="shared" si="22"/>
        <v>3</v>
      </c>
      <c r="D34" s="53">
        <f t="shared" si="22"/>
        <v>3</v>
      </c>
      <c r="E34" s="53">
        <f t="shared" si="22"/>
        <v>3</v>
      </c>
      <c r="F34" s="53">
        <f t="shared" si="22"/>
        <v>3</v>
      </c>
      <c r="H34" s="5" t="str">
        <f t="shared" si="7"/>
        <v>W</v>
      </c>
      <c r="I34" s="72">
        <f t="shared" ref="I34" si="23">I13 * N13</f>
        <v>8.0354345594987301E-4</v>
      </c>
      <c r="J34" s="72">
        <f t="shared" ref="J34" si="24">J13 * O13</f>
        <v>1.4584346135148275E-4</v>
      </c>
      <c r="K34" s="72">
        <f t="shared" ref="K34" si="25">K13 * P13</f>
        <v>2.4307243558580459E-5</v>
      </c>
      <c r="L34" s="72">
        <f t="shared" si="11"/>
        <v>9.7369416085993615E-4</v>
      </c>
      <c r="N34" s="11" t="str">
        <f t="shared" si="12"/>
        <v>W</v>
      </c>
      <c r="O34" s="107">
        <v>0.02</v>
      </c>
      <c r="P34" s="148">
        <v>2.5423849041537894</v>
      </c>
      <c r="Q34" s="107">
        <f t="shared" ref="Q34" si="26">O34 * P34</f>
        <v>5.0847698083075786E-2</v>
      </c>
      <c r="S34">
        <f>SUM(O$25:O34)  * 100</f>
        <v>100</v>
      </c>
      <c r="T34" s="23"/>
      <c r="V34" s="70"/>
      <c r="Z34" s="82"/>
      <c r="AA34" s="70"/>
      <c r="AB34" s="70"/>
      <c r="AD34" s="70"/>
      <c r="AE34" s="70"/>
    </row>
    <row r="35" spans="1:31" ht="15.5" x14ac:dyDescent="0.35">
      <c r="B35" s="53"/>
      <c r="C35" s="53"/>
      <c r="D35" s="53"/>
      <c r="E35" s="53"/>
      <c r="F35" s="53"/>
      <c r="H35" s="5"/>
      <c r="I35" s="11"/>
      <c r="J35" s="11"/>
      <c r="K35" s="11"/>
      <c r="L35" s="72"/>
      <c r="M35" s="13"/>
      <c r="O35" s="60">
        <f>SUM(O25:O34)</f>
        <v>1</v>
      </c>
      <c r="P35" s="23"/>
      <c r="Q35" s="60">
        <f>SUM(Q25:Q34)</f>
        <v>0.48924808455313479</v>
      </c>
      <c r="S35" s="70"/>
      <c r="T35" s="81"/>
      <c r="V35" s="81"/>
      <c r="Z35" s="82"/>
      <c r="AA35" s="70"/>
      <c r="AB35" s="81"/>
      <c r="AD35" s="70"/>
      <c r="AE35" s="81"/>
    </row>
    <row r="36" spans="1:31" ht="15.5" x14ac:dyDescent="0.35">
      <c r="B36" s="53"/>
      <c r="C36" s="53"/>
      <c r="D36" s="53"/>
      <c r="E36" s="53"/>
      <c r="F36" s="53"/>
      <c r="H36" s="5"/>
      <c r="I36" s="11"/>
      <c r="J36" s="11"/>
      <c r="K36" s="11"/>
      <c r="L36" s="72"/>
      <c r="M36" s="13"/>
      <c r="S36" s="3"/>
      <c r="Z36" s="82"/>
      <c r="AA36" s="3"/>
      <c r="AD36" s="29"/>
      <c r="AE36" s="70"/>
    </row>
    <row r="37" spans="1:31" ht="15.5" x14ac:dyDescent="0.35">
      <c r="A37" t="str">
        <f t="shared" si="13"/>
        <v>QH</v>
      </c>
      <c r="B37" s="53">
        <f t="shared" si="13"/>
        <v>0</v>
      </c>
      <c r="C37" s="53">
        <f t="shared" si="13"/>
        <v>0</v>
      </c>
      <c r="D37" s="53">
        <f t="shared" si="13"/>
        <v>0</v>
      </c>
      <c r="E37" s="53">
        <f t="shared" si="13"/>
        <v>0</v>
      </c>
      <c r="F37" s="53">
        <f t="shared" si="13"/>
        <v>0</v>
      </c>
      <c r="H37" s="5"/>
      <c r="I37" s="11"/>
      <c r="J37" s="11"/>
      <c r="K37" s="11"/>
      <c r="L37" s="72"/>
      <c r="M37" s="13"/>
      <c r="Q37" s="80"/>
      <c r="S37" s="3"/>
      <c r="T37" s="80"/>
      <c r="Z37" s="82"/>
      <c r="AA37" s="3"/>
      <c r="AE37" s="70"/>
    </row>
    <row r="38" spans="1:31" x14ac:dyDescent="0.35">
      <c r="B38">
        <f>SUM(B25:B37)</f>
        <v>100</v>
      </c>
      <c r="C38">
        <f t="shared" ref="C38:F38" si="27">SUM(C25:C37)</f>
        <v>99</v>
      </c>
      <c r="D38">
        <f t="shared" si="27"/>
        <v>102</v>
      </c>
      <c r="E38">
        <f t="shared" si="27"/>
        <v>99</v>
      </c>
      <c r="F38">
        <f t="shared" si="27"/>
        <v>100</v>
      </c>
      <c r="H38" s="5"/>
      <c r="I38" s="11"/>
      <c r="J38" s="11"/>
      <c r="K38" s="11"/>
      <c r="L38" s="72"/>
      <c r="Q38" s="34"/>
      <c r="R38" s="30"/>
      <c r="S38" s="3"/>
      <c r="AA38" s="3"/>
    </row>
    <row r="39" spans="1:31" x14ac:dyDescent="0.35">
      <c r="H39" s="5"/>
      <c r="I39" s="71">
        <f t="shared" ref="I39:K39" si="28">SUM(I25:I38)</f>
        <v>0.16611036488873687</v>
      </c>
      <c r="J39" s="71">
        <f t="shared" si="28"/>
        <v>6.8369697369816199E-2</v>
      </c>
      <c r="K39" s="71">
        <f t="shared" si="28"/>
        <v>3.7434095360417405E-2</v>
      </c>
      <c r="L39" s="71">
        <f>SUM(L25:L38)</f>
        <v>0.27191415761897053</v>
      </c>
      <c r="Q39" s="34"/>
      <c r="R39" s="80"/>
      <c r="S39" s="3"/>
      <c r="AA39" s="5"/>
      <c r="AB39" s="92"/>
      <c r="AC39" s="93"/>
    </row>
    <row r="40" spans="1:31" x14ac:dyDescent="0.35">
      <c r="H40" s="5"/>
      <c r="I40" s="25"/>
      <c r="J40" s="25"/>
      <c r="K40" s="25"/>
      <c r="L40" s="25"/>
      <c r="S40" s="3"/>
      <c r="AA40" s="31"/>
      <c r="AB40" s="92"/>
      <c r="AC40" s="93"/>
    </row>
    <row r="41" spans="1:31" x14ac:dyDescent="0.35">
      <c r="I41" s="70"/>
      <c r="J41" s="70"/>
      <c r="K41" s="25"/>
      <c r="L41" s="25"/>
      <c r="R41" s="34"/>
      <c r="S41" s="30"/>
      <c r="AA41" s="94"/>
      <c r="AB41" s="92"/>
      <c r="AC41" s="93"/>
    </row>
    <row r="42" spans="1:31" x14ac:dyDescent="0.35">
      <c r="K42" s="25"/>
      <c r="N42" s="60"/>
      <c r="R42" s="34"/>
      <c r="S42" s="30"/>
      <c r="AA42" s="94"/>
      <c r="AB42" s="92"/>
      <c r="AC42" s="93"/>
    </row>
    <row r="43" spans="1:31" x14ac:dyDescent="0.35">
      <c r="I43" s="83"/>
      <c r="R43" s="5"/>
      <c r="S43" s="30"/>
      <c r="AA43" s="94"/>
      <c r="AB43" s="92"/>
      <c r="AC43" s="93"/>
    </row>
    <row r="44" spans="1:31" x14ac:dyDescent="0.35">
      <c r="I44" s="83"/>
      <c r="J44" s="70"/>
      <c r="K44" s="20"/>
      <c r="S44" s="30"/>
      <c r="T44" s="85"/>
      <c r="AA44" s="94"/>
      <c r="AB44" s="92"/>
      <c r="AC44" s="93"/>
    </row>
    <row r="45" spans="1:31" x14ac:dyDescent="0.35">
      <c r="I45" s="83"/>
      <c r="J45" s="70"/>
      <c r="K45" s="20"/>
      <c r="R45" s="5"/>
      <c r="S45" s="30"/>
      <c r="AA45" s="30"/>
      <c r="AB45" s="92"/>
    </row>
    <row r="46" spans="1:31" x14ac:dyDescent="0.35">
      <c r="C46" s="26"/>
      <c r="I46" s="83"/>
      <c r="J46" s="70"/>
      <c r="K46" s="20"/>
      <c r="S46" s="30"/>
      <c r="AA46" s="30"/>
    </row>
    <row r="47" spans="1:31" x14ac:dyDescent="0.35">
      <c r="B47" s="7"/>
      <c r="C47" s="7"/>
      <c r="D47" s="7"/>
      <c r="E47" s="7"/>
      <c r="F47" s="7"/>
      <c r="I47" s="83"/>
      <c r="J47" s="70"/>
      <c r="K47" s="20"/>
      <c r="P47" s="33"/>
      <c r="Q47" s="33"/>
      <c r="R47" s="33"/>
      <c r="S47" s="30"/>
      <c r="AA47" s="30"/>
    </row>
    <row r="48" spans="1:31" x14ac:dyDescent="0.35">
      <c r="B48" s="7"/>
      <c r="C48" s="7"/>
      <c r="D48" s="7"/>
      <c r="E48" s="7"/>
      <c r="F48" s="7"/>
      <c r="I48" s="83"/>
      <c r="J48" s="70"/>
      <c r="K48" s="20"/>
      <c r="S48" s="30"/>
      <c r="U48" s="50"/>
      <c r="AA48" s="30"/>
    </row>
    <row r="49" spans="1:49" x14ac:dyDescent="0.35">
      <c r="C49" s="26"/>
      <c r="I49" s="83"/>
      <c r="J49" s="70"/>
      <c r="K49" s="20"/>
      <c r="S49" s="30"/>
      <c r="AA49" s="30"/>
    </row>
    <row r="50" spans="1:49" x14ac:dyDescent="0.35">
      <c r="C50" s="26"/>
      <c r="I50" s="83"/>
      <c r="J50" s="70"/>
      <c r="K50" s="20"/>
      <c r="P50" s="17"/>
      <c r="S50" s="30"/>
      <c r="AA50" s="30"/>
    </row>
    <row r="51" spans="1:49" x14ac:dyDescent="0.35">
      <c r="A51" t="str">
        <f>A25</f>
        <v>H1</v>
      </c>
      <c r="I51" s="83"/>
      <c r="J51" s="76"/>
      <c r="K51" s="15"/>
      <c r="L51" s="25"/>
      <c r="S51" s="30"/>
      <c r="AA51" s="30"/>
      <c r="AG51" s="24"/>
      <c r="AH51" s="24"/>
      <c r="AI51" s="24"/>
      <c r="AJ51" s="24"/>
      <c r="AK51" s="24"/>
      <c r="AL51" s="24"/>
      <c r="AM51" s="24"/>
      <c r="AN51" s="24"/>
      <c r="AO51" s="24"/>
      <c r="AP51" s="24"/>
      <c r="AQ51" s="24"/>
      <c r="AR51" s="24"/>
      <c r="AS51" s="24"/>
      <c r="AT51" s="24"/>
      <c r="AU51" s="24"/>
      <c r="AV51" s="24"/>
    </row>
    <row r="52" spans="1:49" x14ac:dyDescent="0.35">
      <c r="A52" t="str">
        <f t="shared" ref="A52:A60" si="29">A26</f>
        <v>H2</v>
      </c>
      <c r="I52" s="83"/>
      <c r="J52" s="70"/>
      <c r="K52" s="75"/>
      <c r="T52" s="2"/>
      <c r="W52" s="2"/>
      <c r="X52" s="2"/>
      <c r="Y52" s="2"/>
      <c r="Z52" s="2"/>
      <c r="AB52" s="2"/>
      <c r="AD52" s="2"/>
      <c r="AF52" s="2"/>
      <c r="AG52" s="2"/>
      <c r="AH52" s="2"/>
      <c r="AI52" s="2"/>
      <c r="AJ52" s="2"/>
      <c r="AK52" s="2"/>
      <c r="AL52" s="2"/>
      <c r="AM52" s="2"/>
      <c r="AN52" s="2"/>
      <c r="AO52" s="2"/>
      <c r="AP52" s="2"/>
      <c r="AQ52" s="2"/>
      <c r="AR52" s="2"/>
      <c r="AS52" s="2"/>
      <c r="AT52" s="2"/>
      <c r="AU52" s="2"/>
      <c r="AV52" s="2"/>
    </row>
    <row r="53" spans="1:49" x14ac:dyDescent="0.35">
      <c r="A53" t="str">
        <f t="shared" si="29"/>
        <v>H3</v>
      </c>
      <c r="I53" s="83"/>
      <c r="J53" s="70"/>
      <c r="K53" s="20"/>
      <c r="AW53" s="25"/>
    </row>
    <row r="54" spans="1:49" x14ac:dyDescent="0.35">
      <c r="A54" t="str">
        <f t="shared" si="29"/>
        <v>H4</v>
      </c>
      <c r="I54" s="83"/>
      <c r="J54" s="70"/>
      <c r="K54" s="20"/>
      <c r="AW54" s="25"/>
    </row>
    <row r="55" spans="1:49" ht="23.5" customHeight="1" x14ac:dyDescent="0.35">
      <c r="A55" t="str">
        <f t="shared" si="29"/>
        <v>H5</v>
      </c>
      <c r="G55" s="14"/>
      <c r="I55" s="83"/>
      <c r="J55" s="70"/>
      <c r="K55" s="77"/>
      <c r="L55" s="15"/>
      <c r="AW55" s="25"/>
    </row>
    <row r="56" spans="1:49" x14ac:dyDescent="0.35">
      <c r="A56" t="str">
        <f t="shared" si="29"/>
        <v>L1</v>
      </c>
      <c r="I56" s="83"/>
      <c r="J56" s="70"/>
      <c r="K56" s="20"/>
      <c r="N56" s="87"/>
      <c r="AW56" s="25"/>
    </row>
    <row r="57" spans="1:49" x14ac:dyDescent="0.35">
      <c r="A57" t="str">
        <f t="shared" si="29"/>
        <v>L2</v>
      </c>
      <c r="I57" s="83"/>
      <c r="K57" s="20"/>
      <c r="N57" s="6"/>
      <c r="S57" s="3"/>
      <c r="AW57" s="25"/>
    </row>
    <row r="58" spans="1:49" ht="18.5" x14ac:dyDescent="0.45">
      <c r="A58" t="str">
        <f t="shared" si="29"/>
        <v>L3</v>
      </c>
      <c r="B58" s="87"/>
      <c r="I58" s="83"/>
      <c r="J58" s="70"/>
      <c r="K58" s="20"/>
      <c r="L58" s="42"/>
      <c r="M58" s="5"/>
      <c r="N58" s="33"/>
      <c r="S58" s="3"/>
      <c r="AW58" s="25"/>
    </row>
    <row r="59" spans="1:49" x14ac:dyDescent="0.35">
      <c r="A59" t="str">
        <f t="shared" si="29"/>
        <v>L4</v>
      </c>
      <c r="B59" s="87"/>
      <c r="G59" s="23"/>
      <c r="I59" s="83"/>
      <c r="M59" s="5"/>
      <c r="N59" s="6"/>
      <c r="S59" s="3"/>
      <c r="AW59" s="25"/>
    </row>
    <row r="60" spans="1:49" x14ac:dyDescent="0.35">
      <c r="A60" t="str">
        <f t="shared" si="29"/>
        <v>W</v>
      </c>
      <c r="B60" s="124"/>
      <c r="C60" s="43"/>
      <c r="D60" s="43"/>
      <c r="E60" s="43"/>
      <c r="F60" s="43"/>
      <c r="G60" s="32"/>
      <c r="I60" s="83"/>
      <c r="S60" s="3"/>
      <c r="AW60" s="25"/>
    </row>
    <row r="61" spans="1:49" ht="15.5" x14ac:dyDescent="0.35">
      <c r="A61" s="5"/>
      <c r="B61" s="33"/>
      <c r="C61" s="26"/>
      <c r="G61" s="23"/>
      <c r="I61" s="83"/>
      <c r="L61" s="41"/>
      <c r="N61" s="23"/>
      <c r="S61" s="3"/>
      <c r="AW61" s="25"/>
    </row>
    <row r="62" spans="1:49" ht="15.5" x14ac:dyDescent="0.35">
      <c r="A62" s="5"/>
      <c r="B62" s="33"/>
      <c r="C62" s="26"/>
      <c r="G62" s="23"/>
      <c r="I62" s="83"/>
      <c r="L62" s="41"/>
      <c r="M62" s="5"/>
      <c r="S62" s="3"/>
      <c r="AW62" s="25"/>
    </row>
    <row r="63" spans="1:49" x14ac:dyDescent="0.35">
      <c r="A63" s="35"/>
      <c r="B63" s="37"/>
      <c r="C63" s="36"/>
      <c r="F63" s="3"/>
      <c r="G63" s="23"/>
      <c r="I63" s="83"/>
      <c r="M63" s="5"/>
      <c r="S63" s="3"/>
      <c r="AW63" s="25"/>
    </row>
    <row r="64" spans="1:49" x14ac:dyDescent="0.35">
      <c r="A64" s="31"/>
      <c r="B64" s="37"/>
      <c r="C64" s="26"/>
      <c r="I64" s="83"/>
      <c r="M64" s="5"/>
      <c r="S64" s="3"/>
      <c r="AW64" s="25"/>
    </row>
    <row r="65" spans="1:49" x14ac:dyDescent="0.35">
      <c r="A65" s="5"/>
      <c r="B65" s="37"/>
      <c r="C65" s="26"/>
      <c r="G65" s="38"/>
      <c r="H65" s="39"/>
      <c r="I65" s="194"/>
      <c r="J65" s="39"/>
      <c r="M65" s="5"/>
      <c r="S65" s="3"/>
      <c r="AW65" s="25"/>
    </row>
    <row r="66" spans="1:49" x14ac:dyDescent="0.35">
      <c r="A66" s="5"/>
      <c r="B66" s="37"/>
      <c r="C66" s="26"/>
      <c r="G66" s="23"/>
      <c r="I66" s="83"/>
      <c r="M66" s="5"/>
      <c r="S66" s="3"/>
      <c r="AW66" s="25"/>
    </row>
    <row r="67" spans="1:49" x14ac:dyDescent="0.35">
      <c r="A67" s="5"/>
      <c r="B67" s="67"/>
      <c r="G67" s="23"/>
      <c r="I67" s="83"/>
      <c r="S67" s="3"/>
      <c r="AW67" s="25"/>
    </row>
    <row r="68" spans="1:49" x14ac:dyDescent="0.35">
      <c r="A68" s="5"/>
      <c r="B68" s="37"/>
      <c r="C68" s="26"/>
      <c r="G68" s="23"/>
      <c r="I68" s="83"/>
      <c r="S68" s="3"/>
      <c r="AW68" s="25"/>
    </row>
    <row r="69" spans="1:49" x14ac:dyDescent="0.35">
      <c r="A69" s="5"/>
      <c r="B69" s="37"/>
      <c r="C69" s="26"/>
      <c r="G69" s="23"/>
      <c r="I69" s="83"/>
      <c r="S69" s="3"/>
      <c r="AW69" s="25"/>
    </row>
    <row r="70" spans="1:49" x14ac:dyDescent="0.35">
      <c r="A70" s="5"/>
      <c r="B70" s="37"/>
      <c r="C70" s="26"/>
      <c r="G70" s="23"/>
      <c r="I70" s="83"/>
      <c r="M70" s="5"/>
      <c r="S70" s="3"/>
      <c r="AW70" s="25"/>
    </row>
    <row r="71" spans="1:49" x14ac:dyDescent="0.35">
      <c r="A71" s="5"/>
      <c r="B71" s="37"/>
      <c r="C71" s="26"/>
      <c r="G71" s="23"/>
      <c r="I71" s="83"/>
      <c r="M71" s="5"/>
      <c r="S71" s="3"/>
      <c r="AW71" s="25"/>
    </row>
    <row r="72" spans="1:49" x14ac:dyDescent="0.35">
      <c r="A72" s="5"/>
      <c r="B72" s="33"/>
      <c r="C72" s="26"/>
      <c r="G72" s="23"/>
      <c r="I72" s="83"/>
      <c r="S72" s="3"/>
      <c r="AW72" s="25"/>
    </row>
    <row r="73" spans="1:49" x14ac:dyDescent="0.35">
      <c r="A73" s="5"/>
      <c r="B73" s="33"/>
      <c r="C73" s="26"/>
      <c r="G73" s="23"/>
      <c r="I73" s="83"/>
      <c r="S73" s="3"/>
      <c r="AW73" s="25"/>
    </row>
    <row r="74" spans="1:49" x14ac:dyDescent="0.35">
      <c r="A74" s="5"/>
      <c r="B74" s="33"/>
      <c r="C74" s="26"/>
      <c r="G74" s="23"/>
      <c r="I74" s="83"/>
      <c r="M74" s="5"/>
      <c r="S74" s="3"/>
      <c r="AW74" s="25"/>
    </row>
    <row r="75" spans="1:49" x14ac:dyDescent="0.35">
      <c r="A75" s="5"/>
      <c r="B75" s="33"/>
      <c r="C75" s="26"/>
      <c r="G75" s="23"/>
      <c r="I75" s="83"/>
      <c r="M75" s="5"/>
      <c r="S75" s="3"/>
      <c r="AW75" s="25"/>
    </row>
    <row r="76" spans="1:49" x14ac:dyDescent="0.35">
      <c r="A76" s="5"/>
      <c r="B76" s="33"/>
      <c r="C76" s="26"/>
      <c r="G76" s="23"/>
      <c r="I76" s="83"/>
      <c r="S76" s="3"/>
      <c r="AW76" s="25"/>
    </row>
    <row r="77" spans="1:49" x14ac:dyDescent="0.35">
      <c r="A77" s="5"/>
      <c r="B77" s="33"/>
      <c r="C77" s="26"/>
      <c r="G77" s="23"/>
      <c r="I77" s="83"/>
      <c r="S77" s="3"/>
      <c r="AW77" s="25"/>
    </row>
    <row r="78" spans="1:49" x14ac:dyDescent="0.35">
      <c r="B78" s="33"/>
      <c r="G78" s="23"/>
      <c r="I78" s="83"/>
      <c r="M78" s="5"/>
      <c r="S78" s="3"/>
      <c r="AW78" s="25"/>
    </row>
    <row r="79" spans="1:49" x14ac:dyDescent="0.35">
      <c r="G79" s="23"/>
      <c r="I79" s="83"/>
      <c r="S79" s="3"/>
      <c r="AW79" s="25"/>
    </row>
    <row r="80" spans="1:49" x14ac:dyDescent="0.35">
      <c r="G80" s="23"/>
      <c r="I80" s="83"/>
      <c r="S80" s="3"/>
      <c r="AW80" s="25"/>
    </row>
    <row r="81" spans="7:49" x14ac:dyDescent="0.35">
      <c r="G81" s="23"/>
      <c r="I81" s="83"/>
      <c r="M81" s="5"/>
      <c r="S81" s="3"/>
      <c r="AW81" s="25"/>
    </row>
    <row r="82" spans="7:49" x14ac:dyDescent="0.35">
      <c r="G82" s="23"/>
      <c r="I82" s="83"/>
      <c r="S82" s="3"/>
      <c r="AW82" s="25"/>
    </row>
    <row r="83" spans="7:49" x14ac:dyDescent="0.35">
      <c r="G83" s="23"/>
      <c r="I83" s="83"/>
      <c r="S83" s="3"/>
      <c r="AW83" s="25"/>
    </row>
    <row r="84" spans="7:49" x14ac:dyDescent="0.35">
      <c r="G84" s="23"/>
      <c r="I84" s="83"/>
      <c r="S84" s="3"/>
      <c r="AW84" s="25"/>
    </row>
    <row r="85" spans="7:49" x14ac:dyDescent="0.35">
      <c r="G85" s="23"/>
      <c r="I85" s="83"/>
      <c r="M85" s="5"/>
      <c r="S85" s="3"/>
      <c r="AW85" s="25"/>
    </row>
    <row r="86" spans="7:49" x14ac:dyDescent="0.35">
      <c r="G86" s="23"/>
      <c r="I86" s="83"/>
      <c r="M86" s="5"/>
      <c r="S86" s="3"/>
      <c r="AW86" s="25"/>
    </row>
    <row r="87" spans="7:49" x14ac:dyDescent="0.35">
      <c r="G87" s="23"/>
      <c r="I87" s="83"/>
      <c r="S87" s="3"/>
      <c r="AW87" s="25"/>
    </row>
    <row r="88" spans="7:49" x14ac:dyDescent="0.35">
      <c r="G88" s="23"/>
      <c r="I88" s="83"/>
      <c r="S88" s="3"/>
      <c r="AW88" s="25"/>
    </row>
    <row r="89" spans="7:49" x14ac:dyDescent="0.35">
      <c r="G89" s="23"/>
      <c r="I89" s="83"/>
      <c r="M89" s="5"/>
      <c r="S89" s="3"/>
      <c r="AW89" s="25"/>
    </row>
    <row r="90" spans="7:49" x14ac:dyDescent="0.35">
      <c r="G90" s="23"/>
      <c r="I90" s="83"/>
      <c r="M90" s="5"/>
      <c r="S90" s="3"/>
      <c r="AW90" s="25"/>
    </row>
    <row r="91" spans="7:49" x14ac:dyDescent="0.35">
      <c r="G91" s="23"/>
      <c r="I91" s="83"/>
      <c r="S91" s="3"/>
      <c r="AW91" s="25"/>
    </row>
    <row r="92" spans="7:49" x14ac:dyDescent="0.35">
      <c r="G92" s="23"/>
      <c r="I92" s="83"/>
      <c r="S92" s="3"/>
      <c r="AW92" s="25"/>
    </row>
    <row r="93" spans="7:49" x14ac:dyDescent="0.35">
      <c r="G93" s="23"/>
      <c r="H93" s="33"/>
      <c r="I93" s="83"/>
      <c r="M93" s="5"/>
      <c r="S93" s="3"/>
      <c r="AW93" s="25"/>
    </row>
    <row r="94" spans="7:49" x14ac:dyDescent="0.35">
      <c r="G94" s="23"/>
      <c r="I94" s="83"/>
      <c r="S94" s="3"/>
      <c r="AW94" s="25"/>
    </row>
    <row r="95" spans="7:49" x14ac:dyDescent="0.35">
      <c r="G95" s="23"/>
      <c r="I95" s="83"/>
      <c r="S95" s="3"/>
      <c r="AW95" s="25"/>
    </row>
    <row r="96" spans="7:49" x14ac:dyDescent="0.35">
      <c r="G96" s="23"/>
      <c r="I96" s="83"/>
      <c r="S96" s="3"/>
      <c r="AW96" s="25"/>
    </row>
    <row r="97" spans="7:49" x14ac:dyDescent="0.35">
      <c r="G97" s="23"/>
      <c r="I97" s="83"/>
      <c r="M97" s="5"/>
      <c r="S97" s="3"/>
      <c r="AW97" s="25"/>
    </row>
    <row r="98" spans="7:49" x14ac:dyDescent="0.35">
      <c r="G98" s="23"/>
      <c r="I98" s="83"/>
      <c r="M98" s="5"/>
      <c r="S98" s="3"/>
      <c r="AW98" s="25"/>
    </row>
    <row r="99" spans="7:49" x14ac:dyDescent="0.35">
      <c r="G99" s="23"/>
      <c r="I99" s="83"/>
      <c r="S99" s="3"/>
      <c r="AW99" s="25"/>
    </row>
    <row r="100" spans="7:49" x14ac:dyDescent="0.35">
      <c r="G100" s="23"/>
      <c r="I100" s="83"/>
      <c r="S100" s="3"/>
      <c r="AW100" s="25"/>
    </row>
    <row r="101" spans="7:49" x14ac:dyDescent="0.35">
      <c r="G101" s="23"/>
      <c r="I101" s="83"/>
      <c r="S101" s="3"/>
      <c r="AW101" s="25"/>
    </row>
    <row r="102" spans="7:49" x14ac:dyDescent="0.35">
      <c r="G102" s="23"/>
      <c r="I102" s="83"/>
      <c r="S102" s="3"/>
      <c r="AW102" s="25"/>
    </row>
    <row r="103" spans="7:49" x14ac:dyDescent="0.35">
      <c r="I103" s="83"/>
      <c r="S103" s="3"/>
      <c r="AW103" s="25"/>
    </row>
    <row r="104" spans="7:49" x14ac:dyDescent="0.35">
      <c r="I104" s="83"/>
      <c r="S104" s="3"/>
      <c r="AW104" s="25"/>
    </row>
    <row r="105" spans="7:49" x14ac:dyDescent="0.35">
      <c r="I105" s="83"/>
      <c r="S105" s="3"/>
      <c r="AW105" s="25"/>
    </row>
    <row r="106" spans="7:49" x14ac:dyDescent="0.35">
      <c r="I106" s="83"/>
      <c r="S106" s="3"/>
      <c r="AW106" s="25"/>
    </row>
    <row r="107" spans="7:49" x14ac:dyDescent="0.35">
      <c r="S107" s="3"/>
      <c r="AW107" s="25"/>
    </row>
    <row r="108" spans="7:49" x14ac:dyDescent="0.35">
      <c r="S108" s="3"/>
      <c r="AW108" s="25"/>
    </row>
    <row r="109" spans="7:49" x14ac:dyDescent="0.35">
      <c r="S109" s="3"/>
      <c r="AW109" s="25"/>
    </row>
    <row r="110" spans="7:49" x14ac:dyDescent="0.35">
      <c r="S110" s="3"/>
      <c r="AW110" s="25"/>
    </row>
    <row r="111" spans="7:49" x14ac:dyDescent="0.35">
      <c r="S111" s="3"/>
      <c r="AW111" s="25"/>
    </row>
    <row r="112" spans="7:49" x14ac:dyDescent="0.35">
      <c r="S112" s="3"/>
      <c r="AW112" s="25"/>
    </row>
    <row r="113" spans="19:49" x14ac:dyDescent="0.35">
      <c r="S113" s="3"/>
      <c r="AW113" s="25"/>
    </row>
    <row r="114" spans="19:49" x14ac:dyDescent="0.35">
      <c r="S114" s="3"/>
      <c r="AW114" s="25"/>
    </row>
    <row r="115" spans="19:49" x14ac:dyDescent="0.35">
      <c r="S115" s="3"/>
      <c r="AW115" s="25"/>
    </row>
    <row r="116" spans="19:49" x14ac:dyDescent="0.35">
      <c r="S116" s="3"/>
      <c r="AW116" s="25"/>
    </row>
    <row r="117" spans="19:49" x14ac:dyDescent="0.35">
      <c r="S117" s="3"/>
      <c r="AW117" s="25"/>
    </row>
    <row r="118" spans="19:49" x14ac:dyDescent="0.35">
      <c r="S118" s="3"/>
      <c r="AW118" s="25"/>
    </row>
    <row r="119" spans="19:49" x14ac:dyDescent="0.35">
      <c r="S119" s="3"/>
      <c r="T119" s="3"/>
      <c r="U119" s="3"/>
      <c r="V119" s="3"/>
      <c r="W119" s="3"/>
    </row>
  </sheetData>
  <pageMargins left="0.7" right="0.7" top="0.75" bottom="0.75" header="0.3" footer="0.3"/>
  <pageSetup orientation="portrait" r:id="rId1"/>
  <drawing r:id="rId2"/>
  <legacyDrawing r:id="rId3"/>
  <controls>
    <mc:AlternateContent xmlns:mc="http://schemas.openxmlformats.org/markup-compatibility/2006">
      <mc:Choice Requires="x14">
        <control shapeId="60418" r:id="rId4" name="CommandButton2">
          <controlPr defaultSize="0" autoLine="0" autoPict="0" r:id="rId5">
            <anchor moveWithCells="1">
              <from>
                <xdr:col>8</xdr:col>
                <xdr:colOff>1066800</xdr:colOff>
                <xdr:row>17</xdr:row>
                <xdr:rowOff>152400</xdr:rowOff>
              </from>
              <to>
                <xdr:col>10</xdr:col>
                <xdr:colOff>95250</xdr:colOff>
                <xdr:row>21</xdr:row>
                <xdr:rowOff>31750</xdr:rowOff>
              </to>
            </anchor>
          </controlPr>
        </control>
      </mc:Choice>
      <mc:Fallback>
        <control shapeId="60418" r:id="rId4" name="CommandButton2"/>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7276-7B45-497E-8C4F-952ADC211A7E}">
  <sheetPr codeName="Sheet2"/>
  <dimension ref="A1:G623"/>
  <sheetViews>
    <sheetView workbookViewId="0">
      <selection activeCell="H30" sqref="H30"/>
    </sheetView>
  </sheetViews>
  <sheetFormatPr defaultRowHeight="14.5" x14ac:dyDescent="0.35"/>
  <cols>
    <col min="1" max="1" width="8.81640625"/>
  </cols>
  <sheetData>
    <row r="1" spans="1:7" x14ac:dyDescent="0.35">
      <c r="A1" s="4" t="s">
        <v>174</v>
      </c>
      <c r="B1" s="4" t="s">
        <v>51</v>
      </c>
      <c r="C1" s="4" t="s">
        <v>51</v>
      </c>
      <c r="D1" s="4" t="s">
        <v>174</v>
      </c>
      <c r="E1" s="4" t="s">
        <v>49</v>
      </c>
      <c r="F1" s="4"/>
      <c r="G1" s="4"/>
    </row>
    <row r="2" spans="1:7" x14ac:dyDescent="0.35">
      <c r="A2" s="4" t="s">
        <v>174</v>
      </c>
      <c r="B2" s="4" t="s">
        <v>51</v>
      </c>
      <c r="C2" s="4" t="s">
        <v>51</v>
      </c>
      <c r="D2" s="4" t="s">
        <v>174</v>
      </c>
      <c r="E2" s="4" t="s">
        <v>49</v>
      </c>
      <c r="F2" s="4"/>
    </row>
    <row r="3" spans="1:7" x14ac:dyDescent="0.35">
      <c r="A3" s="4" t="s">
        <v>174</v>
      </c>
      <c r="B3" s="4" t="s">
        <v>51</v>
      </c>
      <c r="C3" s="4" t="s">
        <v>51</v>
      </c>
      <c r="D3" s="4" t="s">
        <v>174</v>
      </c>
      <c r="E3" s="4" t="s">
        <v>51</v>
      </c>
      <c r="F3" s="4"/>
    </row>
    <row r="4" spans="1:7" x14ac:dyDescent="0.35">
      <c r="A4" s="4" t="s">
        <v>51</v>
      </c>
      <c r="B4" s="4" t="s">
        <v>53</v>
      </c>
      <c r="C4" s="4" t="s">
        <v>55</v>
      </c>
      <c r="D4" s="4" t="s">
        <v>49</v>
      </c>
      <c r="E4" s="4" t="s">
        <v>51</v>
      </c>
      <c r="F4" s="4"/>
    </row>
    <row r="5" spans="1:7" x14ac:dyDescent="0.35">
      <c r="A5" s="4" t="s">
        <v>51</v>
      </c>
      <c r="B5" s="4" t="s">
        <v>53</v>
      </c>
      <c r="C5" s="4" t="s">
        <v>55</v>
      </c>
      <c r="D5" s="4" t="s">
        <v>49</v>
      </c>
      <c r="E5" s="4" t="s">
        <v>51</v>
      </c>
      <c r="F5" s="4"/>
    </row>
    <row r="6" spans="1:7" x14ac:dyDescent="0.35">
      <c r="A6" s="4" t="s">
        <v>53</v>
      </c>
      <c r="B6" s="4" t="s">
        <v>53</v>
      </c>
      <c r="C6" s="4" t="s">
        <v>53</v>
      </c>
      <c r="D6" s="192" t="s">
        <v>57</v>
      </c>
      <c r="E6" s="4" t="s">
        <v>53</v>
      </c>
      <c r="F6" s="4"/>
    </row>
    <row r="7" spans="1:7" x14ac:dyDescent="0.35">
      <c r="A7" s="4" t="s">
        <v>53</v>
      </c>
      <c r="B7" s="4" t="s">
        <v>174</v>
      </c>
      <c r="C7" s="4" t="s">
        <v>53</v>
      </c>
      <c r="D7" s="4" t="s">
        <v>51</v>
      </c>
      <c r="E7" s="4" t="s">
        <v>53</v>
      </c>
      <c r="F7" s="4"/>
      <c r="G7" s="4" t="s">
        <v>66</v>
      </c>
    </row>
    <row r="8" spans="1:7" x14ac:dyDescent="0.35">
      <c r="A8" s="192" t="s">
        <v>57</v>
      </c>
      <c r="B8" s="4" t="s">
        <v>174</v>
      </c>
      <c r="C8" s="4" t="s">
        <v>50</v>
      </c>
      <c r="D8" s="4" t="s">
        <v>51</v>
      </c>
      <c r="E8" s="192" t="s">
        <v>57</v>
      </c>
      <c r="F8" s="4"/>
      <c r="G8" s="4"/>
    </row>
    <row r="9" spans="1:7" x14ac:dyDescent="0.35">
      <c r="A9" s="4" t="s">
        <v>50</v>
      </c>
      <c r="B9" s="4" t="s">
        <v>174</v>
      </c>
      <c r="C9" s="4" t="s">
        <v>50</v>
      </c>
      <c r="D9" s="4" t="s">
        <v>51</v>
      </c>
      <c r="E9" s="4" t="s">
        <v>55</v>
      </c>
      <c r="F9" s="4"/>
      <c r="G9" s="4"/>
    </row>
    <row r="10" spans="1:7" x14ac:dyDescent="0.35">
      <c r="A10" s="4" t="s">
        <v>50</v>
      </c>
      <c r="B10" s="4" t="s">
        <v>50</v>
      </c>
      <c r="C10" s="192" t="s">
        <v>57</v>
      </c>
      <c r="D10" s="4" t="s">
        <v>53</v>
      </c>
      <c r="E10" s="4" t="s">
        <v>55</v>
      </c>
      <c r="F10" s="4"/>
      <c r="G10" s="4" t="s">
        <v>57</v>
      </c>
    </row>
    <row r="11" spans="1:7" x14ac:dyDescent="0.35">
      <c r="A11" s="4" t="s">
        <v>54</v>
      </c>
      <c r="B11" s="4" t="s">
        <v>50</v>
      </c>
      <c r="C11" s="4" t="s">
        <v>54</v>
      </c>
      <c r="D11" s="4" t="s">
        <v>53</v>
      </c>
      <c r="E11" s="4" t="s">
        <v>174</v>
      </c>
      <c r="F11" s="4"/>
      <c r="G11" s="4"/>
    </row>
    <row r="12" spans="1:7" x14ac:dyDescent="0.35">
      <c r="A12" s="4" t="s">
        <v>54</v>
      </c>
      <c r="B12" s="4" t="s">
        <v>54</v>
      </c>
      <c r="C12" s="4" t="s">
        <v>54</v>
      </c>
      <c r="D12" s="4" t="s">
        <v>53</v>
      </c>
      <c r="E12" s="4" t="s">
        <v>174</v>
      </c>
      <c r="F12" s="4"/>
      <c r="G12" s="4"/>
    </row>
    <row r="13" spans="1:7" x14ac:dyDescent="0.35">
      <c r="A13" s="4" t="s">
        <v>49</v>
      </c>
      <c r="B13" s="4" t="s">
        <v>54</v>
      </c>
      <c r="C13" s="4" t="s">
        <v>55</v>
      </c>
      <c r="D13" s="154" t="s">
        <v>66</v>
      </c>
      <c r="E13" s="154" t="s">
        <v>66</v>
      </c>
      <c r="F13" s="4"/>
    </row>
    <row r="14" spans="1:7" x14ac:dyDescent="0.35">
      <c r="A14" s="4" t="s">
        <v>49</v>
      </c>
      <c r="B14" s="4" t="s">
        <v>55</v>
      </c>
      <c r="C14" s="4" t="s">
        <v>55</v>
      </c>
      <c r="D14" s="154" t="s">
        <v>66</v>
      </c>
      <c r="E14" s="154" t="s">
        <v>66</v>
      </c>
      <c r="F14" s="4"/>
    </row>
    <row r="15" spans="1:7" x14ac:dyDescent="0.35">
      <c r="A15" s="4" t="s">
        <v>55</v>
      </c>
      <c r="B15" s="4" t="s">
        <v>55</v>
      </c>
      <c r="C15" s="4" t="s">
        <v>53</v>
      </c>
      <c r="D15" s="154" t="s">
        <v>66</v>
      </c>
      <c r="E15" s="154" t="s">
        <v>66</v>
      </c>
      <c r="F15" s="4"/>
    </row>
    <row r="16" spans="1:7" x14ac:dyDescent="0.35">
      <c r="A16" s="4" t="s">
        <v>55</v>
      </c>
      <c r="B16" s="4" t="s">
        <v>53</v>
      </c>
      <c r="C16" s="4" t="s">
        <v>53</v>
      </c>
      <c r="D16" s="154" t="s">
        <v>66</v>
      </c>
      <c r="E16" s="154" t="s">
        <v>66</v>
      </c>
      <c r="F16" s="4"/>
    </row>
    <row r="17" spans="1:6" x14ac:dyDescent="0.35">
      <c r="A17" s="4" t="s">
        <v>53</v>
      </c>
      <c r="B17" s="4" t="s">
        <v>53</v>
      </c>
      <c r="C17" s="4" t="s">
        <v>174</v>
      </c>
      <c r="D17" s="154" t="s">
        <v>66</v>
      </c>
      <c r="E17" s="154" t="s">
        <v>66</v>
      </c>
      <c r="F17" s="4"/>
    </row>
    <row r="18" spans="1:6" x14ac:dyDescent="0.35">
      <c r="A18" s="4" t="s">
        <v>53</v>
      </c>
      <c r="B18" s="4" t="s">
        <v>51</v>
      </c>
      <c r="C18" s="4" t="s">
        <v>174</v>
      </c>
      <c r="D18" s="154" t="s">
        <v>66</v>
      </c>
      <c r="E18" s="154" t="s">
        <v>66</v>
      </c>
      <c r="F18" s="4"/>
    </row>
    <row r="19" spans="1:6" x14ac:dyDescent="0.35">
      <c r="A19" s="4" t="s">
        <v>55</v>
      </c>
      <c r="B19" s="4" t="s">
        <v>51</v>
      </c>
      <c r="C19" s="4" t="s">
        <v>174</v>
      </c>
      <c r="D19" s="154" t="s">
        <v>66</v>
      </c>
      <c r="E19" s="154" t="s">
        <v>66</v>
      </c>
      <c r="F19" s="4"/>
    </row>
    <row r="20" spans="1:6" x14ac:dyDescent="0.35">
      <c r="A20" s="4" t="s">
        <v>55</v>
      </c>
      <c r="B20" s="4" t="s">
        <v>55</v>
      </c>
      <c r="C20" s="4" t="s">
        <v>51</v>
      </c>
      <c r="D20" s="154" t="s">
        <v>66</v>
      </c>
      <c r="E20" s="154" t="s">
        <v>66</v>
      </c>
      <c r="F20" s="4"/>
    </row>
    <row r="21" spans="1:6" x14ac:dyDescent="0.35">
      <c r="A21" s="4" t="s">
        <v>56</v>
      </c>
      <c r="B21" s="4" t="s">
        <v>55</v>
      </c>
      <c r="C21" s="4" t="s">
        <v>51</v>
      </c>
      <c r="D21" s="154" t="s">
        <v>66</v>
      </c>
      <c r="E21" s="154" t="s">
        <v>66</v>
      </c>
      <c r="F21" s="4"/>
    </row>
    <row r="22" spans="1:6" x14ac:dyDescent="0.35">
      <c r="A22" s="4" t="s">
        <v>56</v>
      </c>
      <c r="B22" s="192" t="s">
        <v>57</v>
      </c>
      <c r="C22" s="192" t="s">
        <v>57</v>
      </c>
      <c r="D22" s="4" t="s">
        <v>50</v>
      </c>
      <c r="E22" s="4" t="s">
        <v>174</v>
      </c>
      <c r="F22" s="4"/>
    </row>
    <row r="23" spans="1:6" x14ac:dyDescent="0.35">
      <c r="A23" s="4" t="s">
        <v>51</v>
      </c>
      <c r="B23" s="192" t="s">
        <v>57</v>
      </c>
      <c r="C23" s="192" t="s">
        <v>57</v>
      </c>
      <c r="D23" s="4" t="s">
        <v>50</v>
      </c>
      <c r="E23" s="4" t="s">
        <v>50</v>
      </c>
      <c r="F23" s="4"/>
    </row>
    <row r="24" spans="1:6" x14ac:dyDescent="0.35">
      <c r="A24" s="4" t="s">
        <v>51</v>
      </c>
      <c r="B24" s="4" t="s">
        <v>49</v>
      </c>
      <c r="C24" s="4" t="s">
        <v>53</v>
      </c>
      <c r="D24" s="4" t="s">
        <v>54</v>
      </c>
      <c r="E24" s="4" t="s">
        <v>50</v>
      </c>
      <c r="F24" s="4"/>
    </row>
    <row r="25" spans="1:6" x14ac:dyDescent="0.35">
      <c r="A25" s="192" t="s">
        <v>57</v>
      </c>
      <c r="B25" s="4" t="s">
        <v>49</v>
      </c>
      <c r="C25" s="4" t="s">
        <v>53</v>
      </c>
      <c r="D25" s="4" t="s">
        <v>54</v>
      </c>
      <c r="E25" s="4" t="s">
        <v>54</v>
      </c>
      <c r="F25" s="4"/>
    </row>
    <row r="26" spans="1:6" x14ac:dyDescent="0.35">
      <c r="A26" s="192" t="s">
        <v>57</v>
      </c>
      <c r="B26" s="4" t="s">
        <v>50</v>
      </c>
      <c r="C26" s="4" t="s">
        <v>49</v>
      </c>
      <c r="D26" s="4" t="s">
        <v>55</v>
      </c>
      <c r="E26" s="4" t="s">
        <v>54</v>
      </c>
      <c r="F26" s="4"/>
    </row>
    <row r="27" spans="1:6" x14ac:dyDescent="0.35">
      <c r="A27" s="4" t="s">
        <v>53</v>
      </c>
      <c r="B27" s="4" t="s">
        <v>50</v>
      </c>
      <c r="C27" s="4" t="s">
        <v>49</v>
      </c>
      <c r="D27" s="4" t="s">
        <v>55</v>
      </c>
      <c r="E27" s="4" t="s">
        <v>55</v>
      </c>
      <c r="F27" s="4"/>
    </row>
    <row r="28" spans="1:6" x14ac:dyDescent="0.35">
      <c r="A28" s="4" t="s">
        <v>53</v>
      </c>
      <c r="B28" s="4" t="s">
        <v>53</v>
      </c>
      <c r="C28" s="4" t="s">
        <v>50</v>
      </c>
      <c r="D28" s="4" t="s">
        <v>53</v>
      </c>
      <c r="E28" s="4" t="s">
        <v>55</v>
      </c>
      <c r="F28" s="4"/>
    </row>
    <row r="29" spans="1:6" x14ac:dyDescent="0.35">
      <c r="A29" s="4" t="s">
        <v>49</v>
      </c>
      <c r="B29" s="4" t="s">
        <v>53</v>
      </c>
      <c r="C29" s="4" t="s">
        <v>50</v>
      </c>
      <c r="D29" s="4" t="s">
        <v>53</v>
      </c>
      <c r="E29" s="4" t="s">
        <v>53</v>
      </c>
      <c r="F29" s="4"/>
    </row>
    <row r="30" spans="1:6" x14ac:dyDescent="0.35">
      <c r="A30" s="4" t="s">
        <v>49</v>
      </c>
      <c r="B30" s="4" t="s">
        <v>55</v>
      </c>
      <c r="C30" s="4" t="s">
        <v>55</v>
      </c>
      <c r="D30" s="4" t="s">
        <v>55</v>
      </c>
      <c r="E30" s="4" t="s">
        <v>53</v>
      </c>
      <c r="F30" s="4"/>
    </row>
    <row r="31" spans="1:6" x14ac:dyDescent="0.35">
      <c r="A31" s="4" t="s">
        <v>50</v>
      </c>
      <c r="B31" s="4" t="s">
        <v>55</v>
      </c>
      <c r="C31" s="4" t="s">
        <v>55</v>
      </c>
      <c r="D31" s="4" t="s">
        <v>55</v>
      </c>
      <c r="E31" s="4" t="s">
        <v>56</v>
      </c>
      <c r="F31" s="4"/>
    </row>
    <row r="32" spans="1:6" x14ac:dyDescent="0.35">
      <c r="A32" s="4" t="s">
        <v>50</v>
      </c>
      <c r="B32" s="4" t="s">
        <v>50</v>
      </c>
      <c r="C32" s="4" t="s">
        <v>53</v>
      </c>
      <c r="D32" s="4" t="s">
        <v>51</v>
      </c>
      <c r="E32" s="4" t="s">
        <v>56</v>
      </c>
      <c r="F32" s="4"/>
    </row>
    <row r="33" spans="1:6" x14ac:dyDescent="0.35">
      <c r="A33" s="4" t="s">
        <v>50</v>
      </c>
      <c r="B33" s="4" t="s">
        <v>50</v>
      </c>
      <c r="C33" s="4" t="s">
        <v>53</v>
      </c>
      <c r="D33" s="4" t="s">
        <v>51</v>
      </c>
      <c r="E33" s="4" t="s">
        <v>51</v>
      </c>
      <c r="F33" s="4"/>
    </row>
    <row r="34" spans="1:6" x14ac:dyDescent="0.35">
      <c r="A34" s="4" t="s">
        <v>174</v>
      </c>
      <c r="B34" s="4" t="s">
        <v>50</v>
      </c>
      <c r="C34" s="4" t="s">
        <v>50</v>
      </c>
      <c r="D34" s="192" t="s">
        <v>57</v>
      </c>
      <c r="E34" s="4" t="s">
        <v>51</v>
      </c>
      <c r="F34" s="4"/>
    </row>
    <row r="35" spans="1:6" x14ac:dyDescent="0.35">
      <c r="A35" s="154" t="s">
        <v>66</v>
      </c>
      <c r="B35" s="154" t="s">
        <v>66</v>
      </c>
      <c r="C35" s="154" t="s">
        <v>66</v>
      </c>
      <c r="D35" s="192" t="s">
        <v>57</v>
      </c>
      <c r="E35" s="192" t="s">
        <v>57</v>
      </c>
      <c r="F35" s="4"/>
    </row>
    <row r="36" spans="1:6" x14ac:dyDescent="0.35">
      <c r="A36" s="154" t="s">
        <v>66</v>
      </c>
      <c r="B36" s="154" t="s">
        <v>66</v>
      </c>
      <c r="C36" s="154" t="s">
        <v>66</v>
      </c>
      <c r="D36" s="4" t="s">
        <v>49</v>
      </c>
      <c r="E36" s="192" t="s">
        <v>57</v>
      </c>
      <c r="F36" s="4"/>
    </row>
    <row r="37" spans="1:6" x14ac:dyDescent="0.35">
      <c r="A37" s="154" t="s">
        <v>66</v>
      </c>
      <c r="B37" s="154" t="s">
        <v>66</v>
      </c>
      <c r="C37" s="154" t="s">
        <v>66</v>
      </c>
      <c r="D37" s="4" t="s">
        <v>49</v>
      </c>
      <c r="E37" s="4" t="s">
        <v>53</v>
      </c>
      <c r="F37" s="4"/>
    </row>
    <row r="38" spans="1:6" x14ac:dyDescent="0.35">
      <c r="A38" s="154" t="s">
        <v>66</v>
      </c>
      <c r="B38" s="154" t="s">
        <v>66</v>
      </c>
      <c r="C38" s="154" t="s">
        <v>66</v>
      </c>
      <c r="D38" s="4" t="s">
        <v>50</v>
      </c>
      <c r="E38" s="4" t="s">
        <v>53</v>
      </c>
      <c r="F38" s="4"/>
    </row>
    <row r="39" spans="1:6" x14ac:dyDescent="0.35">
      <c r="A39" s="154" t="s">
        <v>66</v>
      </c>
      <c r="B39" s="154" t="s">
        <v>66</v>
      </c>
      <c r="C39" s="154" t="s">
        <v>66</v>
      </c>
      <c r="D39" s="4" t="s">
        <v>50</v>
      </c>
      <c r="E39" s="4" t="s">
        <v>49</v>
      </c>
      <c r="F39" s="4"/>
    </row>
    <row r="40" spans="1:6" x14ac:dyDescent="0.35">
      <c r="A40" s="154" t="s">
        <v>66</v>
      </c>
      <c r="B40" s="154" t="s">
        <v>66</v>
      </c>
      <c r="C40" s="154" t="s">
        <v>66</v>
      </c>
      <c r="D40" s="4" t="s">
        <v>53</v>
      </c>
      <c r="E40" s="4" t="s">
        <v>49</v>
      </c>
      <c r="F40" s="4"/>
    </row>
    <row r="41" spans="1:6" x14ac:dyDescent="0.35">
      <c r="A41" s="154" t="s">
        <v>66</v>
      </c>
      <c r="B41" s="154" t="s">
        <v>66</v>
      </c>
      <c r="C41" s="154" t="s">
        <v>66</v>
      </c>
      <c r="D41" s="4" t="s">
        <v>53</v>
      </c>
      <c r="E41" s="4" t="s">
        <v>50</v>
      </c>
      <c r="F41" s="4"/>
    </row>
    <row r="42" spans="1:6" x14ac:dyDescent="0.35">
      <c r="A42" s="154" t="s">
        <v>66</v>
      </c>
      <c r="B42" s="154" t="s">
        <v>66</v>
      </c>
      <c r="C42" s="154" t="s">
        <v>66</v>
      </c>
      <c r="D42" s="4" t="s">
        <v>55</v>
      </c>
      <c r="E42" s="4" t="s">
        <v>50</v>
      </c>
      <c r="F42" s="4"/>
    </row>
    <row r="43" spans="1:6" x14ac:dyDescent="0.35">
      <c r="A43" s="154" t="s">
        <v>66</v>
      </c>
      <c r="B43" s="154" t="s">
        <v>66</v>
      </c>
      <c r="C43" s="154" t="s">
        <v>66</v>
      </c>
      <c r="D43" s="4" t="s">
        <v>55</v>
      </c>
      <c r="E43" s="4" t="s">
        <v>50</v>
      </c>
      <c r="F43" s="4"/>
    </row>
    <row r="44" spans="1:6" x14ac:dyDescent="0.35">
      <c r="A44" s="4" t="s">
        <v>174</v>
      </c>
      <c r="B44" s="4" t="s">
        <v>56</v>
      </c>
      <c r="C44" s="4" t="s">
        <v>50</v>
      </c>
      <c r="D44" s="4" t="s">
        <v>50</v>
      </c>
      <c r="E44" s="4" t="s">
        <v>55</v>
      </c>
      <c r="F44" s="4"/>
    </row>
    <row r="45" spans="1:6" x14ac:dyDescent="0.35">
      <c r="A45" s="4" t="s">
        <v>55</v>
      </c>
      <c r="B45" s="4" t="s">
        <v>56</v>
      </c>
      <c r="C45" s="4" t="s">
        <v>50</v>
      </c>
      <c r="D45" s="4" t="s">
        <v>50</v>
      </c>
      <c r="E45" s="4" t="s">
        <v>55</v>
      </c>
      <c r="F45" s="4"/>
    </row>
    <row r="46" spans="1:6" x14ac:dyDescent="0.35">
      <c r="A46" s="4" t="s">
        <v>55</v>
      </c>
      <c r="B46" s="4" t="s">
        <v>56</v>
      </c>
      <c r="C46" s="4" t="s">
        <v>56</v>
      </c>
      <c r="D46" s="4" t="s">
        <v>50</v>
      </c>
      <c r="E46" s="4" t="s">
        <v>53</v>
      </c>
      <c r="F46" s="4"/>
    </row>
    <row r="47" spans="1:6" x14ac:dyDescent="0.35">
      <c r="A47" s="4" t="s">
        <v>53</v>
      </c>
      <c r="B47" s="4" t="s">
        <v>51</v>
      </c>
      <c r="C47" s="4" t="s">
        <v>56</v>
      </c>
      <c r="D47" s="4" t="s">
        <v>52</v>
      </c>
      <c r="E47" s="4" t="s">
        <v>53</v>
      </c>
      <c r="F47" s="4"/>
    </row>
    <row r="48" spans="1:6" x14ac:dyDescent="0.35">
      <c r="A48" s="4" t="s">
        <v>53</v>
      </c>
      <c r="B48" s="4" t="s">
        <v>51</v>
      </c>
      <c r="C48" s="4" t="s">
        <v>51</v>
      </c>
      <c r="D48" s="4" t="s">
        <v>52</v>
      </c>
      <c r="E48" s="4" t="s">
        <v>50</v>
      </c>
      <c r="F48" s="4"/>
    </row>
    <row r="49" spans="1:6" x14ac:dyDescent="0.35">
      <c r="A49" s="4" t="s">
        <v>50</v>
      </c>
      <c r="B49" s="4" t="s">
        <v>52</v>
      </c>
      <c r="C49" s="4" t="s">
        <v>51</v>
      </c>
      <c r="D49" s="4" t="s">
        <v>174</v>
      </c>
      <c r="E49" s="4" t="s">
        <v>50</v>
      </c>
      <c r="F49" s="4"/>
    </row>
    <row r="50" spans="1:6" x14ac:dyDescent="0.35">
      <c r="A50" s="4" t="s">
        <v>50</v>
      </c>
      <c r="B50" s="4" t="s">
        <v>52</v>
      </c>
      <c r="C50" s="4" t="s">
        <v>52</v>
      </c>
      <c r="D50" s="4" t="s">
        <v>174</v>
      </c>
      <c r="E50" s="4" t="s">
        <v>174</v>
      </c>
      <c r="F50" s="4"/>
    </row>
    <row r="51" spans="1:6" x14ac:dyDescent="0.35">
      <c r="A51" s="4" t="s">
        <v>56</v>
      </c>
      <c r="B51" s="4" t="s">
        <v>174</v>
      </c>
      <c r="C51" s="4" t="s">
        <v>52</v>
      </c>
      <c r="D51" s="4" t="s">
        <v>54</v>
      </c>
      <c r="E51" s="4" t="s">
        <v>174</v>
      </c>
      <c r="F51" s="4"/>
    </row>
    <row r="52" spans="1:6" x14ac:dyDescent="0.35">
      <c r="A52" s="4" t="s">
        <v>56</v>
      </c>
      <c r="B52" s="4" t="s">
        <v>174</v>
      </c>
      <c r="C52" s="4" t="s">
        <v>174</v>
      </c>
      <c r="D52" s="4" t="s">
        <v>56</v>
      </c>
      <c r="E52" s="4" t="s">
        <v>56</v>
      </c>
      <c r="F52" s="4"/>
    </row>
    <row r="53" spans="1:6" x14ac:dyDescent="0.35">
      <c r="A53" s="4" t="s">
        <v>51</v>
      </c>
      <c r="B53" s="4" t="s">
        <v>54</v>
      </c>
      <c r="C53" s="4" t="s">
        <v>174</v>
      </c>
      <c r="D53" s="4" t="s">
        <v>56</v>
      </c>
      <c r="E53" s="4" t="s">
        <v>56</v>
      </c>
      <c r="F53" s="4"/>
    </row>
    <row r="54" spans="1:6" x14ac:dyDescent="0.35">
      <c r="A54" s="4" t="s">
        <v>51</v>
      </c>
      <c r="B54" s="4" t="s">
        <v>49</v>
      </c>
      <c r="C54" s="4" t="s">
        <v>49</v>
      </c>
      <c r="D54" s="4" t="s">
        <v>56</v>
      </c>
      <c r="E54" s="4" t="s">
        <v>51</v>
      </c>
      <c r="F54" s="4"/>
    </row>
    <row r="55" spans="1:6" x14ac:dyDescent="0.35">
      <c r="A55" s="4" t="s">
        <v>51</v>
      </c>
      <c r="B55" s="4" t="s">
        <v>49</v>
      </c>
      <c r="C55" s="4" t="s">
        <v>49</v>
      </c>
      <c r="D55" s="4" t="s">
        <v>51</v>
      </c>
      <c r="E55" s="4" t="s">
        <v>51</v>
      </c>
      <c r="F55" s="4"/>
    </row>
    <row r="56" spans="1:6" x14ac:dyDescent="0.35">
      <c r="A56" s="4" t="s">
        <v>52</v>
      </c>
      <c r="B56" s="154" t="s">
        <v>66</v>
      </c>
      <c r="C56" s="4" t="s">
        <v>54</v>
      </c>
      <c r="D56" s="4" t="s">
        <v>51</v>
      </c>
      <c r="E56" s="4" t="s">
        <v>51</v>
      </c>
      <c r="F56" s="4"/>
    </row>
    <row r="57" spans="1:6" x14ac:dyDescent="0.35">
      <c r="A57" s="4" t="s">
        <v>52</v>
      </c>
      <c r="B57" s="154" t="s">
        <v>66</v>
      </c>
      <c r="C57" s="4" t="s">
        <v>54</v>
      </c>
      <c r="D57" s="154" t="s">
        <v>66</v>
      </c>
      <c r="E57" s="4" t="s">
        <v>52</v>
      </c>
      <c r="F57" s="4"/>
    </row>
    <row r="58" spans="1:6" x14ac:dyDescent="0.35">
      <c r="A58" s="4" t="s">
        <v>52</v>
      </c>
      <c r="B58" s="154" t="s">
        <v>66</v>
      </c>
      <c r="C58" s="4" t="s">
        <v>54</v>
      </c>
      <c r="D58" s="154" t="s">
        <v>66</v>
      </c>
      <c r="E58" s="4" t="s">
        <v>52</v>
      </c>
      <c r="F58" s="4"/>
    </row>
    <row r="59" spans="1:6" x14ac:dyDescent="0.35">
      <c r="A59" s="4" t="s">
        <v>52</v>
      </c>
      <c r="B59" s="154" t="s">
        <v>66</v>
      </c>
      <c r="C59" s="4" t="s">
        <v>52</v>
      </c>
      <c r="D59" s="154" t="s">
        <v>66</v>
      </c>
      <c r="E59" s="154" t="s">
        <v>66</v>
      </c>
      <c r="F59" s="4"/>
    </row>
    <row r="60" spans="1:6" x14ac:dyDescent="0.35">
      <c r="A60" s="4" t="s">
        <v>52</v>
      </c>
      <c r="B60" s="154" t="s">
        <v>66</v>
      </c>
      <c r="C60" s="4" t="s">
        <v>52</v>
      </c>
      <c r="D60" s="154" t="s">
        <v>66</v>
      </c>
      <c r="E60" s="154" t="s">
        <v>66</v>
      </c>
      <c r="F60" s="4"/>
    </row>
    <row r="61" spans="1:6" x14ac:dyDescent="0.35">
      <c r="A61" s="4" t="s">
        <v>51</v>
      </c>
      <c r="B61" s="154" t="s">
        <v>66</v>
      </c>
      <c r="C61" s="4" t="s">
        <v>51</v>
      </c>
      <c r="D61" s="154" t="s">
        <v>66</v>
      </c>
      <c r="E61" s="154" t="s">
        <v>66</v>
      </c>
      <c r="F61" s="4"/>
    </row>
    <row r="62" spans="1:6" x14ac:dyDescent="0.35">
      <c r="A62" s="4" t="s">
        <v>51</v>
      </c>
      <c r="B62" s="154" t="s">
        <v>66</v>
      </c>
      <c r="C62" s="4" t="s">
        <v>51</v>
      </c>
      <c r="D62" s="154" t="s">
        <v>66</v>
      </c>
      <c r="E62" s="154" t="s">
        <v>66</v>
      </c>
      <c r="F62" s="4"/>
    </row>
    <row r="63" spans="1:6" x14ac:dyDescent="0.35">
      <c r="A63" s="4" t="s">
        <v>51</v>
      </c>
      <c r="B63" s="154" t="s">
        <v>66</v>
      </c>
      <c r="C63" s="4" t="s">
        <v>51</v>
      </c>
      <c r="D63" s="154" t="s">
        <v>66</v>
      </c>
      <c r="E63" s="154" t="s">
        <v>66</v>
      </c>
      <c r="F63" s="4"/>
    </row>
    <row r="64" spans="1:6" x14ac:dyDescent="0.35">
      <c r="A64" s="4" t="s">
        <v>49</v>
      </c>
      <c r="B64" s="4" t="s">
        <v>52</v>
      </c>
      <c r="C64" s="4" t="s">
        <v>55</v>
      </c>
      <c r="D64" s="4" t="s">
        <v>54</v>
      </c>
      <c r="E64" s="154" t="s">
        <v>66</v>
      </c>
      <c r="F64" s="4"/>
    </row>
    <row r="65" spans="1:6" x14ac:dyDescent="0.35">
      <c r="A65" s="4" t="s">
        <v>49</v>
      </c>
      <c r="B65" s="4" t="s">
        <v>52</v>
      </c>
      <c r="C65" s="4" t="s">
        <v>55</v>
      </c>
      <c r="D65" s="4" t="s">
        <v>54</v>
      </c>
      <c r="E65" s="4" t="s">
        <v>51</v>
      </c>
      <c r="F65" s="4"/>
    </row>
    <row r="66" spans="1:6" x14ac:dyDescent="0.35">
      <c r="A66" s="4" t="s">
        <v>54</v>
      </c>
      <c r="B66" s="4" t="s">
        <v>51</v>
      </c>
      <c r="C66" s="154" t="s">
        <v>66</v>
      </c>
      <c r="D66" s="4" t="s">
        <v>52</v>
      </c>
      <c r="E66" s="4" t="s">
        <v>51</v>
      </c>
      <c r="F66" s="4"/>
    </row>
    <row r="67" spans="1:6" x14ac:dyDescent="0.35">
      <c r="A67" s="154" t="s">
        <v>66</v>
      </c>
      <c r="B67" s="4" t="s">
        <v>51</v>
      </c>
      <c r="C67" s="154" t="s">
        <v>66</v>
      </c>
      <c r="D67" s="4" t="s">
        <v>52</v>
      </c>
      <c r="E67" s="4" t="s">
        <v>54</v>
      </c>
      <c r="F67" s="4"/>
    </row>
    <row r="68" spans="1:6" x14ac:dyDescent="0.35">
      <c r="A68" s="154" t="s">
        <v>66</v>
      </c>
      <c r="B68" s="4" t="s">
        <v>51</v>
      </c>
      <c r="C68" s="154" t="s">
        <v>66</v>
      </c>
      <c r="D68" s="4" t="s">
        <v>51</v>
      </c>
      <c r="E68" s="4" t="s">
        <v>54</v>
      </c>
      <c r="F68" s="4"/>
    </row>
    <row r="69" spans="1:6" x14ac:dyDescent="0.35">
      <c r="A69" s="154" t="s">
        <v>66</v>
      </c>
      <c r="B69" s="4" t="s">
        <v>54</v>
      </c>
      <c r="C69" s="154" t="s">
        <v>66</v>
      </c>
      <c r="D69" s="4" t="s">
        <v>51</v>
      </c>
      <c r="E69" s="4" t="s">
        <v>54</v>
      </c>
      <c r="F69" s="4"/>
    </row>
    <row r="70" spans="1:6" x14ac:dyDescent="0.35">
      <c r="A70" s="154" t="s">
        <v>66</v>
      </c>
      <c r="B70" s="4" t="s">
        <v>54</v>
      </c>
      <c r="C70" s="154" t="s">
        <v>66</v>
      </c>
      <c r="D70" s="4" t="s">
        <v>51</v>
      </c>
      <c r="E70" s="4" t="s">
        <v>52</v>
      </c>
      <c r="F70" s="4"/>
    </row>
    <row r="71" spans="1:6" x14ac:dyDescent="0.35">
      <c r="A71" s="154" t="s">
        <v>66</v>
      </c>
      <c r="B71" s="4" t="s">
        <v>49</v>
      </c>
      <c r="C71" s="154" t="s">
        <v>66</v>
      </c>
      <c r="D71" s="4" t="s">
        <v>49</v>
      </c>
      <c r="E71" s="4" t="s">
        <v>52</v>
      </c>
      <c r="F71" s="4"/>
    </row>
    <row r="72" spans="1:6" x14ac:dyDescent="0.35">
      <c r="A72" s="154" t="s">
        <v>66</v>
      </c>
      <c r="B72" s="4" t="s">
        <v>49</v>
      </c>
      <c r="C72" s="154" t="s">
        <v>66</v>
      </c>
      <c r="D72" s="4" t="s">
        <v>49</v>
      </c>
      <c r="E72" s="4" t="s">
        <v>52</v>
      </c>
      <c r="F72" s="4"/>
    </row>
    <row r="73" spans="1:6" x14ac:dyDescent="0.35">
      <c r="A73" s="154" t="s">
        <v>66</v>
      </c>
      <c r="B73" s="192" t="s">
        <v>57</v>
      </c>
      <c r="C73" s="154" t="s">
        <v>66</v>
      </c>
      <c r="D73" s="4" t="s">
        <v>52</v>
      </c>
      <c r="E73" s="4" t="s">
        <v>49</v>
      </c>
      <c r="F73" s="4"/>
    </row>
    <row r="74" spans="1:6" x14ac:dyDescent="0.35">
      <c r="A74" s="154" t="s">
        <v>66</v>
      </c>
      <c r="B74" s="4" t="s">
        <v>52</v>
      </c>
      <c r="C74" s="4" t="s">
        <v>49</v>
      </c>
      <c r="D74" s="4" t="s">
        <v>49</v>
      </c>
      <c r="E74" s="4" t="s">
        <v>49</v>
      </c>
      <c r="F74" s="4"/>
    </row>
    <row r="75" spans="1:6" x14ac:dyDescent="0.35">
      <c r="A75" s="4" t="s">
        <v>54</v>
      </c>
      <c r="B75" s="4" t="s">
        <v>49</v>
      </c>
      <c r="C75" s="4" t="s">
        <v>49</v>
      </c>
      <c r="D75" s="4" t="s">
        <v>52</v>
      </c>
      <c r="E75" s="4" t="s">
        <v>52</v>
      </c>
      <c r="F75" s="4"/>
    </row>
    <row r="76" spans="1:6" x14ac:dyDescent="0.35">
      <c r="A76" s="4" t="s">
        <v>54</v>
      </c>
      <c r="B76" s="4" t="s">
        <v>52</v>
      </c>
      <c r="C76" s="4" t="s">
        <v>52</v>
      </c>
      <c r="D76" s="4" t="s">
        <v>52</v>
      </c>
      <c r="E76" s="4" t="s">
        <v>52</v>
      </c>
      <c r="F76" s="4"/>
    </row>
    <row r="77" spans="1:6" x14ac:dyDescent="0.35">
      <c r="A77" s="4" t="s">
        <v>52</v>
      </c>
      <c r="B77" s="4" t="s">
        <v>52</v>
      </c>
      <c r="C77" s="4" t="s">
        <v>49</v>
      </c>
      <c r="D77" s="4" t="s">
        <v>52</v>
      </c>
      <c r="E77" s="4" t="s">
        <v>49</v>
      </c>
      <c r="F77" s="4"/>
    </row>
    <row r="78" spans="1:6" x14ac:dyDescent="0.35">
      <c r="A78" s="4" t="s">
        <v>52</v>
      </c>
      <c r="B78" s="4" t="s">
        <v>52</v>
      </c>
      <c r="C78" s="4" t="s">
        <v>56</v>
      </c>
      <c r="D78" s="4" t="s">
        <v>54</v>
      </c>
      <c r="E78" s="4" t="s">
        <v>52</v>
      </c>
      <c r="F78" s="4"/>
    </row>
    <row r="79" spans="1:6" x14ac:dyDescent="0.35">
      <c r="A79" s="4" t="s">
        <v>49</v>
      </c>
      <c r="B79" s="4" t="s">
        <v>54</v>
      </c>
      <c r="C79" s="4" t="s">
        <v>56</v>
      </c>
      <c r="D79" s="4" t="s">
        <v>54</v>
      </c>
      <c r="E79" s="4" t="s">
        <v>52</v>
      </c>
      <c r="F79" s="4"/>
    </row>
    <row r="80" spans="1:6" x14ac:dyDescent="0.35">
      <c r="A80" s="4" t="s">
        <v>52</v>
      </c>
      <c r="B80" s="4" t="s">
        <v>54</v>
      </c>
      <c r="C80" s="4" t="s">
        <v>52</v>
      </c>
      <c r="D80" s="4" t="s">
        <v>51</v>
      </c>
      <c r="E80" s="4" t="s">
        <v>52</v>
      </c>
      <c r="F80" s="4"/>
    </row>
    <row r="81" spans="1:6" x14ac:dyDescent="0.35">
      <c r="A81" s="4" t="s">
        <v>52</v>
      </c>
      <c r="B81" s="4" t="s">
        <v>51</v>
      </c>
      <c r="C81" s="4" t="s">
        <v>52</v>
      </c>
      <c r="D81" s="4" t="s">
        <v>51</v>
      </c>
      <c r="E81" s="4" t="s">
        <v>54</v>
      </c>
      <c r="F81" s="4"/>
    </row>
    <row r="82" spans="1:6" x14ac:dyDescent="0.35">
      <c r="A82" s="4" t="s">
        <v>52</v>
      </c>
      <c r="B82" s="4" t="s">
        <v>51</v>
      </c>
      <c r="C82" s="4" t="s">
        <v>52</v>
      </c>
      <c r="D82" s="4" t="s">
        <v>49</v>
      </c>
      <c r="E82" s="4" t="s">
        <v>54</v>
      </c>
      <c r="F82" s="4"/>
    </row>
    <row r="83" spans="1:6" x14ac:dyDescent="0.35">
      <c r="A83" s="4" t="s">
        <v>54</v>
      </c>
      <c r="B83" s="4" t="s">
        <v>49</v>
      </c>
      <c r="C83" s="4" t="s">
        <v>54</v>
      </c>
      <c r="D83" s="4" t="s">
        <v>49</v>
      </c>
      <c r="E83" s="4" t="s">
        <v>51</v>
      </c>
      <c r="F83" s="4"/>
    </row>
    <row r="84" spans="1:6" x14ac:dyDescent="0.35">
      <c r="A84" s="4" t="s">
        <v>54</v>
      </c>
      <c r="B84" s="4" t="s">
        <v>49</v>
      </c>
      <c r="C84" s="4" t="s">
        <v>54</v>
      </c>
      <c r="D84" s="4" t="s">
        <v>49</v>
      </c>
      <c r="E84" s="4" t="s">
        <v>51</v>
      </c>
      <c r="F84" s="4"/>
    </row>
    <row r="85" spans="1:6" x14ac:dyDescent="0.35">
      <c r="A85" s="4" t="s">
        <v>51</v>
      </c>
      <c r="B85" s="4" t="s">
        <v>49</v>
      </c>
      <c r="C85" s="4" t="s">
        <v>51</v>
      </c>
      <c r="D85" s="4" t="s">
        <v>50</v>
      </c>
      <c r="E85" s="4" t="s">
        <v>51</v>
      </c>
      <c r="F85" s="4"/>
    </row>
    <row r="86" spans="1:6" x14ac:dyDescent="0.35">
      <c r="A86" s="4" t="s">
        <v>51</v>
      </c>
      <c r="B86" s="4" t="s">
        <v>50</v>
      </c>
      <c r="C86" s="4" t="s">
        <v>51</v>
      </c>
      <c r="D86" s="4" t="s">
        <v>50</v>
      </c>
      <c r="E86" s="4" t="s">
        <v>49</v>
      </c>
      <c r="F86" s="4"/>
    </row>
    <row r="87" spans="1:6" x14ac:dyDescent="0.35">
      <c r="A87" s="4" t="s">
        <v>51</v>
      </c>
      <c r="B87" s="4" t="s">
        <v>50</v>
      </c>
      <c r="C87" s="4" t="s">
        <v>49</v>
      </c>
      <c r="D87" s="4" t="s">
        <v>50</v>
      </c>
      <c r="E87" s="4" t="s">
        <v>49</v>
      </c>
      <c r="F87" s="4"/>
    </row>
    <row r="88" spans="1:6" x14ac:dyDescent="0.35">
      <c r="A88" s="4" t="s">
        <v>49</v>
      </c>
      <c r="B88" s="4" t="s">
        <v>50</v>
      </c>
      <c r="C88" s="4" t="s">
        <v>49</v>
      </c>
      <c r="D88" s="4" t="s">
        <v>56</v>
      </c>
      <c r="E88" s="4" t="s">
        <v>49</v>
      </c>
      <c r="F88" s="4"/>
    </row>
    <row r="89" spans="1:6" x14ac:dyDescent="0.35">
      <c r="A89" s="4" t="s">
        <v>49</v>
      </c>
      <c r="B89" s="4" t="s">
        <v>56</v>
      </c>
      <c r="C89" s="4" t="s">
        <v>49</v>
      </c>
      <c r="D89" s="4" t="s">
        <v>56</v>
      </c>
      <c r="E89" s="4" t="s">
        <v>50</v>
      </c>
      <c r="F89" s="4"/>
    </row>
    <row r="90" spans="1:6" x14ac:dyDescent="0.35">
      <c r="A90" s="4" t="s">
        <v>49</v>
      </c>
      <c r="B90" s="4" t="s">
        <v>56</v>
      </c>
      <c r="C90" s="4" t="s">
        <v>50</v>
      </c>
      <c r="D90" s="4" t="s">
        <v>53</v>
      </c>
      <c r="E90" s="4" t="s">
        <v>50</v>
      </c>
      <c r="F90" s="4"/>
    </row>
    <row r="91" spans="1:6" x14ac:dyDescent="0.35">
      <c r="A91" s="4" t="s">
        <v>50</v>
      </c>
      <c r="B91" s="4" t="s">
        <v>53</v>
      </c>
      <c r="C91" s="4" t="s">
        <v>50</v>
      </c>
      <c r="D91" s="4" t="s">
        <v>53</v>
      </c>
      <c r="E91" s="4" t="s">
        <v>50</v>
      </c>
      <c r="F91" s="4"/>
    </row>
    <row r="92" spans="1:6" x14ac:dyDescent="0.35">
      <c r="A92" s="4" t="s">
        <v>50</v>
      </c>
      <c r="B92" s="4" t="s">
        <v>53</v>
      </c>
      <c r="C92" s="4" t="s">
        <v>56</v>
      </c>
      <c r="D92" s="4" t="s">
        <v>53</v>
      </c>
      <c r="E92" s="4" t="s">
        <v>56</v>
      </c>
      <c r="F92" s="4"/>
    </row>
    <row r="93" spans="1:6" x14ac:dyDescent="0.35">
      <c r="A93" s="4" t="s">
        <v>50</v>
      </c>
      <c r="B93" s="4" t="s">
        <v>53</v>
      </c>
      <c r="C93" s="4" t="s">
        <v>56</v>
      </c>
      <c r="D93" s="4" t="s">
        <v>52</v>
      </c>
      <c r="E93" s="4" t="s">
        <v>56</v>
      </c>
      <c r="F93" s="4"/>
    </row>
    <row r="94" spans="1:6" x14ac:dyDescent="0.35">
      <c r="A94" s="4" t="s">
        <v>56</v>
      </c>
      <c r="B94" s="4" t="s">
        <v>52</v>
      </c>
      <c r="C94" s="4" t="s">
        <v>53</v>
      </c>
      <c r="D94" s="4" t="s">
        <v>52</v>
      </c>
      <c r="E94" s="4" t="s">
        <v>53</v>
      </c>
      <c r="F94" s="4"/>
    </row>
    <row r="95" spans="1:6" x14ac:dyDescent="0.35">
      <c r="A95" s="4" t="s">
        <v>56</v>
      </c>
      <c r="B95" s="4" t="s">
        <v>52</v>
      </c>
      <c r="C95" s="4" t="s">
        <v>53</v>
      </c>
      <c r="D95" s="4" t="s">
        <v>50</v>
      </c>
      <c r="E95" s="4" t="s">
        <v>53</v>
      </c>
      <c r="F95" s="4"/>
    </row>
    <row r="96" spans="1:6" x14ac:dyDescent="0.35">
      <c r="A96" s="4" t="s">
        <v>53</v>
      </c>
      <c r="B96" s="4" t="s">
        <v>50</v>
      </c>
      <c r="C96" s="4" t="s">
        <v>53</v>
      </c>
      <c r="D96" s="4" t="s">
        <v>50</v>
      </c>
      <c r="E96" s="4" t="s">
        <v>53</v>
      </c>
      <c r="F96" s="4"/>
    </row>
    <row r="97" spans="1:6" x14ac:dyDescent="0.35">
      <c r="A97" s="4" t="s">
        <v>53</v>
      </c>
      <c r="B97" s="4" t="s">
        <v>50</v>
      </c>
      <c r="C97" s="4" t="s">
        <v>52</v>
      </c>
      <c r="D97" s="4" t="s">
        <v>49</v>
      </c>
      <c r="E97" s="4" t="s">
        <v>52</v>
      </c>
      <c r="F97" s="4"/>
    </row>
    <row r="98" spans="1:6" x14ac:dyDescent="0.35">
      <c r="A98" s="4" t="s">
        <v>53</v>
      </c>
      <c r="B98" s="4" t="s">
        <v>49</v>
      </c>
      <c r="C98" s="4" t="s">
        <v>52</v>
      </c>
      <c r="D98" s="4" t="s">
        <v>49</v>
      </c>
      <c r="E98" s="4" t="s">
        <v>52</v>
      </c>
      <c r="F98" s="4"/>
    </row>
    <row r="99" spans="1:6" x14ac:dyDescent="0.35">
      <c r="A99" s="4" t="s">
        <v>52</v>
      </c>
      <c r="B99" s="4" t="s">
        <v>49</v>
      </c>
      <c r="C99" s="4" t="s">
        <v>50</v>
      </c>
      <c r="D99" s="4" t="s">
        <v>52</v>
      </c>
      <c r="E99" s="4" t="s">
        <v>50</v>
      </c>
      <c r="F99" s="4"/>
    </row>
    <row r="100" spans="1:6" x14ac:dyDescent="0.35">
      <c r="A100" s="4" t="s">
        <v>52</v>
      </c>
      <c r="B100" s="4" t="s">
        <v>52</v>
      </c>
      <c r="C100" s="4" t="s">
        <v>50</v>
      </c>
      <c r="D100" s="4" t="s">
        <v>52</v>
      </c>
      <c r="E100" s="4" t="s">
        <v>50</v>
      </c>
      <c r="F100" s="4"/>
    </row>
    <row r="101" spans="1:6" x14ac:dyDescent="0.35">
      <c r="A101" s="4" t="s">
        <v>50</v>
      </c>
      <c r="B101" s="4" t="s">
        <v>52</v>
      </c>
      <c r="C101" s="4" t="s">
        <v>50</v>
      </c>
      <c r="D101" s="4" t="s">
        <v>174</v>
      </c>
      <c r="E101" s="4" t="s">
        <v>49</v>
      </c>
      <c r="F101" s="4"/>
    </row>
    <row r="102" spans="1:6" x14ac:dyDescent="0.35">
      <c r="A102" s="4" t="s">
        <v>50</v>
      </c>
      <c r="B102" s="4" t="s">
        <v>174</v>
      </c>
      <c r="C102" s="4" t="s">
        <v>49</v>
      </c>
      <c r="D102" s="4" t="s">
        <v>174</v>
      </c>
      <c r="E102" s="4" t="s">
        <v>49</v>
      </c>
      <c r="F102" s="4"/>
    </row>
    <row r="103" spans="1:6" x14ac:dyDescent="0.35">
      <c r="A103" s="4" t="s">
        <v>49</v>
      </c>
      <c r="B103" s="4" t="s">
        <v>174</v>
      </c>
      <c r="C103" s="4" t="s">
        <v>49</v>
      </c>
      <c r="D103" s="4" t="s">
        <v>174</v>
      </c>
      <c r="E103" s="4" t="s">
        <v>52</v>
      </c>
      <c r="F103" s="4"/>
    </row>
    <row r="104" spans="1:6" x14ac:dyDescent="0.35">
      <c r="A104" s="4" t="s">
        <v>49</v>
      </c>
      <c r="B104" s="4" t="s">
        <v>174</v>
      </c>
      <c r="C104" s="4" t="s">
        <v>52</v>
      </c>
      <c r="D104" s="4" t="s">
        <v>52</v>
      </c>
      <c r="E104" s="4" t="s">
        <v>52</v>
      </c>
      <c r="F104" s="4"/>
    </row>
    <row r="105" spans="1:6" x14ac:dyDescent="0.35">
      <c r="A105" s="4" t="s">
        <v>52</v>
      </c>
      <c r="B105" s="4" t="s">
        <v>52</v>
      </c>
      <c r="C105" s="4" t="s">
        <v>52</v>
      </c>
      <c r="D105" s="4" t="s">
        <v>54</v>
      </c>
      <c r="E105" s="4" t="s">
        <v>174</v>
      </c>
      <c r="F105" s="4"/>
    </row>
    <row r="106" spans="1:6" x14ac:dyDescent="0.35">
      <c r="A106" s="4" t="s">
        <v>52</v>
      </c>
      <c r="B106" s="4" t="s">
        <v>54</v>
      </c>
      <c r="C106" s="4" t="s">
        <v>174</v>
      </c>
      <c r="D106" s="4" t="s">
        <v>52</v>
      </c>
      <c r="E106" s="4" t="s">
        <v>174</v>
      </c>
      <c r="F106" s="4"/>
    </row>
    <row r="107" spans="1:6" x14ac:dyDescent="0.35">
      <c r="A107" s="4" t="s">
        <v>174</v>
      </c>
      <c r="B107" s="4" t="s">
        <v>52</v>
      </c>
      <c r="C107" s="4" t="s">
        <v>174</v>
      </c>
      <c r="D107" s="4" t="s">
        <v>54</v>
      </c>
      <c r="E107" s="4" t="s">
        <v>174</v>
      </c>
      <c r="F107" s="4"/>
    </row>
    <row r="108" spans="1:6" x14ac:dyDescent="0.35">
      <c r="A108" s="4" t="s">
        <v>174</v>
      </c>
      <c r="B108" s="4" t="s">
        <v>54</v>
      </c>
      <c r="C108" s="4" t="s">
        <v>174</v>
      </c>
      <c r="D108" s="4" t="s">
        <v>174</v>
      </c>
      <c r="E108" s="4" t="s">
        <v>54</v>
      </c>
      <c r="F108" s="4"/>
    </row>
    <row r="109" spans="1:6" x14ac:dyDescent="0.35">
      <c r="A109" s="4" t="s">
        <v>174</v>
      </c>
      <c r="B109" s="4" t="s">
        <v>174</v>
      </c>
      <c r="C109" s="4" t="s">
        <v>52</v>
      </c>
      <c r="D109" s="4" t="s">
        <v>174</v>
      </c>
      <c r="E109" s="4" t="s">
        <v>54</v>
      </c>
      <c r="F109" s="4"/>
    </row>
    <row r="110" spans="1:6" x14ac:dyDescent="0.35">
      <c r="A110" s="4" t="s">
        <v>54</v>
      </c>
      <c r="B110" s="4" t="s">
        <v>174</v>
      </c>
      <c r="C110" s="4" t="s">
        <v>52</v>
      </c>
      <c r="D110" s="4" t="s">
        <v>174</v>
      </c>
      <c r="E110" s="4" t="s">
        <v>174</v>
      </c>
      <c r="F110" s="4"/>
    </row>
    <row r="111" spans="1:6" x14ac:dyDescent="0.35">
      <c r="A111" s="4" t="s">
        <v>54</v>
      </c>
      <c r="B111" s="4" t="s">
        <v>174</v>
      </c>
      <c r="C111" s="4" t="s">
        <v>54</v>
      </c>
      <c r="D111" s="4" t="s">
        <v>55</v>
      </c>
      <c r="E111" s="4" t="s">
        <v>174</v>
      </c>
      <c r="F111" s="4"/>
    </row>
    <row r="112" spans="1:6" x14ac:dyDescent="0.35">
      <c r="A112" s="4" t="s">
        <v>174</v>
      </c>
      <c r="B112" s="4" t="s">
        <v>55</v>
      </c>
      <c r="C112" s="4" t="s">
        <v>54</v>
      </c>
      <c r="D112" s="4" t="s">
        <v>55</v>
      </c>
      <c r="E112" s="4" t="s">
        <v>174</v>
      </c>
      <c r="F112" s="4"/>
    </row>
    <row r="113" spans="1:6" x14ac:dyDescent="0.35">
      <c r="A113" s="4" t="s">
        <v>174</v>
      </c>
      <c r="B113" s="4" t="s">
        <v>55</v>
      </c>
      <c r="C113" s="4" t="s">
        <v>54</v>
      </c>
      <c r="D113" s="4" t="s">
        <v>51</v>
      </c>
      <c r="E113" s="4" t="s">
        <v>55</v>
      </c>
      <c r="F113" s="4"/>
    </row>
    <row r="114" spans="1:6" x14ac:dyDescent="0.35">
      <c r="A114" s="4" t="s">
        <v>174</v>
      </c>
      <c r="B114" s="4" t="s">
        <v>51</v>
      </c>
      <c r="C114" s="4" t="s">
        <v>174</v>
      </c>
      <c r="D114" s="4" t="s">
        <v>51</v>
      </c>
      <c r="E114" s="4" t="s">
        <v>55</v>
      </c>
      <c r="F114" s="4"/>
    </row>
    <row r="115" spans="1:6" x14ac:dyDescent="0.35">
      <c r="A115" s="4" t="s">
        <v>55</v>
      </c>
      <c r="B115" s="4" t="s">
        <v>51</v>
      </c>
      <c r="C115" s="4" t="s">
        <v>174</v>
      </c>
      <c r="D115" s="4" t="s">
        <v>56</v>
      </c>
      <c r="E115" s="4" t="s">
        <v>56</v>
      </c>
      <c r="F115" s="4"/>
    </row>
    <row r="116" spans="1:6" x14ac:dyDescent="0.35">
      <c r="A116" s="4" t="s">
        <v>55</v>
      </c>
      <c r="B116" s="4" t="s">
        <v>56</v>
      </c>
      <c r="C116" s="4" t="s">
        <v>174</v>
      </c>
      <c r="D116" s="4"/>
      <c r="E116" s="4"/>
      <c r="F116" s="4"/>
    </row>
    <row r="117" spans="1:6" x14ac:dyDescent="0.35">
      <c r="A117" s="4" t="s">
        <v>56</v>
      </c>
      <c r="B117" s="4"/>
      <c r="C117" s="4" t="s">
        <v>51</v>
      </c>
      <c r="D117" s="4"/>
      <c r="E117" s="4"/>
      <c r="F117" s="4"/>
    </row>
    <row r="118" spans="1:6" x14ac:dyDescent="0.35">
      <c r="A118" s="4"/>
      <c r="B118" s="4"/>
      <c r="C118" s="4" t="s">
        <v>51</v>
      </c>
      <c r="D118" s="4"/>
      <c r="E118" s="4"/>
      <c r="F118" s="4"/>
    </row>
    <row r="119" spans="1:6" x14ac:dyDescent="0.35">
      <c r="A119" s="4"/>
      <c r="B119" s="4"/>
      <c r="C119" s="4" t="s">
        <v>56</v>
      </c>
      <c r="D119" s="4"/>
      <c r="E119" s="4"/>
      <c r="F119" s="4"/>
    </row>
    <row r="120" spans="1:6" x14ac:dyDescent="0.35">
      <c r="A120" s="4"/>
      <c r="B120" s="4"/>
      <c r="C120" s="4"/>
      <c r="D120" s="4"/>
      <c r="E120" s="4"/>
      <c r="F120" s="4"/>
    </row>
    <row r="121" spans="1:6" x14ac:dyDescent="0.35">
      <c r="A121" s="4"/>
      <c r="B121" s="4"/>
      <c r="C121" s="4"/>
      <c r="D121" s="4"/>
      <c r="E121" s="4"/>
      <c r="F121" s="4"/>
    </row>
    <row r="122" spans="1:6" x14ac:dyDescent="0.35">
      <c r="A122" s="4"/>
      <c r="B122" s="4"/>
      <c r="C122" s="4"/>
      <c r="D122" s="4"/>
      <c r="E122" s="4"/>
      <c r="F122" s="4"/>
    </row>
    <row r="123" spans="1:6" x14ac:dyDescent="0.35">
      <c r="A123" s="4"/>
      <c r="B123" s="4"/>
      <c r="C123" s="4"/>
      <c r="D123" s="4"/>
      <c r="E123" s="4"/>
      <c r="F123" s="4"/>
    </row>
    <row r="124" spans="1:6" x14ac:dyDescent="0.35">
      <c r="A124" s="4"/>
      <c r="B124" s="4"/>
      <c r="C124" s="4"/>
      <c r="D124" s="4"/>
      <c r="E124" s="4"/>
      <c r="F124" s="4"/>
    </row>
    <row r="125" spans="1:6" x14ac:dyDescent="0.35">
      <c r="A125" s="4"/>
      <c r="B125" s="4"/>
      <c r="C125" s="4"/>
      <c r="D125" s="4"/>
      <c r="E125" s="4"/>
      <c r="F125" s="4"/>
    </row>
    <row r="126" spans="1:6" x14ac:dyDescent="0.35">
      <c r="A126" s="4"/>
      <c r="B126" s="4"/>
      <c r="C126" s="4"/>
      <c r="D126" s="4"/>
      <c r="E126" s="4"/>
      <c r="F126" s="4"/>
    </row>
    <row r="127" spans="1:6" x14ac:dyDescent="0.35">
      <c r="A127" s="4"/>
      <c r="B127" s="4"/>
      <c r="C127" s="4"/>
      <c r="D127" s="4"/>
      <c r="E127" s="4"/>
      <c r="F127" s="4"/>
    </row>
    <row r="128" spans="1:6" x14ac:dyDescent="0.35">
      <c r="A128" s="4"/>
      <c r="B128" s="4"/>
      <c r="C128" s="4"/>
      <c r="D128" s="4"/>
      <c r="E128" s="4"/>
      <c r="F128" s="4"/>
    </row>
    <row r="129" spans="1:6" x14ac:dyDescent="0.35">
      <c r="A129" s="4"/>
      <c r="B129" s="4"/>
      <c r="C129" s="4"/>
      <c r="D129" s="4"/>
      <c r="E129" s="4"/>
      <c r="F129" s="4"/>
    </row>
    <row r="130" spans="1:6" x14ac:dyDescent="0.35">
      <c r="A130" s="4"/>
      <c r="B130" s="4"/>
      <c r="C130" s="4"/>
      <c r="D130" s="4"/>
      <c r="E130" s="4"/>
      <c r="F130" s="4"/>
    </row>
    <row r="131" spans="1:6" x14ac:dyDescent="0.35">
      <c r="A131" s="4"/>
      <c r="B131" s="4"/>
      <c r="C131" s="4"/>
      <c r="D131" s="4"/>
      <c r="E131" s="4"/>
      <c r="F131" s="4"/>
    </row>
    <row r="132" spans="1:6" x14ac:dyDescent="0.35">
      <c r="A132" s="4"/>
      <c r="B132" s="4"/>
      <c r="C132" s="4"/>
      <c r="D132" s="4"/>
      <c r="E132" s="4"/>
      <c r="F132" s="4"/>
    </row>
    <row r="133" spans="1:6" x14ac:dyDescent="0.35">
      <c r="A133" s="4"/>
      <c r="B133" s="4"/>
      <c r="C133" s="4"/>
      <c r="D133" s="4"/>
      <c r="E133" s="4"/>
      <c r="F133" s="4"/>
    </row>
    <row r="134" spans="1:6" x14ac:dyDescent="0.35">
      <c r="A134" s="4"/>
      <c r="B134" s="4"/>
      <c r="C134" s="4"/>
      <c r="D134" s="4"/>
      <c r="E134" s="4"/>
      <c r="F134" s="4"/>
    </row>
    <row r="135" spans="1:6" x14ac:dyDescent="0.35">
      <c r="A135" s="4"/>
      <c r="B135" s="4"/>
      <c r="C135" s="4"/>
      <c r="D135" s="4"/>
      <c r="E135" s="4"/>
      <c r="F135" s="4"/>
    </row>
    <row r="136" spans="1:6" x14ac:dyDescent="0.35">
      <c r="A136" s="4"/>
      <c r="B136" s="4"/>
      <c r="C136" s="4"/>
      <c r="D136" s="4"/>
      <c r="E136" s="4"/>
      <c r="F136" s="4"/>
    </row>
    <row r="137" spans="1:6" x14ac:dyDescent="0.35">
      <c r="A137" s="4"/>
      <c r="B137" s="4"/>
      <c r="C137" s="4"/>
      <c r="D137" s="4"/>
      <c r="E137" s="4"/>
      <c r="F137" s="4"/>
    </row>
    <row r="138" spans="1:6" x14ac:dyDescent="0.35">
      <c r="A138" s="4"/>
      <c r="B138" s="4"/>
      <c r="C138" s="4"/>
      <c r="D138" s="4"/>
      <c r="E138" s="4"/>
      <c r="F138" s="4"/>
    </row>
    <row r="139" spans="1:6" x14ac:dyDescent="0.35">
      <c r="A139" s="4"/>
      <c r="B139" s="4"/>
      <c r="C139" s="4"/>
      <c r="D139" s="4"/>
      <c r="E139" s="4"/>
      <c r="F139" s="4"/>
    </row>
    <row r="140" spans="1:6" x14ac:dyDescent="0.35">
      <c r="A140" s="4"/>
      <c r="B140" s="4"/>
      <c r="C140" s="4"/>
      <c r="D140" s="4"/>
      <c r="E140" s="4"/>
      <c r="F140" s="4"/>
    </row>
    <row r="141" spans="1:6" x14ac:dyDescent="0.35">
      <c r="A141" s="4"/>
      <c r="B141" s="4"/>
      <c r="C141" s="4"/>
      <c r="D141" s="4"/>
      <c r="E141" s="4"/>
      <c r="F141" s="4"/>
    </row>
    <row r="142" spans="1:6" x14ac:dyDescent="0.35">
      <c r="A142" s="4"/>
      <c r="B142" s="4"/>
      <c r="C142" s="4"/>
      <c r="D142" s="4"/>
      <c r="E142" s="4"/>
      <c r="F142" s="4"/>
    </row>
    <row r="143" spans="1:6" x14ac:dyDescent="0.35">
      <c r="A143" s="4"/>
      <c r="B143" s="4"/>
      <c r="C143" s="4"/>
      <c r="D143" s="4"/>
      <c r="E143" s="4"/>
      <c r="F143" s="4"/>
    </row>
    <row r="144" spans="1:6" x14ac:dyDescent="0.35">
      <c r="A144" s="4"/>
      <c r="B144" s="4"/>
      <c r="C144" s="4"/>
      <c r="D144" s="4"/>
      <c r="E144" s="4"/>
      <c r="F144" s="4"/>
    </row>
    <row r="145" spans="1:6" x14ac:dyDescent="0.35">
      <c r="A145" s="4"/>
      <c r="B145" s="4"/>
      <c r="C145" s="4"/>
      <c r="D145" s="4"/>
      <c r="E145" s="4"/>
      <c r="F145" s="4"/>
    </row>
    <row r="146" spans="1:6" x14ac:dyDescent="0.35">
      <c r="A146" s="4"/>
      <c r="B146" s="4"/>
      <c r="C146" s="4"/>
      <c r="D146" s="4"/>
      <c r="E146" s="4"/>
      <c r="F146" s="4"/>
    </row>
    <row r="147" spans="1:6" x14ac:dyDescent="0.35">
      <c r="A147" s="4"/>
      <c r="B147" s="4"/>
      <c r="C147" s="4"/>
      <c r="D147" s="4"/>
      <c r="E147" s="4"/>
      <c r="F147" s="4"/>
    </row>
    <row r="148" spans="1:6" x14ac:dyDescent="0.35">
      <c r="A148" s="4"/>
      <c r="B148" s="4"/>
      <c r="C148" s="4"/>
      <c r="D148" s="4"/>
      <c r="E148" s="4"/>
      <c r="F148" s="4"/>
    </row>
    <row r="149" spans="1:6" x14ac:dyDescent="0.35">
      <c r="A149" s="4"/>
      <c r="B149" s="4"/>
      <c r="C149" s="4"/>
      <c r="D149" s="4"/>
      <c r="E149" s="4"/>
      <c r="F149" s="4"/>
    </row>
    <row r="150" spans="1:6" x14ac:dyDescent="0.35">
      <c r="A150" s="4"/>
      <c r="B150" s="4"/>
      <c r="C150" s="4"/>
      <c r="D150" s="4"/>
      <c r="E150" s="4"/>
      <c r="F150" s="4"/>
    </row>
    <row r="151" spans="1:6" x14ac:dyDescent="0.35">
      <c r="A151" s="4"/>
      <c r="B151" s="4"/>
      <c r="C151" s="4"/>
      <c r="D151" s="4"/>
      <c r="E151" s="4"/>
      <c r="F151" s="4"/>
    </row>
    <row r="152" spans="1:6" x14ac:dyDescent="0.35">
      <c r="A152" s="4"/>
      <c r="B152" s="4"/>
      <c r="C152" s="4"/>
      <c r="D152" s="4"/>
      <c r="E152" s="4"/>
      <c r="F152" s="4"/>
    </row>
    <row r="153" spans="1:6" x14ac:dyDescent="0.35">
      <c r="A153" s="4"/>
      <c r="B153" s="4"/>
      <c r="C153" s="4"/>
      <c r="D153" s="4"/>
      <c r="E153" s="4"/>
      <c r="F153" s="4"/>
    </row>
    <row r="154" spans="1:6" x14ac:dyDescent="0.35">
      <c r="A154" s="4"/>
      <c r="B154" s="4"/>
      <c r="C154" s="4"/>
      <c r="D154" s="4"/>
      <c r="E154" s="4"/>
      <c r="F154" s="4"/>
    </row>
    <row r="155" spans="1:6" x14ac:dyDescent="0.35">
      <c r="A155" s="4"/>
      <c r="B155" s="4"/>
      <c r="C155" s="4"/>
      <c r="D155" s="4"/>
      <c r="E155" s="4"/>
      <c r="F155" s="4"/>
    </row>
    <row r="156" spans="1:6" x14ac:dyDescent="0.35">
      <c r="A156" s="4"/>
      <c r="B156" s="4"/>
      <c r="C156" s="4"/>
      <c r="D156" s="4"/>
      <c r="E156" s="4"/>
      <c r="F156" s="4"/>
    </row>
    <row r="157" spans="1:6" x14ac:dyDescent="0.35">
      <c r="A157" s="4"/>
      <c r="B157" s="4"/>
      <c r="C157" s="4"/>
      <c r="D157" s="4"/>
      <c r="E157" s="4"/>
      <c r="F157" s="4"/>
    </row>
    <row r="158" spans="1:6" x14ac:dyDescent="0.35">
      <c r="A158" s="4"/>
      <c r="B158" s="4"/>
      <c r="C158" s="4"/>
      <c r="D158" s="4"/>
      <c r="E158" s="4"/>
      <c r="F158" s="4"/>
    </row>
    <row r="159" spans="1:6" x14ac:dyDescent="0.35">
      <c r="A159" s="4"/>
      <c r="B159" s="4"/>
      <c r="C159" s="4"/>
      <c r="D159" s="4"/>
      <c r="E159" s="4"/>
      <c r="F159" s="4"/>
    </row>
    <row r="160" spans="1:6" x14ac:dyDescent="0.35">
      <c r="A160" s="4"/>
      <c r="B160" s="4"/>
      <c r="C160" s="4"/>
      <c r="D160" s="4"/>
      <c r="E160" s="4"/>
      <c r="F160" s="4"/>
    </row>
    <row r="161" spans="1:6" x14ac:dyDescent="0.35">
      <c r="A161" s="4"/>
      <c r="B161" s="4"/>
      <c r="C161" s="4"/>
      <c r="D161" s="4"/>
      <c r="E161" s="4"/>
      <c r="F161" s="4"/>
    </row>
    <row r="162" spans="1:6" x14ac:dyDescent="0.35">
      <c r="A162" s="4"/>
      <c r="B162" s="4"/>
      <c r="C162" s="4"/>
      <c r="D162" s="4"/>
      <c r="E162" s="4"/>
      <c r="F162" s="4"/>
    </row>
    <row r="163" spans="1:6" x14ac:dyDescent="0.35">
      <c r="A163" s="4"/>
      <c r="B163" s="4"/>
      <c r="C163" s="4"/>
      <c r="D163" s="4"/>
      <c r="E163" s="4"/>
      <c r="F163" s="4"/>
    </row>
    <row r="164" spans="1:6" x14ac:dyDescent="0.35">
      <c r="A164" s="4"/>
      <c r="B164" s="4"/>
      <c r="C164" s="4"/>
      <c r="D164" s="4"/>
      <c r="E164" s="4"/>
      <c r="F164" s="4"/>
    </row>
    <row r="165" spans="1:6" x14ac:dyDescent="0.35">
      <c r="A165" s="4"/>
      <c r="B165" s="4"/>
      <c r="C165" s="4"/>
      <c r="D165" s="4"/>
      <c r="E165" s="4"/>
      <c r="F165" s="4"/>
    </row>
    <row r="166" spans="1:6" x14ac:dyDescent="0.35">
      <c r="A166" s="4"/>
      <c r="B166" s="4"/>
      <c r="C166" s="4"/>
      <c r="D166" s="4"/>
      <c r="E166" s="4"/>
      <c r="F166" s="4"/>
    </row>
    <row r="167" spans="1:6" x14ac:dyDescent="0.35">
      <c r="A167" s="4"/>
      <c r="B167" s="4"/>
      <c r="C167" s="4"/>
      <c r="D167" s="4"/>
      <c r="E167" s="4"/>
      <c r="F167" s="4"/>
    </row>
    <row r="168" spans="1:6" x14ac:dyDescent="0.35">
      <c r="A168" s="4"/>
      <c r="B168" s="4"/>
      <c r="C168" s="4"/>
      <c r="D168" s="4"/>
      <c r="E168" s="4"/>
      <c r="F168" s="4"/>
    </row>
    <row r="169" spans="1:6" x14ac:dyDescent="0.35">
      <c r="A169" s="4"/>
      <c r="B169" s="4"/>
      <c r="C169" s="4"/>
      <c r="D169" s="4"/>
      <c r="E169" s="4"/>
      <c r="F169" s="4"/>
    </row>
    <row r="170" spans="1:6" x14ac:dyDescent="0.35">
      <c r="A170" s="4"/>
      <c r="B170" s="4"/>
      <c r="C170" s="4"/>
      <c r="D170" s="4"/>
      <c r="E170" s="4"/>
      <c r="F170" s="4"/>
    </row>
    <row r="171" spans="1:6" x14ac:dyDescent="0.35">
      <c r="A171" s="4"/>
      <c r="B171" s="4"/>
      <c r="C171" s="4"/>
      <c r="D171" s="4"/>
      <c r="E171" s="4"/>
      <c r="F171" s="4"/>
    </row>
    <row r="172" spans="1:6" x14ac:dyDescent="0.35">
      <c r="A172" s="4"/>
      <c r="B172" s="4"/>
      <c r="C172" s="4"/>
      <c r="D172" s="4"/>
      <c r="E172" s="4"/>
      <c r="F172" s="4"/>
    </row>
    <row r="173" spans="1:6" x14ac:dyDescent="0.35">
      <c r="A173" s="4"/>
      <c r="B173" s="4"/>
      <c r="C173" s="4"/>
      <c r="D173" s="4"/>
      <c r="E173" s="4"/>
      <c r="F173" s="4"/>
    </row>
    <row r="174" spans="1:6" x14ac:dyDescent="0.35">
      <c r="A174" s="4"/>
      <c r="B174" s="4"/>
      <c r="C174" s="4"/>
      <c r="D174" s="4"/>
      <c r="E174" s="4"/>
      <c r="F174" s="4"/>
    </row>
    <row r="175" spans="1:6" x14ac:dyDescent="0.35">
      <c r="A175" s="4"/>
      <c r="B175" s="4"/>
      <c r="C175" s="4"/>
      <c r="D175" s="4"/>
      <c r="E175" s="4"/>
      <c r="F175" s="4"/>
    </row>
    <row r="176" spans="1:6" x14ac:dyDescent="0.35">
      <c r="A176" s="4"/>
      <c r="B176" s="4"/>
      <c r="C176" s="4"/>
      <c r="D176" s="4"/>
      <c r="E176" s="4"/>
      <c r="F176" s="4"/>
    </row>
    <row r="177" spans="1:6" x14ac:dyDescent="0.35">
      <c r="A177" s="4"/>
      <c r="B177" s="4"/>
      <c r="C177" s="4"/>
      <c r="D177" s="4"/>
      <c r="E177" s="4"/>
      <c r="F177" s="4"/>
    </row>
    <row r="178" spans="1:6" x14ac:dyDescent="0.35">
      <c r="A178" s="4"/>
      <c r="B178" s="4"/>
      <c r="C178" s="4"/>
      <c r="D178" s="4"/>
      <c r="E178" s="4"/>
      <c r="F178" s="4"/>
    </row>
    <row r="179" spans="1:6" x14ac:dyDescent="0.35">
      <c r="A179" s="4"/>
      <c r="B179" s="4"/>
      <c r="C179" s="4"/>
      <c r="D179" s="4"/>
      <c r="E179" s="4"/>
      <c r="F179" s="4"/>
    </row>
    <row r="180" spans="1:6" x14ac:dyDescent="0.35">
      <c r="A180" s="4"/>
      <c r="B180" s="4"/>
      <c r="C180" s="4"/>
      <c r="D180" s="4"/>
      <c r="E180" s="4"/>
      <c r="F180" s="4"/>
    </row>
    <row r="181" spans="1:6" x14ac:dyDescent="0.35">
      <c r="A181" s="4"/>
      <c r="B181" s="4"/>
      <c r="C181" s="4"/>
      <c r="D181" s="4"/>
      <c r="E181" s="4"/>
      <c r="F181" s="4"/>
    </row>
    <row r="182" spans="1:6" x14ac:dyDescent="0.35">
      <c r="A182" s="4"/>
      <c r="B182" s="4"/>
      <c r="C182" s="4"/>
      <c r="D182" s="4"/>
      <c r="E182" s="4"/>
      <c r="F182" s="4"/>
    </row>
    <row r="183" spans="1:6" x14ac:dyDescent="0.35">
      <c r="A183" s="4"/>
      <c r="B183" s="4"/>
      <c r="C183" s="4"/>
      <c r="D183" s="4"/>
      <c r="E183" s="4"/>
      <c r="F183" s="4"/>
    </row>
    <row r="184" spans="1:6" x14ac:dyDescent="0.35">
      <c r="A184" s="4"/>
      <c r="B184" s="4"/>
      <c r="C184" s="4"/>
      <c r="D184" s="4"/>
      <c r="E184" s="4"/>
      <c r="F184" s="4"/>
    </row>
    <row r="185" spans="1:6" x14ac:dyDescent="0.35">
      <c r="A185" s="4"/>
      <c r="B185" s="4"/>
      <c r="C185" s="4"/>
      <c r="D185" s="4"/>
      <c r="E185" s="4"/>
      <c r="F185" s="4"/>
    </row>
    <row r="186" spans="1:6" x14ac:dyDescent="0.35">
      <c r="A186" s="4"/>
      <c r="B186" s="4"/>
      <c r="C186" s="4"/>
      <c r="D186" s="4"/>
      <c r="E186" s="4"/>
      <c r="F186" s="4"/>
    </row>
    <row r="187" spans="1:6" x14ac:dyDescent="0.35">
      <c r="A187" s="4"/>
      <c r="B187" s="4"/>
      <c r="C187" s="4"/>
      <c r="D187" s="4"/>
      <c r="E187" s="4"/>
      <c r="F187" s="4"/>
    </row>
    <row r="188" spans="1:6" x14ac:dyDescent="0.35">
      <c r="A188" s="4"/>
      <c r="B188" s="4"/>
      <c r="C188" s="4"/>
      <c r="D188" s="4"/>
      <c r="E188" s="4"/>
      <c r="F188" s="4"/>
    </row>
    <row r="189" spans="1:6" x14ac:dyDescent="0.35">
      <c r="A189" s="4"/>
      <c r="B189" s="4"/>
      <c r="C189" s="4"/>
      <c r="D189" s="4"/>
      <c r="E189" s="4"/>
      <c r="F189" s="4"/>
    </row>
    <row r="190" spans="1:6" x14ac:dyDescent="0.35">
      <c r="A190" s="4"/>
      <c r="B190" s="4"/>
      <c r="C190" s="4"/>
      <c r="D190" s="4"/>
      <c r="E190" s="4"/>
      <c r="F190" s="4"/>
    </row>
    <row r="191" spans="1:6" x14ac:dyDescent="0.35">
      <c r="A191" s="4"/>
      <c r="B191" s="4"/>
      <c r="C191" s="4"/>
      <c r="D191" s="4"/>
      <c r="E191" s="4"/>
      <c r="F191" s="4"/>
    </row>
    <row r="192" spans="1:6" x14ac:dyDescent="0.35">
      <c r="A192" s="4"/>
      <c r="B192" s="4"/>
      <c r="C192" s="4"/>
      <c r="D192" s="4"/>
      <c r="E192" s="4"/>
      <c r="F192" s="4"/>
    </row>
    <row r="193" spans="1:6" x14ac:dyDescent="0.35">
      <c r="A193" s="4"/>
      <c r="B193" s="4"/>
      <c r="C193" s="4"/>
      <c r="D193" s="4"/>
      <c r="E193" s="4"/>
      <c r="F193" s="4"/>
    </row>
    <row r="194" spans="1:6" x14ac:dyDescent="0.35">
      <c r="A194" s="4"/>
      <c r="B194" s="4"/>
      <c r="C194" s="4"/>
      <c r="D194" s="4"/>
      <c r="E194" s="4"/>
      <c r="F194" s="4"/>
    </row>
    <row r="195" spans="1:6" x14ac:dyDescent="0.35">
      <c r="A195" s="4"/>
      <c r="B195" s="4"/>
      <c r="C195" s="4"/>
      <c r="D195" s="4"/>
      <c r="E195" s="4"/>
      <c r="F195" s="4"/>
    </row>
    <row r="196" spans="1:6" x14ac:dyDescent="0.35">
      <c r="A196" s="4"/>
      <c r="B196" s="4"/>
      <c r="C196" s="4"/>
      <c r="D196" s="4"/>
      <c r="E196" s="4"/>
      <c r="F196" s="4"/>
    </row>
    <row r="197" spans="1:6" x14ac:dyDescent="0.35">
      <c r="A197" s="4"/>
      <c r="B197" s="4"/>
      <c r="C197" s="4"/>
      <c r="D197" s="4"/>
      <c r="E197" s="4"/>
      <c r="F197" s="4"/>
    </row>
    <row r="198" spans="1:6" x14ac:dyDescent="0.35">
      <c r="A198" s="4"/>
      <c r="B198" s="4"/>
      <c r="C198" s="4"/>
      <c r="D198" s="4"/>
      <c r="E198" s="4"/>
      <c r="F198" s="4"/>
    </row>
    <row r="199" spans="1:6" x14ac:dyDescent="0.35">
      <c r="A199" s="4"/>
      <c r="B199" s="4"/>
      <c r="C199" s="4"/>
      <c r="D199" s="4"/>
      <c r="E199" s="4"/>
      <c r="F199" s="4"/>
    </row>
    <row r="200" spans="1:6" x14ac:dyDescent="0.35">
      <c r="A200" s="4"/>
      <c r="B200" s="4"/>
      <c r="C200" s="4"/>
      <c r="D200" s="4"/>
      <c r="E200" s="4"/>
      <c r="F200" s="4"/>
    </row>
    <row r="201" spans="1:6" x14ac:dyDescent="0.35">
      <c r="A201" s="4"/>
      <c r="B201" s="4"/>
      <c r="C201" s="4"/>
      <c r="D201" s="4"/>
      <c r="E201" s="4"/>
      <c r="F201" s="4"/>
    </row>
    <row r="202" spans="1:6" x14ac:dyDescent="0.35">
      <c r="A202" s="4"/>
      <c r="B202" s="4"/>
      <c r="C202" s="4"/>
      <c r="D202" s="4"/>
      <c r="E202" s="4"/>
      <c r="F202" s="4"/>
    </row>
    <row r="203" spans="1:6" x14ac:dyDescent="0.35">
      <c r="A203" s="4"/>
      <c r="B203" s="4"/>
      <c r="C203" s="4"/>
      <c r="D203" s="4"/>
      <c r="E203" s="4"/>
      <c r="F203" s="4"/>
    </row>
    <row r="204" spans="1:6" x14ac:dyDescent="0.35">
      <c r="A204" s="4"/>
      <c r="B204" s="4"/>
      <c r="C204" s="4"/>
      <c r="D204" s="4"/>
      <c r="E204" s="4"/>
      <c r="F204" s="4"/>
    </row>
    <row r="205" spans="1:6" x14ac:dyDescent="0.35">
      <c r="A205" s="4"/>
      <c r="B205" s="4"/>
      <c r="C205" s="4"/>
      <c r="D205" s="4"/>
      <c r="E205" s="4"/>
      <c r="F205" s="4"/>
    </row>
    <row r="206" spans="1:6" x14ac:dyDescent="0.35">
      <c r="A206" s="4"/>
      <c r="B206" s="4"/>
      <c r="C206" s="4"/>
      <c r="D206" s="4"/>
      <c r="E206" s="4"/>
      <c r="F206" s="4"/>
    </row>
    <row r="207" spans="1:6" x14ac:dyDescent="0.35">
      <c r="A207" s="4"/>
      <c r="B207" s="4"/>
      <c r="C207" s="4"/>
      <c r="D207" s="4"/>
      <c r="E207" s="4"/>
      <c r="F207" s="4"/>
    </row>
    <row r="208" spans="1:6" x14ac:dyDescent="0.35">
      <c r="A208" s="4"/>
      <c r="B208" s="4"/>
      <c r="C208" s="4"/>
      <c r="D208" s="4"/>
      <c r="E208" s="4"/>
      <c r="F208" s="4"/>
    </row>
    <row r="209" spans="1:6" x14ac:dyDescent="0.35">
      <c r="A209" s="4"/>
      <c r="B209" s="4"/>
      <c r="C209" s="4"/>
      <c r="D209" s="4"/>
      <c r="E209" s="4"/>
      <c r="F209" s="4"/>
    </row>
    <row r="210" spans="1:6" x14ac:dyDescent="0.35">
      <c r="A210" s="4"/>
      <c r="B210" s="4"/>
      <c r="C210" s="4"/>
      <c r="D210" s="4"/>
      <c r="E210" s="4"/>
      <c r="F210" s="4"/>
    </row>
    <row r="211" spans="1:6" x14ac:dyDescent="0.35">
      <c r="A211" s="4"/>
      <c r="B211" s="4"/>
      <c r="C211" s="4"/>
      <c r="D211" s="4"/>
      <c r="E211" s="4"/>
      <c r="F211" s="4"/>
    </row>
    <row r="212" spans="1:6" x14ac:dyDescent="0.35">
      <c r="A212" s="4"/>
      <c r="B212" s="4"/>
      <c r="C212" s="4"/>
      <c r="D212" s="4"/>
      <c r="E212" s="4"/>
      <c r="F212" s="4"/>
    </row>
    <row r="213" spans="1:6" x14ac:dyDescent="0.35">
      <c r="A213" s="4"/>
      <c r="B213" s="4"/>
      <c r="C213" s="4"/>
      <c r="D213" s="4"/>
      <c r="E213" s="4"/>
      <c r="F213" s="4"/>
    </row>
    <row r="214" spans="1:6" x14ac:dyDescent="0.35">
      <c r="A214" s="4"/>
      <c r="B214" s="4"/>
      <c r="C214" s="4"/>
      <c r="D214" s="4"/>
      <c r="E214" s="4"/>
      <c r="F214" s="4"/>
    </row>
    <row r="215" spans="1:6" x14ac:dyDescent="0.35">
      <c r="A215" s="4"/>
      <c r="B215" s="4"/>
      <c r="C215" s="4"/>
      <c r="D215" s="4"/>
      <c r="E215" s="4"/>
      <c r="F215" s="4"/>
    </row>
    <row r="216" spans="1:6" x14ac:dyDescent="0.35">
      <c r="A216" s="4"/>
      <c r="B216" s="4"/>
      <c r="C216" s="4"/>
      <c r="D216" s="4"/>
      <c r="E216" s="4"/>
      <c r="F216" s="4"/>
    </row>
    <row r="217" spans="1:6" x14ac:dyDescent="0.35">
      <c r="A217" s="4"/>
      <c r="B217" s="4"/>
      <c r="C217" s="4"/>
      <c r="D217" s="4"/>
      <c r="E217" s="4"/>
      <c r="F217" s="4"/>
    </row>
    <row r="218" spans="1:6" x14ac:dyDescent="0.35">
      <c r="A218" s="4"/>
      <c r="B218" s="4"/>
      <c r="C218" s="4"/>
      <c r="D218" s="4"/>
      <c r="E218" s="4"/>
      <c r="F218" s="4"/>
    </row>
    <row r="219" spans="1:6" x14ac:dyDescent="0.35">
      <c r="A219" s="4"/>
      <c r="B219" s="4"/>
      <c r="C219" s="4"/>
      <c r="D219" s="4"/>
      <c r="E219" s="4"/>
      <c r="F219" s="4"/>
    </row>
    <row r="220" spans="1:6" x14ac:dyDescent="0.35">
      <c r="A220" s="4"/>
      <c r="B220" s="4"/>
      <c r="C220" s="4"/>
      <c r="D220" s="4"/>
      <c r="E220" s="4"/>
      <c r="F220" s="4"/>
    </row>
    <row r="221" spans="1:6" x14ac:dyDescent="0.35">
      <c r="A221" s="4"/>
      <c r="B221" s="4"/>
      <c r="C221" s="4"/>
      <c r="D221" s="4"/>
      <c r="E221" s="4"/>
      <c r="F221" s="4"/>
    </row>
    <row r="222" spans="1:6" x14ac:dyDescent="0.35">
      <c r="A222" s="4"/>
      <c r="B222" s="4"/>
      <c r="C222" s="4"/>
      <c r="D222" s="4"/>
      <c r="E222" s="4"/>
      <c r="F222" s="4"/>
    </row>
    <row r="223" spans="1:6" x14ac:dyDescent="0.35">
      <c r="A223" s="4"/>
      <c r="B223" s="4"/>
      <c r="C223" s="4"/>
      <c r="D223" s="4"/>
      <c r="E223" s="4"/>
      <c r="F223" s="4"/>
    </row>
    <row r="224" spans="1:6" x14ac:dyDescent="0.35">
      <c r="A224" s="4"/>
      <c r="B224" s="4"/>
      <c r="C224" s="4"/>
      <c r="D224" s="4"/>
      <c r="E224" s="4"/>
      <c r="F224" s="4"/>
    </row>
    <row r="225" spans="1:6" x14ac:dyDescent="0.35">
      <c r="A225" s="4"/>
      <c r="B225" s="4"/>
      <c r="C225" s="4"/>
      <c r="D225" s="4"/>
      <c r="E225" s="4"/>
      <c r="F225" s="4"/>
    </row>
    <row r="226" spans="1:6" x14ac:dyDescent="0.35">
      <c r="A226" s="4"/>
      <c r="B226" s="4"/>
      <c r="C226" s="4"/>
      <c r="D226" s="4"/>
      <c r="E226" s="4"/>
      <c r="F226" s="4"/>
    </row>
    <row r="227" spans="1:6" x14ac:dyDescent="0.35">
      <c r="A227" s="4"/>
      <c r="B227" s="4"/>
      <c r="C227" s="4"/>
      <c r="D227" s="4"/>
      <c r="E227" s="4"/>
      <c r="F227" s="4"/>
    </row>
    <row r="228" spans="1:6" x14ac:dyDescent="0.35">
      <c r="A228" s="4"/>
      <c r="B228" s="4"/>
      <c r="C228" s="4"/>
      <c r="D228" s="4"/>
      <c r="E228" s="4"/>
      <c r="F228" s="4"/>
    </row>
    <row r="229" spans="1:6" x14ac:dyDescent="0.35">
      <c r="A229" s="4"/>
      <c r="B229" s="4"/>
      <c r="C229" s="4"/>
      <c r="D229" s="4"/>
      <c r="E229" s="4"/>
      <c r="F229" s="4"/>
    </row>
    <row r="230" spans="1:6" x14ac:dyDescent="0.35">
      <c r="A230" s="4"/>
      <c r="B230" s="4"/>
      <c r="C230" s="4"/>
      <c r="D230" s="4"/>
      <c r="E230" s="4"/>
      <c r="F230" s="4"/>
    </row>
    <row r="231" spans="1:6" x14ac:dyDescent="0.35">
      <c r="A231" s="4"/>
      <c r="B231" s="4"/>
      <c r="C231" s="4"/>
      <c r="D231" s="4"/>
      <c r="E231" s="4"/>
      <c r="F231" s="4"/>
    </row>
    <row r="232" spans="1:6" x14ac:dyDescent="0.35">
      <c r="A232" s="4"/>
      <c r="B232" s="4"/>
      <c r="C232" s="4"/>
      <c r="D232" s="4"/>
      <c r="E232" s="4"/>
      <c r="F232" s="4"/>
    </row>
    <row r="233" spans="1:6" x14ac:dyDescent="0.35">
      <c r="A233" s="4"/>
      <c r="B233" s="4"/>
      <c r="C233" s="4"/>
      <c r="D233" s="4"/>
      <c r="E233" s="4"/>
      <c r="F233" s="4"/>
    </row>
    <row r="234" spans="1:6" x14ac:dyDescent="0.35">
      <c r="A234" s="4"/>
      <c r="B234" s="4"/>
      <c r="C234" s="4"/>
      <c r="D234" s="4"/>
      <c r="E234" s="4"/>
      <c r="F234" s="4"/>
    </row>
    <row r="235" spans="1:6" x14ac:dyDescent="0.35">
      <c r="A235" s="4"/>
      <c r="B235" s="4"/>
      <c r="C235" s="4"/>
      <c r="D235" s="4"/>
      <c r="E235" s="4"/>
      <c r="F235" s="4"/>
    </row>
    <row r="236" spans="1:6" x14ac:dyDescent="0.35">
      <c r="A236" s="4"/>
      <c r="B236" s="4"/>
      <c r="C236" s="4"/>
      <c r="D236" s="4"/>
      <c r="E236" s="4"/>
      <c r="F236" s="4"/>
    </row>
    <row r="237" spans="1:6" x14ac:dyDescent="0.35">
      <c r="A237" s="4"/>
      <c r="B237" s="4"/>
      <c r="C237" s="4"/>
      <c r="D237" s="4"/>
      <c r="E237" s="4"/>
      <c r="F237" s="4"/>
    </row>
    <row r="238" spans="1:6" x14ac:dyDescent="0.35">
      <c r="A238" s="4"/>
      <c r="B238" s="4"/>
      <c r="C238" s="4"/>
      <c r="D238" s="4"/>
      <c r="E238" s="4"/>
      <c r="F238" s="4"/>
    </row>
    <row r="239" spans="1:6" x14ac:dyDescent="0.35">
      <c r="A239" s="4"/>
      <c r="B239" s="4"/>
      <c r="C239" s="4"/>
      <c r="D239" s="4"/>
      <c r="E239" s="4"/>
      <c r="F239" s="4"/>
    </row>
    <row r="240" spans="1:6" x14ac:dyDescent="0.35">
      <c r="A240" s="4"/>
      <c r="B240" s="4"/>
      <c r="C240" s="4"/>
      <c r="D240" s="4"/>
      <c r="E240" s="4"/>
      <c r="F240" s="4"/>
    </row>
    <row r="241" spans="1:6" x14ac:dyDescent="0.35">
      <c r="A241" s="4"/>
      <c r="B241" s="4"/>
      <c r="C241" s="4"/>
      <c r="D241" s="4"/>
      <c r="E241" s="4"/>
      <c r="F241" s="4"/>
    </row>
    <row r="242" spans="1:6" x14ac:dyDescent="0.35">
      <c r="A242" s="4"/>
      <c r="B242" s="4"/>
      <c r="C242" s="4"/>
      <c r="D242" s="4"/>
      <c r="E242" s="4"/>
      <c r="F242" s="4"/>
    </row>
    <row r="243" spans="1:6" x14ac:dyDescent="0.35">
      <c r="A243" s="4"/>
      <c r="B243" s="4"/>
      <c r="C243" s="4"/>
      <c r="D243" s="4"/>
      <c r="E243" s="4"/>
      <c r="F243" s="4"/>
    </row>
    <row r="244" spans="1:6" x14ac:dyDescent="0.35">
      <c r="A244" s="4"/>
      <c r="B244" s="4"/>
      <c r="C244" s="4"/>
      <c r="D244" s="4"/>
      <c r="E244" s="4"/>
      <c r="F244" s="4"/>
    </row>
    <row r="245" spans="1:6" x14ac:dyDescent="0.35">
      <c r="A245" s="4"/>
      <c r="B245" s="4"/>
      <c r="C245" s="4"/>
      <c r="D245" s="4"/>
      <c r="E245" s="4"/>
      <c r="F245" s="4"/>
    </row>
    <row r="246" spans="1:6" x14ac:dyDescent="0.35">
      <c r="A246" s="4"/>
      <c r="B246" s="4"/>
      <c r="C246" s="4"/>
      <c r="D246" s="4"/>
      <c r="E246" s="4"/>
      <c r="F246" s="4"/>
    </row>
    <row r="247" spans="1:6" x14ac:dyDescent="0.35">
      <c r="A247" s="4"/>
      <c r="B247" s="4"/>
      <c r="C247" s="4"/>
      <c r="D247" s="4"/>
      <c r="E247" s="4"/>
      <c r="F247" s="4"/>
    </row>
    <row r="248" spans="1:6" x14ac:dyDescent="0.35">
      <c r="A248" s="4"/>
      <c r="B248" s="4"/>
      <c r="C248" s="4"/>
      <c r="D248" s="4"/>
      <c r="E248" s="4"/>
      <c r="F248" s="4"/>
    </row>
    <row r="249" spans="1:6" x14ac:dyDescent="0.35">
      <c r="A249" s="4"/>
      <c r="B249" s="4"/>
      <c r="C249" s="4"/>
      <c r="D249" s="4"/>
      <c r="E249" s="4"/>
      <c r="F249" s="4"/>
    </row>
    <row r="250" spans="1:6" x14ac:dyDescent="0.35">
      <c r="A250" s="4"/>
      <c r="B250" s="4"/>
      <c r="C250" s="4"/>
      <c r="D250" s="4"/>
      <c r="E250" s="4"/>
      <c r="F250" s="4"/>
    </row>
    <row r="251" spans="1:6" x14ac:dyDescent="0.35">
      <c r="A251" s="4"/>
      <c r="B251" s="4"/>
      <c r="C251" s="4"/>
      <c r="D251" s="4"/>
      <c r="E251" s="4"/>
      <c r="F251" s="4"/>
    </row>
    <row r="252" spans="1:6" x14ac:dyDescent="0.35">
      <c r="A252" s="4"/>
      <c r="B252" s="4"/>
      <c r="C252" s="4"/>
      <c r="D252" s="4"/>
      <c r="E252" s="4"/>
      <c r="F252" s="4"/>
    </row>
    <row r="253" spans="1:6" x14ac:dyDescent="0.35">
      <c r="A253" s="4"/>
      <c r="B253" s="4"/>
      <c r="C253" s="4"/>
      <c r="D253" s="4"/>
      <c r="E253" s="4"/>
      <c r="F253" s="4"/>
    </row>
    <row r="254" spans="1:6" x14ac:dyDescent="0.35">
      <c r="A254" s="4"/>
      <c r="B254" s="4"/>
      <c r="C254" s="4"/>
      <c r="D254" s="4"/>
      <c r="E254" s="4"/>
      <c r="F254" s="4"/>
    </row>
    <row r="255" spans="1:6" x14ac:dyDescent="0.35">
      <c r="A255" s="4"/>
      <c r="B255" s="4"/>
      <c r="C255" s="4"/>
      <c r="D255" s="4"/>
      <c r="E255" s="4"/>
      <c r="F255" s="4"/>
    </row>
    <row r="256" spans="1:6" x14ac:dyDescent="0.35">
      <c r="A256" s="4"/>
      <c r="B256" s="4"/>
      <c r="C256" s="4"/>
      <c r="D256" s="4"/>
      <c r="E256" s="4"/>
      <c r="F256" s="4"/>
    </row>
    <row r="257" spans="1:6" x14ac:dyDescent="0.35">
      <c r="A257" s="4"/>
      <c r="B257" s="4"/>
      <c r="C257" s="4"/>
      <c r="D257" s="4"/>
      <c r="E257" s="4"/>
      <c r="F257" s="4"/>
    </row>
    <row r="258" spans="1:6" x14ac:dyDescent="0.35">
      <c r="A258" s="4"/>
      <c r="B258" s="4"/>
      <c r="C258" s="4"/>
      <c r="D258" s="4"/>
      <c r="E258" s="4"/>
      <c r="F258" s="4"/>
    </row>
    <row r="259" spans="1:6" x14ac:dyDescent="0.35">
      <c r="A259" s="4"/>
      <c r="B259" s="4"/>
      <c r="C259" s="4"/>
      <c r="D259" s="4"/>
      <c r="E259" s="4"/>
      <c r="F259" s="4"/>
    </row>
    <row r="260" spans="1:6" x14ac:dyDescent="0.35">
      <c r="A260" s="4"/>
      <c r="B260" s="4"/>
      <c r="C260" s="4"/>
      <c r="D260" s="4"/>
      <c r="E260" s="4"/>
      <c r="F260" s="4"/>
    </row>
    <row r="261" spans="1:6" x14ac:dyDescent="0.35">
      <c r="A261" s="4"/>
      <c r="B261" s="4"/>
      <c r="C261" s="4"/>
      <c r="D261" s="4"/>
      <c r="E261" s="4"/>
      <c r="F261" s="4"/>
    </row>
    <row r="262" spans="1:6" x14ac:dyDescent="0.35">
      <c r="A262" s="4"/>
      <c r="B262" s="4"/>
      <c r="C262" s="4"/>
      <c r="D262" s="4"/>
      <c r="E262" s="4"/>
      <c r="F262" s="4"/>
    </row>
    <row r="263" spans="1:6" x14ac:dyDescent="0.35">
      <c r="A263" s="4"/>
      <c r="B263" s="4"/>
      <c r="C263" s="4"/>
      <c r="D263" s="4"/>
      <c r="E263" s="4"/>
      <c r="F263" s="4"/>
    </row>
    <row r="264" spans="1:6" x14ac:dyDescent="0.35">
      <c r="A264" s="4"/>
      <c r="B264" s="4"/>
      <c r="C264" s="4"/>
      <c r="D264" s="4"/>
      <c r="E264" s="4"/>
      <c r="F264" s="4"/>
    </row>
    <row r="265" spans="1:6" x14ac:dyDescent="0.35">
      <c r="A265" s="4"/>
      <c r="B265" s="4"/>
      <c r="C265" s="4"/>
      <c r="D265" s="4"/>
      <c r="E265" s="4"/>
      <c r="F265" s="4"/>
    </row>
    <row r="266" spans="1:6" x14ac:dyDescent="0.35">
      <c r="A266" s="4"/>
      <c r="B266" s="4"/>
      <c r="C266" s="4"/>
      <c r="D266" s="4"/>
      <c r="E266" s="4"/>
      <c r="F266" s="4"/>
    </row>
    <row r="267" spans="1:6" x14ac:dyDescent="0.35">
      <c r="A267" s="4"/>
      <c r="B267" s="4"/>
      <c r="C267" s="4"/>
      <c r="D267" s="4"/>
      <c r="E267" s="4"/>
      <c r="F267" s="4"/>
    </row>
    <row r="268" spans="1:6" x14ac:dyDescent="0.35">
      <c r="A268" s="4"/>
      <c r="B268" s="4"/>
      <c r="C268" s="4"/>
      <c r="D268" s="4"/>
      <c r="E268" s="4"/>
      <c r="F268" s="4"/>
    </row>
    <row r="269" spans="1:6" x14ac:dyDescent="0.35">
      <c r="A269" s="4"/>
      <c r="B269" s="4"/>
      <c r="C269" s="4"/>
      <c r="D269" s="4"/>
      <c r="E269" s="4"/>
      <c r="F269" s="4"/>
    </row>
    <row r="270" spans="1:6" x14ac:dyDescent="0.35">
      <c r="A270" s="4"/>
      <c r="B270" s="4"/>
      <c r="C270" s="4"/>
      <c r="D270" s="4"/>
      <c r="E270" s="4"/>
      <c r="F270" s="4"/>
    </row>
    <row r="271" spans="1:6" x14ac:dyDescent="0.35">
      <c r="A271" s="4"/>
      <c r="B271" s="4"/>
      <c r="C271" s="4"/>
      <c r="D271" s="4"/>
      <c r="E271" s="4"/>
      <c r="F271" s="4"/>
    </row>
    <row r="272" spans="1:6" x14ac:dyDescent="0.35">
      <c r="A272" s="4"/>
      <c r="B272" s="4"/>
      <c r="C272" s="4"/>
      <c r="D272" s="4"/>
      <c r="E272" s="4"/>
      <c r="F272" s="4"/>
    </row>
    <row r="273" spans="1:6" x14ac:dyDescent="0.35">
      <c r="A273" s="4"/>
      <c r="B273" s="4"/>
      <c r="C273" s="4"/>
      <c r="D273" s="4"/>
      <c r="E273" s="4"/>
      <c r="F273" s="4"/>
    </row>
    <row r="274" spans="1:6" x14ac:dyDescent="0.35">
      <c r="A274" s="4"/>
      <c r="B274" s="4"/>
      <c r="C274" s="4"/>
      <c r="D274" s="4"/>
      <c r="E274" s="4"/>
      <c r="F274" s="4"/>
    </row>
    <row r="275" spans="1:6" x14ac:dyDescent="0.35">
      <c r="A275" s="4"/>
      <c r="B275" s="4"/>
      <c r="C275" s="4"/>
      <c r="D275" s="4"/>
      <c r="E275" s="4"/>
      <c r="F275" s="4"/>
    </row>
    <row r="276" spans="1:6" x14ac:dyDescent="0.35">
      <c r="A276" s="4"/>
      <c r="B276" s="4"/>
      <c r="C276" s="4"/>
      <c r="D276" s="4"/>
      <c r="E276" s="4"/>
      <c r="F276" s="4"/>
    </row>
    <row r="277" spans="1:6" x14ac:dyDescent="0.35">
      <c r="A277" s="4"/>
      <c r="B277" s="4"/>
      <c r="C277" s="4"/>
      <c r="D277" s="4"/>
      <c r="E277" s="4"/>
      <c r="F277" s="4"/>
    </row>
    <row r="278" spans="1:6" x14ac:dyDescent="0.35">
      <c r="A278" s="4"/>
      <c r="B278" s="4"/>
      <c r="C278" s="4"/>
      <c r="D278" s="4"/>
      <c r="E278" s="4"/>
      <c r="F278" s="4"/>
    </row>
    <row r="279" spans="1:6" x14ac:dyDescent="0.35">
      <c r="A279" s="4"/>
      <c r="B279" s="4"/>
      <c r="C279" s="4"/>
      <c r="D279" s="4"/>
      <c r="E279" s="4"/>
      <c r="F279" s="4"/>
    </row>
    <row r="280" spans="1:6" x14ac:dyDescent="0.35">
      <c r="A280" s="4"/>
      <c r="B280" s="4"/>
      <c r="C280" s="4"/>
      <c r="D280" s="4"/>
      <c r="E280" s="4"/>
      <c r="F280" s="4"/>
    </row>
    <row r="281" spans="1:6" x14ac:dyDescent="0.35">
      <c r="A281" s="4"/>
      <c r="B281" s="4"/>
      <c r="C281" s="4"/>
      <c r="D281" s="4"/>
      <c r="E281" s="4"/>
      <c r="F281" s="4"/>
    </row>
    <row r="282" spans="1:6" x14ac:dyDescent="0.35">
      <c r="A282" s="4"/>
      <c r="B282" s="4"/>
      <c r="C282" s="4"/>
      <c r="D282" s="4"/>
      <c r="E282" s="4"/>
      <c r="F282" s="4"/>
    </row>
    <row r="283" spans="1:6" x14ac:dyDescent="0.35">
      <c r="A283" s="4"/>
      <c r="B283" s="4"/>
      <c r="C283" s="4"/>
      <c r="D283" s="4"/>
      <c r="E283" s="4"/>
      <c r="F283" s="4"/>
    </row>
    <row r="284" spans="1:6" x14ac:dyDescent="0.35">
      <c r="A284" s="4"/>
      <c r="B284" s="4"/>
      <c r="C284" s="4"/>
      <c r="D284" s="4"/>
      <c r="E284" s="4"/>
      <c r="F284" s="4"/>
    </row>
    <row r="285" spans="1:6" x14ac:dyDescent="0.35">
      <c r="A285" s="4"/>
      <c r="B285" s="4"/>
      <c r="C285" s="4"/>
      <c r="D285" s="4"/>
      <c r="E285" s="4"/>
      <c r="F285" s="4"/>
    </row>
    <row r="286" spans="1:6" x14ac:dyDescent="0.35">
      <c r="A286" s="4"/>
      <c r="B286" s="4"/>
      <c r="C286" s="4"/>
      <c r="D286" s="4"/>
      <c r="E286" s="4"/>
      <c r="F286" s="4"/>
    </row>
    <row r="287" spans="1:6" x14ac:dyDescent="0.35">
      <c r="A287" s="4"/>
      <c r="B287" s="4"/>
      <c r="C287" s="4"/>
      <c r="D287" s="4"/>
      <c r="E287" s="4"/>
      <c r="F287" s="4"/>
    </row>
    <row r="288" spans="1:6" x14ac:dyDescent="0.35">
      <c r="A288" s="4"/>
      <c r="B288" s="4"/>
      <c r="C288" s="4"/>
      <c r="D288" s="4"/>
      <c r="E288" s="4"/>
      <c r="F288" s="4"/>
    </row>
    <row r="289" spans="1:6" x14ac:dyDescent="0.35">
      <c r="A289" s="4"/>
      <c r="B289" s="4"/>
      <c r="C289" s="4"/>
      <c r="D289" s="4"/>
      <c r="E289" s="4"/>
      <c r="F289" s="4"/>
    </row>
    <row r="290" spans="1:6" x14ac:dyDescent="0.35">
      <c r="A290" s="4"/>
      <c r="B290" s="4"/>
      <c r="C290" s="4"/>
      <c r="D290" s="4"/>
      <c r="E290" s="4"/>
      <c r="F290" s="4"/>
    </row>
    <row r="291" spans="1:6" x14ac:dyDescent="0.35">
      <c r="A291" s="4"/>
      <c r="B291" s="4"/>
      <c r="C291" s="4"/>
      <c r="D291" s="4"/>
      <c r="E291" s="4"/>
      <c r="F291" s="4"/>
    </row>
    <row r="292" spans="1:6" x14ac:dyDescent="0.35">
      <c r="A292" s="4"/>
      <c r="B292" s="4"/>
      <c r="C292" s="4"/>
      <c r="D292" s="4"/>
      <c r="E292" s="4"/>
      <c r="F292" s="4"/>
    </row>
    <row r="293" spans="1:6" x14ac:dyDescent="0.35">
      <c r="A293" s="4"/>
      <c r="B293" s="4"/>
      <c r="C293" s="4"/>
      <c r="D293" s="4"/>
      <c r="E293" s="4"/>
      <c r="F293" s="4"/>
    </row>
    <row r="294" spans="1:6" x14ac:dyDescent="0.35">
      <c r="A294" s="4"/>
      <c r="B294" s="4"/>
      <c r="C294" s="4"/>
      <c r="D294" s="4"/>
      <c r="E294" s="4"/>
      <c r="F294" s="4"/>
    </row>
    <row r="295" spans="1:6" x14ac:dyDescent="0.35">
      <c r="A295" s="4"/>
      <c r="B295" s="4"/>
      <c r="C295" s="4"/>
      <c r="D295" s="4"/>
      <c r="E295" s="4"/>
      <c r="F295" s="4"/>
    </row>
    <row r="296" spans="1:6" x14ac:dyDescent="0.35">
      <c r="A296" s="4"/>
      <c r="B296" s="4"/>
      <c r="C296" s="4"/>
      <c r="D296" s="4"/>
      <c r="E296" s="4"/>
      <c r="F296" s="4"/>
    </row>
    <row r="297" spans="1:6" x14ac:dyDescent="0.35">
      <c r="A297" s="4"/>
      <c r="B297" s="4"/>
      <c r="C297" s="4"/>
      <c r="D297" s="4"/>
      <c r="E297" s="4"/>
      <c r="F297" s="4"/>
    </row>
    <row r="298" spans="1:6" x14ac:dyDescent="0.35">
      <c r="A298" s="4"/>
      <c r="B298" s="4"/>
      <c r="C298" s="4"/>
      <c r="D298" s="4"/>
      <c r="E298" s="4"/>
      <c r="F298" s="4"/>
    </row>
    <row r="299" spans="1:6" x14ac:dyDescent="0.35">
      <c r="A299" s="4"/>
      <c r="B299" s="4"/>
      <c r="C299" s="4"/>
      <c r="D299" s="4"/>
      <c r="E299" s="4"/>
      <c r="F299" s="4"/>
    </row>
    <row r="300" spans="1:6" x14ac:dyDescent="0.35">
      <c r="A300" s="4"/>
      <c r="B300" s="4"/>
      <c r="C300" s="4"/>
      <c r="D300" s="4"/>
      <c r="E300" s="4"/>
      <c r="F300" s="4"/>
    </row>
    <row r="301" spans="1:6" x14ac:dyDescent="0.35">
      <c r="A301" s="4"/>
      <c r="B301" s="4"/>
      <c r="C301" s="4"/>
      <c r="D301" s="4"/>
      <c r="E301" s="4"/>
      <c r="F301" s="4"/>
    </row>
    <row r="302" spans="1:6" x14ac:dyDescent="0.35">
      <c r="A302" s="4"/>
      <c r="B302" s="4"/>
      <c r="C302" s="4"/>
      <c r="D302" s="4"/>
      <c r="E302" s="4"/>
      <c r="F302" s="4"/>
    </row>
    <row r="303" spans="1:6" x14ac:dyDescent="0.35">
      <c r="A303" s="4"/>
      <c r="B303" s="4"/>
      <c r="C303" s="4"/>
      <c r="D303" s="4"/>
      <c r="E303" s="4"/>
      <c r="F303" s="4"/>
    </row>
    <row r="304" spans="1:6" x14ac:dyDescent="0.35">
      <c r="A304" s="4"/>
      <c r="B304" s="4"/>
      <c r="C304" s="4"/>
      <c r="D304" s="4"/>
      <c r="E304" s="4"/>
      <c r="F304" s="4"/>
    </row>
    <row r="305" spans="1:6" x14ac:dyDescent="0.35">
      <c r="A305" s="4"/>
      <c r="B305" s="4"/>
      <c r="C305" s="4"/>
      <c r="D305" s="4"/>
      <c r="E305" s="4"/>
      <c r="F305" s="4"/>
    </row>
    <row r="306" spans="1:6" x14ac:dyDescent="0.35">
      <c r="A306" s="4"/>
      <c r="B306" s="4"/>
      <c r="C306" s="4"/>
      <c r="D306" s="4"/>
      <c r="E306" s="4"/>
      <c r="F306" s="4"/>
    </row>
    <row r="307" spans="1:6" x14ac:dyDescent="0.35">
      <c r="A307" s="4"/>
      <c r="B307" s="4"/>
      <c r="C307" s="4"/>
      <c r="D307" s="4"/>
      <c r="E307" s="4"/>
      <c r="F307" s="4"/>
    </row>
    <row r="308" spans="1:6" x14ac:dyDescent="0.35">
      <c r="A308" s="4"/>
      <c r="B308" s="4"/>
      <c r="C308" s="4"/>
      <c r="D308" s="4"/>
      <c r="E308" s="4"/>
      <c r="F308" s="4"/>
    </row>
    <row r="309" spans="1:6" x14ac:dyDescent="0.35">
      <c r="A309" s="4"/>
      <c r="B309" s="4"/>
      <c r="C309" s="4"/>
      <c r="D309" s="4"/>
      <c r="E309" s="4"/>
      <c r="F309" s="4"/>
    </row>
    <row r="310" spans="1:6" x14ac:dyDescent="0.35">
      <c r="A310" s="4"/>
      <c r="B310" s="4"/>
      <c r="C310" s="4"/>
      <c r="D310" s="4"/>
      <c r="E310" s="4"/>
      <c r="F310" s="4"/>
    </row>
    <row r="311" spans="1:6" x14ac:dyDescent="0.35">
      <c r="A311" s="4"/>
      <c r="B311" s="4"/>
      <c r="C311" s="4"/>
      <c r="D311" s="4"/>
      <c r="E311" s="4"/>
      <c r="F311" s="4"/>
    </row>
    <row r="312" spans="1:6" x14ac:dyDescent="0.35">
      <c r="A312" s="4"/>
      <c r="B312" s="4"/>
      <c r="C312" s="4"/>
      <c r="D312" s="4"/>
      <c r="E312" s="4"/>
      <c r="F312" s="4"/>
    </row>
    <row r="313" spans="1:6" x14ac:dyDescent="0.35">
      <c r="A313" s="4"/>
      <c r="B313" s="4"/>
      <c r="C313" s="4"/>
      <c r="D313" s="4"/>
      <c r="E313" s="4"/>
      <c r="F313" s="4"/>
    </row>
    <row r="314" spans="1:6" x14ac:dyDescent="0.35">
      <c r="A314" s="4"/>
      <c r="B314" s="4"/>
      <c r="C314" s="4"/>
      <c r="D314" s="4"/>
      <c r="E314" s="4"/>
      <c r="F314" s="4"/>
    </row>
    <row r="315" spans="1:6" x14ac:dyDescent="0.35">
      <c r="A315" s="4"/>
      <c r="B315" s="4"/>
      <c r="C315" s="4"/>
      <c r="D315" s="4"/>
      <c r="E315" s="4"/>
      <c r="F315" s="4"/>
    </row>
    <row r="316" spans="1:6" x14ac:dyDescent="0.35">
      <c r="A316" s="4"/>
      <c r="B316" s="4"/>
      <c r="C316" s="4"/>
      <c r="D316" s="4"/>
      <c r="E316" s="4"/>
      <c r="F316" s="4"/>
    </row>
    <row r="317" spans="1:6" x14ac:dyDescent="0.35">
      <c r="A317" s="4"/>
      <c r="B317" s="4"/>
      <c r="C317" s="4"/>
      <c r="D317" s="4"/>
      <c r="E317" s="4"/>
      <c r="F317" s="4"/>
    </row>
    <row r="318" spans="1:6" x14ac:dyDescent="0.35">
      <c r="A318" s="4"/>
      <c r="B318" s="4"/>
      <c r="C318" s="4"/>
      <c r="D318" s="4"/>
      <c r="E318" s="4"/>
      <c r="F318" s="4"/>
    </row>
    <row r="319" spans="1:6" x14ac:dyDescent="0.35">
      <c r="A319" s="4"/>
      <c r="B319" s="4"/>
      <c r="C319" s="4"/>
      <c r="D319" s="4"/>
      <c r="E319" s="4"/>
      <c r="F319" s="4"/>
    </row>
    <row r="320" spans="1:6" x14ac:dyDescent="0.35">
      <c r="A320" s="4"/>
      <c r="B320" s="4"/>
      <c r="C320" s="4"/>
      <c r="D320" s="4"/>
      <c r="E320" s="4"/>
      <c r="F320" s="4"/>
    </row>
    <row r="321" spans="1:6" x14ac:dyDescent="0.35">
      <c r="A321" s="4"/>
      <c r="B321" s="4"/>
      <c r="C321" s="4"/>
      <c r="D321" s="4"/>
      <c r="E321" s="4"/>
      <c r="F321" s="4"/>
    </row>
    <row r="322" spans="1:6" x14ac:dyDescent="0.35">
      <c r="A322" s="4"/>
      <c r="B322" s="4"/>
      <c r="C322" s="4"/>
      <c r="D322" s="4"/>
      <c r="E322" s="4"/>
      <c r="F322" s="4"/>
    </row>
    <row r="323" spans="1:6" x14ac:dyDescent="0.35">
      <c r="A323" s="4"/>
      <c r="B323" s="4"/>
      <c r="C323" s="4"/>
      <c r="D323" s="4"/>
      <c r="E323" s="4"/>
      <c r="F323" s="4"/>
    </row>
    <row r="324" spans="1:6" x14ac:dyDescent="0.35">
      <c r="A324" s="4"/>
      <c r="B324" s="4"/>
      <c r="C324" s="4"/>
      <c r="D324" s="4"/>
      <c r="E324" s="4"/>
      <c r="F324" s="4"/>
    </row>
    <row r="325" spans="1:6" x14ac:dyDescent="0.35">
      <c r="A325" s="4"/>
      <c r="B325" s="4"/>
      <c r="C325" s="4"/>
      <c r="D325" s="4"/>
      <c r="E325" s="4"/>
      <c r="F325" s="4"/>
    </row>
    <row r="326" spans="1:6" x14ac:dyDescent="0.35">
      <c r="A326" s="4"/>
      <c r="B326" s="4"/>
      <c r="C326" s="4"/>
      <c r="D326" s="4"/>
      <c r="E326" s="4"/>
      <c r="F326" s="4"/>
    </row>
    <row r="327" spans="1:6" x14ac:dyDescent="0.35">
      <c r="A327" s="4"/>
      <c r="B327" s="4"/>
      <c r="C327" s="4"/>
      <c r="D327" s="4"/>
      <c r="E327" s="4"/>
      <c r="F327" s="4"/>
    </row>
    <row r="328" spans="1:6" x14ac:dyDescent="0.35">
      <c r="A328" s="4"/>
      <c r="B328" s="4"/>
      <c r="C328" s="4"/>
      <c r="D328" s="4"/>
      <c r="E328" s="4"/>
      <c r="F328" s="4"/>
    </row>
    <row r="329" spans="1:6" x14ac:dyDescent="0.35">
      <c r="A329" s="4"/>
      <c r="B329" s="4"/>
      <c r="C329" s="4"/>
      <c r="D329" s="4"/>
      <c r="E329" s="4"/>
      <c r="F329" s="4"/>
    </row>
    <row r="330" spans="1:6" x14ac:dyDescent="0.35">
      <c r="A330" s="4"/>
      <c r="B330" s="4"/>
      <c r="C330" s="4"/>
      <c r="D330" s="4"/>
      <c r="E330" s="4"/>
      <c r="F330" s="4"/>
    </row>
    <row r="331" spans="1:6" x14ac:dyDescent="0.35">
      <c r="A331" s="4"/>
      <c r="B331" s="4"/>
      <c r="C331" s="4"/>
      <c r="D331" s="4"/>
      <c r="E331" s="4"/>
      <c r="F331" s="4"/>
    </row>
    <row r="332" spans="1:6" x14ac:dyDescent="0.35">
      <c r="A332" s="4"/>
      <c r="B332" s="4"/>
      <c r="C332" s="4"/>
      <c r="D332" s="4"/>
      <c r="E332" s="4"/>
      <c r="F332" s="4"/>
    </row>
    <row r="333" spans="1:6" x14ac:dyDescent="0.35">
      <c r="A333" s="4"/>
      <c r="B333" s="4"/>
      <c r="C333" s="4"/>
      <c r="D333" s="4"/>
      <c r="E333" s="4"/>
      <c r="F333" s="4"/>
    </row>
    <row r="334" spans="1:6" x14ac:dyDescent="0.35">
      <c r="A334" s="4"/>
      <c r="B334" s="4"/>
      <c r="C334" s="4"/>
      <c r="D334" s="4"/>
      <c r="E334" s="4"/>
      <c r="F334" s="4"/>
    </row>
    <row r="335" spans="1:6" x14ac:dyDescent="0.35">
      <c r="A335" s="4"/>
      <c r="B335" s="4"/>
      <c r="C335" s="4"/>
      <c r="D335" s="4"/>
      <c r="E335" s="4"/>
      <c r="F335" s="4"/>
    </row>
    <row r="336" spans="1:6" x14ac:dyDescent="0.35">
      <c r="A336" s="4"/>
      <c r="B336" s="4"/>
      <c r="C336" s="4"/>
      <c r="D336" s="4"/>
      <c r="E336" s="4"/>
      <c r="F336" s="4"/>
    </row>
    <row r="337" spans="1:6" x14ac:dyDescent="0.35">
      <c r="A337" s="4"/>
      <c r="B337" s="4"/>
      <c r="C337" s="4"/>
      <c r="D337" s="4"/>
      <c r="E337" s="4"/>
      <c r="F337" s="4"/>
    </row>
    <row r="338" spans="1:6" x14ac:dyDescent="0.35">
      <c r="A338" s="4"/>
      <c r="B338" s="4"/>
      <c r="C338" s="4"/>
      <c r="D338" s="4"/>
      <c r="E338" s="4"/>
      <c r="F338" s="4"/>
    </row>
    <row r="339" spans="1:6" x14ac:dyDescent="0.35">
      <c r="A339" s="4"/>
      <c r="B339" s="4"/>
      <c r="C339" s="4"/>
      <c r="D339" s="4"/>
      <c r="E339" s="4"/>
      <c r="F339" s="4"/>
    </row>
    <row r="340" spans="1:6" x14ac:dyDescent="0.35">
      <c r="A340" s="4"/>
      <c r="B340" s="4"/>
      <c r="C340" s="4"/>
      <c r="D340" s="4"/>
      <c r="E340" s="4"/>
      <c r="F340" s="4"/>
    </row>
    <row r="341" spans="1:6" x14ac:dyDescent="0.35">
      <c r="A341" s="4"/>
      <c r="B341" s="4"/>
      <c r="C341" s="4"/>
      <c r="D341" s="4"/>
      <c r="E341" s="4"/>
      <c r="F341" s="4"/>
    </row>
    <row r="342" spans="1:6" x14ac:dyDescent="0.35">
      <c r="A342" s="4"/>
      <c r="B342" s="4"/>
      <c r="C342" s="4"/>
      <c r="D342" s="4"/>
      <c r="E342" s="4"/>
      <c r="F342" s="4"/>
    </row>
    <row r="343" spans="1:6" x14ac:dyDescent="0.35">
      <c r="A343" s="4"/>
      <c r="B343" s="4"/>
      <c r="C343" s="4"/>
      <c r="D343" s="4"/>
      <c r="E343" s="4"/>
      <c r="F343" s="4"/>
    </row>
    <row r="344" spans="1:6" x14ac:dyDescent="0.35">
      <c r="A344" s="4"/>
      <c r="B344" s="4"/>
      <c r="C344" s="4"/>
      <c r="D344" s="4"/>
      <c r="E344" s="4"/>
      <c r="F344" s="4"/>
    </row>
    <row r="345" spans="1:6" x14ac:dyDescent="0.35">
      <c r="A345" s="4"/>
      <c r="B345" s="4"/>
      <c r="C345" s="4"/>
      <c r="D345" s="4"/>
      <c r="E345" s="4"/>
      <c r="F345" s="4"/>
    </row>
    <row r="346" spans="1:6" x14ac:dyDescent="0.35">
      <c r="A346" s="4"/>
      <c r="B346" s="4"/>
      <c r="C346" s="4"/>
      <c r="D346" s="4"/>
      <c r="E346" s="4"/>
      <c r="F346" s="4"/>
    </row>
    <row r="347" spans="1:6" x14ac:dyDescent="0.35">
      <c r="A347" s="4"/>
      <c r="B347" s="4"/>
      <c r="C347" s="4"/>
      <c r="D347" s="4"/>
      <c r="E347" s="4"/>
      <c r="F347" s="4"/>
    </row>
    <row r="348" spans="1:6" x14ac:dyDescent="0.35">
      <c r="A348" s="4"/>
      <c r="B348" s="4"/>
      <c r="C348" s="4"/>
      <c r="D348" s="4"/>
      <c r="E348" s="4"/>
      <c r="F348" s="4"/>
    </row>
    <row r="349" spans="1:6" x14ac:dyDescent="0.35">
      <c r="A349" s="4"/>
      <c r="B349" s="4"/>
      <c r="C349" s="4"/>
      <c r="D349" s="4"/>
      <c r="E349" s="4"/>
      <c r="F349" s="4"/>
    </row>
    <row r="350" spans="1:6" x14ac:dyDescent="0.35">
      <c r="A350" s="4"/>
      <c r="B350" s="4"/>
      <c r="C350" s="4"/>
      <c r="D350" s="4"/>
      <c r="E350" s="4"/>
      <c r="F350" s="4"/>
    </row>
    <row r="351" spans="1:6" x14ac:dyDescent="0.35">
      <c r="A351" s="4"/>
      <c r="B351" s="4"/>
      <c r="C351" s="4"/>
      <c r="D351" s="4"/>
      <c r="E351" s="4"/>
      <c r="F351" s="4"/>
    </row>
    <row r="352" spans="1:6" x14ac:dyDescent="0.35">
      <c r="A352" s="4"/>
      <c r="B352" s="4"/>
      <c r="C352" s="4"/>
      <c r="D352" s="4"/>
      <c r="E352" s="4"/>
      <c r="F352" s="4"/>
    </row>
    <row r="353" spans="1:6" x14ac:dyDescent="0.35">
      <c r="A353" s="4"/>
      <c r="B353" s="4"/>
      <c r="C353" s="4"/>
      <c r="D353" s="4"/>
      <c r="E353" s="4"/>
      <c r="F353" s="4"/>
    </row>
    <row r="354" spans="1:6" x14ac:dyDescent="0.35">
      <c r="A354" s="4"/>
      <c r="B354" s="4"/>
      <c r="C354" s="4"/>
      <c r="D354" s="4"/>
      <c r="E354" s="4"/>
      <c r="F354" s="4"/>
    </row>
    <row r="355" spans="1:6" x14ac:dyDescent="0.35">
      <c r="A355" s="4"/>
      <c r="B355" s="4"/>
      <c r="C355" s="4"/>
      <c r="D355" s="4"/>
      <c r="E355" s="4"/>
      <c r="F355" s="4"/>
    </row>
    <row r="356" spans="1:6" x14ac:dyDescent="0.35">
      <c r="A356" s="4"/>
      <c r="B356" s="4"/>
      <c r="C356" s="4"/>
      <c r="D356" s="4"/>
      <c r="E356" s="4"/>
      <c r="F356" s="4"/>
    </row>
    <row r="357" spans="1:6" x14ac:dyDescent="0.35">
      <c r="A357" s="4"/>
      <c r="B357" s="4"/>
      <c r="C357" s="4"/>
      <c r="D357" s="4"/>
      <c r="E357" s="4"/>
      <c r="F357" s="4"/>
    </row>
    <row r="358" spans="1:6" x14ac:dyDescent="0.35">
      <c r="A358" s="4"/>
      <c r="B358" s="4"/>
      <c r="C358" s="4"/>
      <c r="D358" s="4"/>
      <c r="E358" s="4"/>
      <c r="F358" s="4"/>
    </row>
    <row r="359" spans="1:6" x14ac:dyDescent="0.35">
      <c r="A359" s="4"/>
      <c r="B359" s="4"/>
      <c r="C359" s="4"/>
      <c r="D359" s="4"/>
      <c r="E359" s="4"/>
      <c r="F359" s="4"/>
    </row>
    <row r="360" spans="1:6" x14ac:dyDescent="0.35">
      <c r="A360" s="4"/>
      <c r="B360" s="4"/>
      <c r="C360" s="4"/>
      <c r="D360" s="4"/>
      <c r="E360" s="4"/>
      <c r="F360" s="4"/>
    </row>
    <row r="361" spans="1:6" x14ac:dyDescent="0.35">
      <c r="A361" s="4"/>
      <c r="B361" s="4"/>
      <c r="C361" s="4"/>
      <c r="D361" s="4"/>
      <c r="E361" s="4"/>
      <c r="F361" s="4"/>
    </row>
    <row r="362" spans="1:6" x14ac:dyDescent="0.35">
      <c r="A362" s="4"/>
      <c r="B362" s="4"/>
      <c r="C362" s="4"/>
      <c r="D362" s="4"/>
      <c r="E362" s="4"/>
      <c r="F362" s="4"/>
    </row>
    <row r="363" spans="1:6" x14ac:dyDescent="0.35">
      <c r="A363" s="4"/>
      <c r="B363" s="4"/>
      <c r="C363" s="4"/>
      <c r="D363" s="4"/>
      <c r="E363" s="4"/>
      <c r="F363" s="4"/>
    </row>
    <row r="364" spans="1:6" x14ac:dyDescent="0.35">
      <c r="A364" s="4"/>
      <c r="B364" s="4"/>
      <c r="C364" s="4"/>
      <c r="D364" s="4"/>
      <c r="E364" s="4"/>
      <c r="F364" s="4"/>
    </row>
    <row r="365" spans="1:6" x14ac:dyDescent="0.35">
      <c r="A365" s="4"/>
      <c r="B365" s="4"/>
      <c r="C365" s="4"/>
      <c r="D365" s="4"/>
      <c r="E365" s="4"/>
      <c r="F365" s="4"/>
    </row>
    <row r="366" spans="1:6" x14ac:dyDescent="0.35">
      <c r="A366" s="4"/>
      <c r="B366" s="4"/>
      <c r="C366" s="4"/>
      <c r="D366" s="4"/>
      <c r="E366" s="4"/>
      <c r="F366" s="4"/>
    </row>
    <row r="367" spans="1:6" x14ac:dyDescent="0.35">
      <c r="A367" s="4"/>
      <c r="B367" s="4"/>
      <c r="C367" s="4"/>
      <c r="D367" s="4"/>
      <c r="E367" s="4"/>
      <c r="F367" s="4"/>
    </row>
    <row r="368" spans="1:6" x14ac:dyDescent="0.35">
      <c r="A368" s="4"/>
      <c r="B368" s="4"/>
      <c r="C368" s="4"/>
      <c r="D368" s="4"/>
      <c r="E368" s="4"/>
      <c r="F368" s="4"/>
    </row>
    <row r="369" spans="1:6" x14ac:dyDescent="0.35">
      <c r="A369" s="4"/>
      <c r="B369" s="4"/>
      <c r="C369" s="4"/>
      <c r="D369" s="4"/>
      <c r="E369" s="4"/>
      <c r="F369" s="4"/>
    </row>
    <row r="370" spans="1:6" x14ac:dyDescent="0.35">
      <c r="A370" s="4"/>
      <c r="B370" s="4"/>
      <c r="C370" s="4"/>
      <c r="D370" s="4"/>
      <c r="E370" s="4"/>
      <c r="F370" s="4"/>
    </row>
    <row r="371" spans="1:6" x14ac:dyDescent="0.35">
      <c r="A371" s="4"/>
      <c r="B371" s="4"/>
      <c r="C371" s="4"/>
      <c r="D371" s="4"/>
      <c r="E371" s="4"/>
      <c r="F371" s="4"/>
    </row>
    <row r="372" spans="1:6" x14ac:dyDescent="0.35">
      <c r="A372" s="4"/>
      <c r="B372" s="4"/>
      <c r="C372" s="4"/>
      <c r="D372" s="4"/>
      <c r="E372" s="4"/>
      <c r="F372" s="4"/>
    </row>
    <row r="373" spans="1:6" x14ac:dyDescent="0.35">
      <c r="A373" s="4"/>
      <c r="B373" s="4"/>
      <c r="C373" s="4"/>
      <c r="D373" s="4"/>
      <c r="E373" s="4"/>
      <c r="F373" s="4"/>
    </row>
    <row r="374" spans="1:6" x14ac:dyDescent="0.35">
      <c r="A374" s="4"/>
      <c r="B374" s="4"/>
      <c r="C374" s="4"/>
      <c r="D374" s="4"/>
      <c r="E374" s="4"/>
      <c r="F374" s="4"/>
    </row>
    <row r="375" spans="1:6" x14ac:dyDescent="0.35">
      <c r="A375" s="4"/>
      <c r="B375" s="4"/>
      <c r="C375" s="4"/>
      <c r="D375" s="4"/>
      <c r="E375" s="4"/>
      <c r="F375" s="4"/>
    </row>
    <row r="376" spans="1:6" x14ac:dyDescent="0.35">
      <c r="A376" s="4"/>
      <c r="B376" s="4"/>
      <c r="C376" s="4"/>
      <c r="D376" s="4"/>
      <c r="E376" s="4"/>
      <c r="F376" s="4"/>
    </row>
    <row r="377" spans="1:6" x14ac:dyDescent="0.35">
      <c r="A377" s="4"/>
      <c r="B377" s="4"/>
      <c r="C377" s="4"/>
      <c r="D377" s="4"/>
      <c r="E377" s="4"/>
      <c r="F377" s="4"/>
    </row>
    <row r="378" spans="1:6" x14ac:dyDescent="0.35">
      <c r="A378" s="4"/>
      <c r="B378" s="4"/>
      <c r="C378" s="4"/>
      <c r="D378" s="4"/>
      <c r="E378" s="4"/>
      <c r="F378" s="4"/>
    </row>
    <row r="379" spans="1:6" x14ac:dyDescent="0.35">
      <c r="A379" s="4"/>
      <c r="B379" s="4"/>
      <c r="C379" s="4"/>
      <c r="D379" s="4"/>
      <c r="E379" s="4"/>
      <c r="F379" s="4"/>
    </row>
    <row r="380" spans="1:6" x14ac:dyDescent="0.35">
      <c r="A380" s="4"/>
      <c r="B380" s="4"/>
      <c r="C380" s="4"/>
      <c r="D380" s="4"/>
      <c r="E380" s="4"/>
      <c r="F380" s="4"/>
    </row>
    <row r="381" spans="1:6" x14ac:dyDescent="0.35">
      <c r="A381" s="4"/>
      <c r="B381" s="4"/>
      <c r="C381" s="4"/>
      <c r="D381" s="4"/>
      <c r="E381" s="4"/>
      <c r="F381" s="4"/>
    </row>
    <row r="382" spans="1:6" x14ac:dyDescent="0.35">
      <c r="A382" s="4"/>
      <c r="B382" s="4"/>
      <c r="C382" s="4"/>
      <c r="D382" s="4"/>
      <c r="E382" s="4"/>
      <c r="F382" s="4"/>
    </row>
    <row r="383" spans="1:6" x14ac:dyDescent="0.35">
      <c r="A383" s="4"/>
      <c r="B383" s="4"/>
      <c r="C383" s="4"/>
      <c r="D383" s="4"/>
      <c r="E383" s="4"/>
      <c r="F383" s="4"/>
    </row>
    <row r="384" spans="1:6" x14ac:dyDescent="0.35">
      <c r="A384" s="4"/>
      <c r="B384" s="4"/>
      <c r="C384" s="4"/>
      <c r="D384" s="4"/>
      <c r="E384" s="4"/>
      <c r="F384" s="4"/>
    </row>
    <row r="385" spans="1:6" x14ac:dyDescent="0.35">
      <c r="A385" s="4"/>
      <c r="B385" s="4"/>
      <c r="C385" s="4"/>
      <c r="D385" s="4"/>
      <c r="E385" s="4"/>
      <c r="F385" s="4"/>
    </row>
    <row r="386" spans="1:6" x14ac:dyDescent="0.35">
      <c r="A386" s="4"/>
      <c r="B386" s="4"/>
      <c r="C386" s="4"/>
      <c r="D386" s="4"/>
      <c r="E386" s="4"/>
      <c r="F386" s="4"/>
    </row>
    <row r="387" spans="1:6" x14ac:dyDescent="0.35">
      <c r="A387" s="4"/>
      <c r="B387" s="4"/>
      <c r="C387" s="4"/>
      <c r="D387" s="4"/>
      <c r="E387" s="4"/>
      <c r="F387" s="4"/>
    </row>
    <row r="388" spans="1:6" x14ac:dyDescent="0.35">
      <c r="A388" s="4"/>
      <c r="B388" s="4"/>
      <c r="C388" s="4"/>
      <c r="D388" s="4"/>
      <c r="E388" s="4"/>
      <c r="F388" s="4"/>
    </row>
    <row r="389" spans="1:6" x14ac:dyDescent="0.35">
      <c r="A389" s="4"/>
      <c r="B389" s="4"/>
      <c r="C389" s="4"/>
      <c r="D389" s="4"/>
      <c r="E389" s="4"/>
      <c r="F389" s="4"/>
    </row>
    <row r="390" spans="1:6" x14ac:dyDescent="0.35">
      <c r="A390" s="4"/>
      <c r="B390" s="4"/>
      <c r="C390" s="4"/>
      <c r="D390" s="4"/>
      <c r="E390" s="4"/>
      <c r="F390" s="4"/>
    </row>
    <row r="391" spans="1:6" x14ac:dyDescent="0.35">
      <c r="A391" s="4"/>
      <c r="B391" s="4"/>
      <c r="C391" s="4"/>
      <c r="D391" s="4"/>
      <c r="E391" s="4"/>
      <c r="F391" s="4"/>
    </row>
    <row r="392" spans="1:6" x14ac:dyDescent="0.35">
      <c r="A392" s="4"/>
      <c r="B392" s="4"/>
      <c r="C392" s="4"/>
      <c r="D392" s="4"/>
      <c r="E392" s="4"/>
      <c r="F392" s="4"/>
    </row>
    <row r="393" spans="1:6" x14ac:dyDescent="0.35">
      <c r="A393" s="4"/>
      <c r="B393" s="4"/>
      <c r="C393" s="4"/>
      <c r="D393" s="4"/>
      <c r="E393" s="4"/>
      <c r="F393" s="4"/>
    </row>
    <row r="394" spans="1:6" x14ac:dyDescent="0.35">
      <c r="A394" s="4"/>
      <c r="B394" s="4"/>
      <c r="C394" s="4"/>
      <c r="D394" s="4"/>
      <c r="E394" s="4"/>
      <c r="F394" s="4"/>
    </row>
    <row r="395" spans="1:6" x14ac:dyDescent="0.35">
      <c r="A395" s="4"/>
      <c r="B395" s="4"/>
      <c r="C395" s="4"/>
      <c r="D395" s="4"/>
      <c r="E395" s="4"/>
      <c r="F395" s="4"/>
    </row>
    <row r="396" spans="1:6" x14ac:dyDescent="0.35">
      <c r="A396" s="4"/>
      <c r="B396" s="4"/>
      <c r="C396" s="4"/>
      <c r="D396" s="4"/>
      <c r="E396" s="4"/>
      <c r="F396" s="4"/>
    </row>
    <row r="397" spans="1:6" x14ac:dyDescent="0.35">
      <c r="A397" s="4"/>
      <c r="B397" s="4"/>
      <c r="C397" s="4"/>
      <c r="D397" s="4"/>
      <c r="E397" s="4"/>
      <c r="F397" s="4"/>
    </row>
    <row r="398" spans="1:6" x14ac:dyDescent="0.35">
      <c r="A398" s="4"/>
      <c r="B398" s="4"/>
      <c r="C398" s="4"/>
      <c r="D398" s="4"/>
      <c r="E398" s="4"/>
      <c r="F398" s="4"/>
    </row>
    <row r="399" spans="1:6" x14ac:dyDescent="0.35">
      <c r="A399" s="4"/>
      <c r="B399" s="4"/>
      <c r="C399" s="4"/>
      <c r="D399" s="4"/>
      <c r="E399" s="4"/>
      <c r="F399" s="4"/>
    </row>
    <row r="400" spans="1:6" x14ac:dyDescent="0.35">
      <c r="A400" s="4"/>
      <c r="B400" s="4"/>
      <c r="C400" s="4"/>
      <c r="D400" s="4"/>
      <c r="E400" s="4"/>
      <c r="F400" s="4"/>
    </row>
    <row r="401" spans="1:6" x14ac:dyDescent="0.35">
      <c r="A401" s="4"/>
      <c r="B401" s="4"/>
      <c r="C401" s="4"/>
      <c r="D401" s="4"/>
      <c r="E401" s="4"/>
      <c r="F401" s="4"/>
    </row>
    <row r="402" spans="1:6" x14ac:dyDescent="0.35">
      <c r="A402" s="4"/>
      <c r="B402" s="4"/>
      <c r="C402" s="4"/>
      <c r="D402" s="4"/>
      <c r="E402" s="4"/>
      <c r="F402" s="4"/>
    </row>
    <row r="403" spans="1:6" x14ac:dyDescent="0.35">
      <c r="A403" s="4"/>
      <c r="B403" s="4"/>
      <c r="C403" s="4"/>
      <c r="D403" s="4"/>
      <c r="E403" s="4"/>
      <c r="F403" s="4"/>
    </row>
    <row r="404" spans="1:6" x14ac:dyDescent="0.35">
      <c r="A404" s="4"/>
      <c r="B404" s="4"/>
      <c r="C404" s="4"/>
      <c r="D404" s="4"/>
      <c r="E404" s="4"/>
      <c r="F404" s="4"/>
    </row>
    <row r="405" spans="1:6" x14ac:dyDescent="0.35">
      <c r="A405" s="4"/>
      <c r="B405" s="4"/>
      <c r="C405" s="4"/>
      <c r="D405" s="4"/>
      <c r="E405" s="4"/>
      <c r="F405" s="4"/>
    </row>
    <row r="406" spans="1:6" x14ac:dyDescent="0.35">
      <c r="A406" s="4"/>
      <c r="B406" s="4"/>
      <c r="C406" s="4"/>
      <c r="D406" s="4"/>
      <c r="E406" s="4"/>
      <c r="F406" s="4"/>
    </row>
    <row r="407" spans="1:6" x14ac:dyDescent="0.35">
      <c r="A407" s="4"/>
      <c r="B407" s="4"/>
      <c r="C407" s="4"/>
      <c r="D407" s="4"/>
      <c r="E407" s="4"/>
      <c r="F407" s="4"/>
    </row>
    <row r="408" spans="1:6" x14ac:dyDescent="0.35">
      <c r="A408" s="4"/>
      <c r="B408" s="4"/>
      <c r="C408" s="4"/>
      <c r="D408" s="4"/>
      <c r="E408" s="4"/>
      <c r="F408" s="4"/>
    </row>
    <row r="409" spans="1:6" x14ac:dyDescent="0.35">
      <c r="A409" s="4"/>
      <c r="B409" s="4"/>
      <c r="C409" s="4"/>
      <c r="D409" s="4"/>
      <c r="E409" s="4"/>
      <c r="F409" s="4"/>
    </row>
    <row r="410" spans="1:6" x14ac:dyDescent="0.35">
      <c r="A410" s="4"/>
      <c r="B410" s="4"/>
      <c r="C410" s="4"/>
      <c r="D410" s="4"/>
      <c r="E410" s="4"/>
      <c r="F410" s="4"/>
    </row>
    <row r="411" spans="1:6" x14ac:dyDescent="0.35">
      <c r="A411" s="4"/>
      <c r="B411" s="4"/>
      <c r="C411" s="4"/>
      <c r="D411" s="4"/>
      <c r="E411" s="4"/>
      <c r="F411" s="4"/>
    </row>
    <row r="412" spans="1:6" x14ac:dyDescent="0.35">
      <c r="A412" s="4"/>
      <c r="B412" s="4"/>
      <c r="C412" s="4"/>
      <c r="D412" s="4"/>
      <c r="E412" s="4"/>
      <c r="F412" s="4"/>
    </row>
    <row r="413" spans="1:6" x14ac:dyDescent="0.35">
      <c r="A413" s="4"/>
      <c r="B413" s="4"/>
      <c r="C413" s="4"/>
      <c r="D413" s="4"/>
      <c r="E413" s="4"/>
      <c r="F413" s="4"/>
    </row>
    <row r="414" spans="1:6" x14ac:dyDescent="0.35">
      <c r="A414" s="4"/>
      <c r="B414" s="4"/>
      <c r="C414" s="4"/>
      <c r="D414" s="4"/>
      <c r="E414" s="4"/>
      <c r="F414" s="4"/>
    </row>
    <row r="415" spans="1:6" x14ac:dyDescent="0.35">
      <c r="A415" s="4"/>
      <c r="B415" s="4"/>
      <c r="C415" s="4"/>
      <c r="D415" s="4"/>
      <c r="E415" s="4"/>
      <c r="F415" s="4"/>
    </row>
    <row r="416" spans="1:6" x14ac:dyDescent="0.35">
      <c r="A416" s="4"/>
      <c r="B416" s="4"/>
      <c r="C416" s="4"/>
      <c r="D416" s="4"/>
      <c r="E416" s="4"/>
      <c r="F416" s="4"/>
    </row>
    <row r="417" spans="1:6" x14ac:dyDescent="0.35">
      <c r="A417" s="4"/>
      <c r="B417" s="4"/>
      <c r="C417" s="4"/>
      <c r="D417" s="4"/>
      <c r="E417" s="4"/>
      <c r="F417" s="4"/>
    </row>
    <row r="418" spans="1:6" x14ac:dyDescent="0.35">
      <c r="A418" s="4"/>
      <c r="B418" s="4"/>
      <c r="C418" s="4"/>
      <c r="D418" s="4"/>
      <c r="E418" s="4"/>
      <c r="F418" s="4"/>
    </row>
    <row r="419" spans="1:6" x14ac:dyDescent="0.35">
      <c r="A419" s="4"/>
      <c r="B419" s="4"/>
      <c r="C419" s="4"/>
      <c r="D419" s="4"/>
      <c r="E419" s="4"/>
      <c r="F419" s="4"/>
    </row>
    <row r="420" spans="1:6" x14ac:dyDescent="0.35">
      <c r="A420" s="4"/>
      <c r="B420" s="4"/>
      <c r="C420" s="4"/>
      <c r="D420" s="4"/>
      <c r="E420" s="4"/>
      <c r="F420" s="4"/>
    </row>
    <row r="421" spans="1:6" x14ac:dyDescent="0.35">
      <c r="A421" s="4"/>
      <c r="B421" s="4"/>
      <c r="C421" s="4"/>
      <c r="D421" s="4"/>
      <c r="E421" s="4"/>
      <c r="F421" s="4"/>
    </row>
    <row r="422" spans="1:6" x14ac:dyDescent="0.35">
      <c r="A422" s="4"/>
      <c r="B422" s="4"/>
      <c r="C422" s="4"/>
      <c r="D422" s="4"/>
      <c r="E422" s="4"/>
      <c r="F422" s="4"/>
    </row>
    <row r="423" spans="1:6" x14ac:dyDescent="0.35">
      <c r="A423" s="4"/>
      <c r="B423" s="4"/>
      <c r="C423" s="4"/>
      <c r="D423" s="4"/>
      <c r="E423" s="4"/>
      <c r="F423" s="4"/>
    </row>
    <row r="424" spans="1:6" x14ac:dyDescent="0.35">
      <c r="A424" s="4"/>
      <c r="B424" s="4"/>
      <c r="C424" s="4"/>
      <c r="D424" s="4"/>
      <c r="E424" s="4"/>
      <c r="F424" s="4"/>
    </row>
    <row r="425" spans="1:6" x14ac:dyDescent="0.35">
      <c r="A425" s="4"/>
      <c r="B425" s="4"/>
      <c r="C425" s="4"/>
      <c r="D425" s="4"/>
      <c r="E425" s="4"/>
      <c r="F425" s="4"/>
    </row>
    <row r="426" spans="1:6" x14ac:dyDescent="0.35">
      <c r="A426" s="4"/>
      <c r="B426" s="4"/>
      <c r="C426" s="4"/>
      <c r="D426" s="4"/>
      <c r="E426" s="4"/>
      <c r="F426" s="4"/>
    </row>
    <row r="427" spans="1:6" x14ac:dyDescent="0.35">
      <c r="A427" s="4"/>
      <c r="B427" s="4"/>
      <c r="C427" s="4"/>
      <c r="D427" s="4"/>
      <c r="E427" s="4"/>
      <c r="F427" s="4"/>
    </row>
    <row r="428" spans="1:6" x14ac:dyDescent="0.35">
      <c r="A428" s="4"/>
      <c r="B428" s="4"/>
      <c r="C428" s="4"/>
      <c r="D428" s="4"/>
      <c r="E428" s="4"/>
      <c r="F428" s="4"/>
    </row>
    <row r="429" spans="1:6" x14ac:dyDescent="0.35">
      <c r="A429" s="4"/>
      <c r="B429" s="4"/>
      <c r="C429" s="4"/>
      <c r="D429" s="4"/>
      <c r="E429" s="4"/>
      <c r="F429" s="4"/>
    </row>
    <row r="430" spans="1:6" x14ac:dyDescent="0.35">
      <c r="A430" s="4"/>
      <c r="B430" s="4"/>
      <c r="C430" s="4"/>
      <c r="D430" s="4"/>
      <c r="E430" s="4"/>
      <c r="F430" s="4"/>
    </row>
    <row r="431" spans="1:6" x14ac:dyDescent="0.35">
      <c r="A431" s="4"/>
      <c r="B431" s="4"/>
      <c r="C431" s="4"/>
      <c r="D431" s="4"/>
      <c r="E431" s="4"/>
      <c r="F431" s="4"/>
    </row>
    <row r="432" spans="1:6" x14ac:dyDescent="0.35">
      <c r="A432" s="4"/>
      <c r="B432" s="4"/>
      <c r="C432" s="4"/>
      <c r="D432" s="4"/>
      <c r="E432" s="4"/>
      <c r="F432" s="4"/>
    </row>
    <row r="433" spans="1:6" x14ac:dyDescent="0.35">
      <c r="A433" s="4"/>
      <c r="B433" s="4"/>
      <c r="C433" s="4"/>
      <c r="D433" s="4"/>
      <c r="E433" s="4"/>
      <c r="F433" s="4"/>
    </row>
    <row r="434" spans="1:6" x14ac:dyDescent="0.35">
      <c r="A434" s="4"/>
      <c r="B434" s="4"/>
      <c r="C434" s="4"/>
      <c r="D434" s="4"/>
      <c r="E434" s="4"/>
      <c r="F434" s="4"/>
    </row>
    <row r="435" spans="1:6" x14ac:dyDescent="0.35">
      <c r="A435" s="4"/>
      <c r="B435" s="4"/>
      <c r="C435" s="4"/>
      <c r="D435" s="4"/>
      <c r="E435" s="4"/>
      <c r="F435" s="4"/>
    </row>
    <row r="436" spans="1:6" x14ac:dyDescent="0.35">
      <c r="A436" s="4"/>
      <c r="B436" s="4"/>
      <c r="C436" s="4"/>
      <c r="D436" s="4"/>
      <c r="E436" s="4"/>
      <c r="F436" s="4"/>
    </row>
    <row r="437" spans="1:6" x14ac:dyDescent="0.35">
      <c r="A437" s="4"/>
      <c r="B437" s="4"/>
      <c r="C437" s="4"/>
      <c r="D437" s="4"/>
      <c r="E437" s="4"/>
      <c r="F437" s="4"/>
    </row>
    <row r="438" spans="1:6" x14ac:dyDescent="0.35">
      <c r="A438" s="4"/>
      <c r="B438" s="4"/>
      <c r="C438" s="4"/>
      <c r="D438" s="4"/>
      <c r="E438" s="4"/>
      <c r="F438" s="4"/>
    </row>
    <row r="439" spans="1:6" x14ac:dyDescent="0.35">
      <c r="A439" s="4"/>
      <c r="B439" s="4"/>
      <c r="C439" s="4"/>
      <c r="D439" s="4"/>
      <c r="E439" s="4"/>
      <c r="F439" s="4"/>
    </row>
    <row r="440" spans="1:6" x14ac:dyDescent="0.35">
      <c r="A440" s="4"/>
      <c r="B440" s="4"/>
      <c r="C440" s="4"/>
      <c r="D440" s="4"/>
      <c r="E440" s="4"/>
      <c r="F440" s="4"/>
    </row>
    <row r="441" spans="1:6" x14ac:dyDescent="0.35">
      <c r="A441" s="4"/>
      <c r="B441" s="4"/>
      <c r="C441" s="4"/>
      <c r="D441" s="4"/>
      <c r="E441" s="4"/>
      <c r="F441" s="4"/>
    </row>
    <row r="442" spans="1:6" x14ac:dyDescent="0.35">
      <c r="A442" s="4"/>
      <c r="B442" s="4"/>
      <c r="C442" s="4"/>
      <c r="D442" s="4"/>
      <c r="E442" s="4"/>
      <c r="F442" s="4"/>
    </row>
    <row r="443" spans="1:6" x14ac:dyDescent="0.35">
      <c r="A443" s="4"/>
      <c r="B443" s="4"/>
      <c r="C443" s="4"/>
      <c r="D443" s="4"/>
      <c r="E443" s="4"/>
      <c r="F443" s="4"/>
    </row>
    <row r="444" spans="1:6" x14ac:dyDescent="0.35">
      <c r="A444" s="4"/>
      <c r="B444" s="4"/>
      <c r="C444" s="4"/>
      <c r="D444" s="4"/>
      <c r="E444" s="4"/>
      <c r="F444" s="4"/>
    </row>
    <row r="445" spans="1:6" x14ac:dyDescent="0.35">
      <c r="A445" s="4"/>
      <c r="B445" s="4"/>
      <c r="C445" s="4"/>
      <c r="D445" s="4"/>
      <c r="E445" s="4"/>
      <c r="F445" s="4"/>
    </row>
    <row r="446" spans="1:6" x14ac:dyDescent="0.35">
      <c r="A446" s="4"/>
      <c r="B446" s="4"/>
      <c r="C446" s="4"/>
      <c r="D446" s="4"/>
      <c r="E446" s="4"/>
      <c r="F446" s="4"/>
    </row>
    <row r="447" spans="1:6" x14ac:dyDescent="0.35">
      <c r="A447" s="4"/>
      <c r="B447" s="4"/>
      <c r="C447" s="4"/>
      <c r="D447" s="4"/>
      <c r="E447" s="4"/>
      <c r="F447" s="4"/>
    </row>
    <row r="448" spans="1:6" x14ac:dyDescent="0.35">
      <c r="A448" s="4"/>
      <c r="B448" s="4"/>
      <c r="C448" s="4"/>
      <c r="D448" s="4"/>
      <c r="E448" s="4"/>
      <c r="F448" s="4"/>
    </row>
    <row r="449" spans="1:6" x14ac:dyDescent="0.35">
      <c r="A449" s="4"/>
      <c r="B449" s="4"/>
      <c r="C449" s="4"/>
      <c r="D449" s="4"/>
      <c r="E449" s="4"/>
      <c r="F449" s="4"/>
    </row>
    <row r="450" spans="1:6" x14ac:dyDescent="0.35">
      <c r="A450" s="4"/>
      <c r="B450" s="4"/>
      <c r="C450" s="4"/>
      <c r="D450" s="4"/>
      <c r="E450" s="4"/>
      <c r="F450" s="4"/>
    </row>
    <row r="451" spans="1:6" x14ac:dyDescent="0.35">
      <c r="A451" s="4"/>
      <c r="B451" s="4"/>
      <c r="C451" s="4"/>
      <c r="D451" s="4"/>
      <c r="E451" s="4"/>
      <c r="F451" s="4"/>
    </row>
    <row r="452" spans="1:6" x14ac:dyDescent="0.35">
      <c r="A452" s="4"/>
      <c r="B452" s="4"/>
      <c r="C452" s="4"/>
      <c r="D452" s="4"/>
      <c r="E452" s="4"/>
      <c r="F452" s="4"/>
    </row>
    <row r="453" spans="1:6" x14ac:dyDescent="0.35">
      <c r="A453" s="4"/>
      <c r="B453" s="4"/>
      <c r="C453" s="4"/>
      <c r="D453" s="4"/>
      <c r="E453" s="4"/>
      <c r="F453" s="4"/>
    </row>
    <row r="454" spans="1:6" x14ac:dyDescent="0.35">
      <c r="A454" s="4"/>
      <c r="B454" s="4"/>
      <c r="C454" s="4"/>
      <c r="D454" s="4"/>
      <c r="E454" s="4"/>
      <c r="F454" s="4"/>
    </row>
    <row r="455" spans="1:6" x14ac:dyDescent="0.35">
      <c r="A455" s="4"/>
      <c r="B455" s="4"/>
      <c r="C455" s="4"/>
      <c r="D455" s="4"/>
      <c r="E455" s="4"/>
      <c r="F455" s="4"/>
    </row>
    <row r="456" spans="1:6" x14ac:dyDescent="0.35">
      <c r="A456" s="4"/>
      <c r="B456" s="4"/>
      <c r="C456" s="4"/>
      <c r="D456" s="4"/>
      <c r="E456" s="4"/>
      <c r="F456" s="4"/>
    </row>
    <row r="457" spans="1:6" x14ac:dyDescent="0.35">
      <c r="A457" s="4"/>
      <c r="B457" s="4"/>
      <c r="C457" s="4"/>
      <c r="D457" s="4"/>
      <c r="E457" s="4"/>
      <c r="F457" s="4"/>
    </row>
    <row r="458" spans="1:6" x14ac:dyDescent="0.35">
      <c r="A458" s="4"/>
      <c r="B458" s="4"/>
      <c r="C458" s="4"/>
      <c r="D458" s="4"/>
      <c r="E458" s="4"/>
      <c r="F458" s="4"/>
    </row>
    <row r="459" spans="1:6" x14ac:dyDescent="0.35">
      <c r="A459" s="4"/>
      <c r="B459" s="4"/>
      <c r="C459" s="4"/>
      <c r="D459" s="4"/>
      <c r="E459" s="4"/>
      <c r="F459" s="4"/>
    </row>
    <row r="460" spans="1:6" x14ac:dyDescent="0.35">
      <c r="A460" s="4"/>
      <c r="B460" s="4"/>
      <c r="C460" s="4"/>
      <c r="D460" s="4"/>
      <c r="E460" s="4"/>
      <c r="F460" s="4"/>
    </row>
    <row r="461" spans="1:6" x14ac:dyDescent="0.35">
      <c r="A461" s="4"/>
      <c r="B461" s="4"/>
      <c r="C461" s="4"/>
      <c r="D461" s="4"/>
      <c r="E461" s="4"/>
      <c r="F461" s="4"/>
    </row>
    <row r="462" spans="1:6" x14ac:dyDescent="0.35">
      <c r="A462" s="4"/>
      <c r="B462" s="4"/>
      <c r="C462" s="4"/>
      <c r="D462" s="4"/>
      <c r="E462" s="4"/>
      <c r="F462" s="4"/>
    </row>
    <row r="463" spans="1:6" x14ac:dyDescent="0.35">
      <c r="A463" s="4"/>
      <c r="B463" s="4"/>
      <c r="C463" s="4"/>
      <c r="D463" s="4"/>
      <c r="E463" s="4"/>
      <c r="F463" s="4"/>
    </row>
    <row r="464" spans="1:6" x14ac:dyDescent="0.35">
      <c r="A464" s="4"/>
      <c r="B464" s="4"/>
      <c r="C464" s="4"/>
      <c r="D464" s="4"/>
      <c r="E464" s="4"/>
      <c r="F464" s="4"/>
    </row>
    <row r="465" spans="1:6" x14ac:dyDescent="0.35">
      <c r="A465" s="4"/>
      <c r="B465" s="4"/>
      <c r="C465" s="4"/>
      <c r="D465" s="4"/>
      <c r="E465" s="4"/>
      <c r="F465" s="4"/>
    </row>
    <row r="466" spans="1:6" x14ac:dyDescent="0.35">
      <c r="A466" s="4"/>
      <c r="B466" s="4"/>
      <c r="C466" s="4"/>
      <c r="D466" s="4"/>
      <c r="E466" s="4"/>
      <c r="F466" s="4"/>
    </row>
    <row r="467" spans="1:6" x14ac:dyDescent="0.35">
      <c r="A467" s="4"/>
      <c r="B467" s="4"/>
      <c r="C467" s="4"/>
      <c r="D467" s="4"/>
      <c r="E467" s="4"/>
      <c r="F467" s="4"/>
    </row>
    <row r="468" spans="1:6" x14ac:dyDescent="0.35">
      <c r="A468" s="4"/>
      <c r="B468" s="4"/>
      <c r="C468" s="4"/>
      <c r="D468" s="4"/>
      <c r="E468" s="4"/>
      <c r="F468" s="4"/>
    </row>
    <row r="469" spans="1:6" x14ac:dyDescent="0.35">
      <c r="A469" s="4"/>
      <c r="B469" s="4"/>
      <c r="C469" s="4"/>
      <c r="D469" s="4"/>
      <c r="E469" s="4"/>
      <c r="F469" s="4"/>
    </row>
    <row r="470" spans="1:6" x14ac:dyDescent="0.35">
      <c r="A470" s="4"/>
      <c r="B470" s="4"/>
      <c r="C470" s="4"/>
      <c r="D470" s="4"/>
      <c r="E470" s="4"/>
      <c r="F470" s="4"/>
    </row>
    <row r="471" spans="1:6" x14ac:dyDescent="0.35">
      <c r="A471" s="4"/>
      <c r="B471" s="4"/>
      <c r="C471" s="4"/>
      <c r="D471" s="4"/>
      <c r="E471" s="4"/>
      <c r="F471" s="4"/>
    </row>
    <row r="472" spans="1:6" x14ac:dyDescent="0.35">
      <c r="A472" s="4"/>
      <c r="B472" s="4"/>
      <c r="C472" s="4"/>
      <c r="D472" s="4"/>
      <c r="E472" s="4"/>
      <c r="F472" s="4"/>
    </row>
    <row r="473" spans="1:6" x14ac:dyDescent="0.35">
      <c r="A473" s="4"/>
      <c r="B473" s="4"/>
      <c r="C473" s="4"/>
      <c r="D473" s="4"/>
      <c r="E473" s="4"/>
      <c r="F473" s="4"/>
    </row>
    <row r="474" spans="1:6" x14ac:dyDescent="0.35">
      <c r="A474" s="4"/>
      <c r="B474" s="4"/>
      <c r="C474" s="4"/>
      <c r="D474" s="4"/>
      <c r="E474" s="4"/>
      <c r="F474" s="4"/>
    </row>
    <row r="475" spans="1:6" x14ac:dyDescent="0.35">
      <c r="A475" s="4"/>
      <c r="B475" s="4"/>
      <c r="C475" s="4"/>
      <c r="D475" s="4"/>
      <c r="E475" s="4"/>
      <c r="F475" s="4"/>
    </row>
    <row r="476" spans="1:6" x14ac:dyDescent="0.35">
      <c r="A476" s="4"/>
      <c r="B476" s="4"/>
      <c r="C476" s="4"/>
      <c r="D476" s="4"/>
      <c r="E476" s="4"/>
      <c r="F476" s="4"/>
    </row>
    <row r="477" spans="1:6" x14ac:dyDescent="0.35">
      <c r="A477" s="4"/>
      <c r="B477" s="4"/>
      <c r="C477" s="4"/>
      <c r="D477" s="4"/>
      <c r="E477" s="4"/>
      <c r="F477" s="4"/>
    </row>
    <row r="478" spans="1:6" x14ac:dyDescent="0.35">
      <c r="A478" s="4"/>
      <c r="B478" s="4"/>
      <c r="C478" s="4"/>
      <c r="D478" s="4"/>
      <c r="E478" s="4"/>
      <c r="F478" s="4"/>
    </row>
    <row r="479" spans="1:6" x14ac:dyDescent="0.35">
      <c r="A479" s="4"/>
      <c r="B479" s="4"/>
      <c r="C479" s="4"/>
      <c r="D479" s="4"/>
      <c r="E479" s="4"/>
      <c r="F479" s="4"/>
    </row>
    <row r="480" spans="1:6" x14ac:dyDescent="0.35">
      <c r="A480" s="4"/>
      <c r="B480" s="4"/>
      <c r="C480" s="4"/>
      <c r="D480" s="4"/>
      <c r="E480" s="4"/>
      <c r="F480" s="4"/>
    </row>
    <row r="481" spans="1:6" x14ac:dyDescent="0.35">
      <c r="A481" s="4"/>
      <c r="B481" s="4"/>
      <c r="C481" s="4"/>
      <c r="D481" s="4"/>
      <c r="E481" s="4"/>
      <c r="F481" s="4"/>
    </row>
    <row r="482" spans="1:6" x14ac:dyDescent="0.35">
      <c r="A482" s="4"/>
      <c r="B482" s="4"/>
      <c r="C482" s="4"/>
      <c r="D482" s="4"/>
      <c r="E482" s="4"/>
      <c r="F482" s="4"/>
    </row>
    <row r="483" spans="1:6" x14ac:dyDescent="0.35">
      <c r="A483" s="4"/>
      <c r="B483" s="4"/>
      <c r="C483" s="4"/>
      <c r="D483" s="4"/>
      <c r="E483" s="4"/>
      <c r="F483" s="4"/>
    </row>
    <row r="484" spans="1:6" x14ac:dyDescent="0.35">
      <c r="A484" s="4"/>
      <c r="B484" s="4"/>
      <c r="C484" s="4"/>
      <c r="D484" s="4"/>
      <c r="E484" s="4"/>
      <c r="F484" s="4"/>
    </row>
    <row r="485" spans="1:6" x14ac:dyDescent="0.35">
      <c r="A485" s="4"/>
      <c r="B485" s="4"/>
      <c r="C485" s="4"/>
      <c r="D485" s="4"/>
      <c r="E485" s="4"/>
      <c r="F485" s="4"/>
    </row>
    <row r="486" spans="1:6" x14ac:dyDescent="0.35">
      <c r="A486" s="4"/>
      <c r="B486" s="4"/>
      <c r="C486" s="4"/>
      <c r="D486" s="4"/>
      <c r="E486" s="4"/>
      <c r="F486" s="4"/>
    </row>
    <row r="487" spans="1:6" x14ac:dyDescent="0.35">
      <c r="A487" s="4"/>
      <c r="B487" s="4"/>
      <c r="C487" s="4"/>
      <c r="D487" s="4"/>
      <c r="E487" s="4"/>
      <c r="F487" s="4"/>
    </row>
    <row r="488" spans="1:6" x14ac:dyDescent="0.35">
      <c r="A488" s="4"/>
      <c r="B488" s="4"/>
      <c r="C488" s="4"/>
      <c r="D488" s="4"/>
      <c r="E488" s="4"/>
      <c r="F488" s="4"/>
    </row>
    <row r="489" spans="1:6" x14ac:dyDescent="0.35">
      <c r="A489" s="4"/>
      <c r="B489" s="4"/>
      <c r="C489" s="4"/>
      <c r="D489" s="4"/>
      <c r="E489" s="4"/>
      <c r="F489" s="4"/>
    </row>
    <row r="490" spans="1:6" x14ac:dyDescent="0.35">
      <c r="A490" s="4"/>
      <c r="B490" s="4"/>
      <c r="C490" s="4"/>
      <c r="D490" s="4"/>
      <c r="E490" s="4"/>
      <c r="F490" s="4"/>
    </row>
    <row r="491" spans="1:6" x14ac:dyDescent="0.35">
      <c r="A491" s="4"/>
      <c r="B491" s="4"/>
      <c r="C491" s="4"/>
      <c r="D491" s="4"/>
      <c r="E491" s="4"/>
      <c r="F491" s="4"/>
    </row>
    <row r="492" spans="1:6" x14ac:dyDescent="0.35">
      <c r="A492" s="4"/>
      <c r="B492" s="4"/>
      <c r="C492" s="4"/>
      <c r="D492" s="4"/>
      <c r="E492" s="4"/>
      <c r="F492" s="4"/>
    </row>
    <row r="493" spans="1:6" x14ac:dyDescent="0.35">
      <c r="A493" s="4"/>
      <c r="B493" s="4"/>
      <c r="C493" s="4"/>
      <c r="D493" s="4"/>
      <c r="E493" s="4"/>
      <c r="F493" s="4"/>
    </row>
    <row r="494" spans="1:6" x14ac:dyDescent="0.35">
      <c r="A494" s="4"/>
      <c r="B494" s="4"/>
      <c r="C494" s="4"/>
      <c r="D494" s="4"/>
      <c r="E494" s="4"/>
      <c r="F494" s="4"/>
    </row>
    <row r="495" spans="1:6" x14ac:dyDescent="0.35">
      <c r="A495" s="4"/>
      <c r="B495" s="4"/>
      <c r="C495" s="4"/>
      <c r="D495" s="4"/>
      <c r="E495" s="4"/>
      <c r="F495" s="4"/>
    </row>
    <row r="496" spans="1:6" x14ac:dyDescent="0.35">
      <c r="A496" s="4"/>
      <c r="B496" s="4"/>
      <c r="C496" s="4"/>
      <c r="D496" s="4"/>
      <c r="E496" s="4"/>
      <c r="F496" s="4"/>
    </row>
    <row r="497" spans="1:6" x14ac:dyDescent="0.35">
      <c r="A497" s="4"/>
      <c r="B497" s="4"/>
      <c r="C497" s="4"/>
      <c r="D497" s="4"/>
      <c r="E497" s="4"/>
      <c r="F497" s="4"/>
    </row>
    <row r="498" spans="1:6" x14ac:dyDescent="0.35">
      <c r="A498" s="4"/>
      <c r="B498" s="4"/>
      <c r="C498" s="4"/>
      <c r="D498" s="4"/>
      <c r="E498" s="4"/>
      <c r="F498" s="4"/>
    </row>
    <row r="499" spans="1:6" x14ac:dyDescent="0.35">
      <c r="A499" s="4"/>
      <c r="B499" s="4"/>
      <c r="C499" s="4"/>
      <c r="D499" s="4"/>
      <c r="E499" s="4"/>
      <c r="F499" s="4"/>
    </row>
    <row r="500" spans="1:6" x14ac:dyDescent="0.35">
      <c r="A500" s="4"/>
      <c r="B500" s="4"/>
      <c r="C500" s="4"/>
      <c r="D500" s="4"/>
      <c r="E500" s="4"/>
      <c r="F500" s="4"/>
    </row>
    <row r="501" spans="1:6" x14ac:dyDescent="0.35">
      <c r="A501" s="4"/>
      <c r="B501" s="4"/>
      <c r="C501" s="4"/>
      <c r="D501" s="4"/>
      <c r="E501" s="4"/>
      <c r="F501" s="4"/>
    </row>
    <row r="502" spans="1:6" x14ac:dyDescent="0.35">
      <c r="A502" s="4"/>
      <c r="B502" s="4"/>
      <c r="C502" s="4"/>
      <c r="D502" s="4"/>
      <c r="E502" s="4"/>
      <c r="F502" s="4"/>
    </row>
    <row r="503" spans="1:6" x14ac:dyDescent="0.35">
      <c r="A503" s="4"/>
      <c r="B503" s="4"/>
      <c r="C503" s="4"/>
      <c r="D503" s="4"/>
      <c r="E503" s="4"/>
      <c r="F503" s="4"/>
    </row>
    <row r="504" spans="1:6" x14ac:dyDescent="0.35">
      <c r="A504" s="4"/>
      <c r="B504" s="4"/>
      <c r="C504" s="4"/>
      <c r="D504" s="4"/>
      <c r="E504" s="4"/>
      <c r="F504" s="4"/>
    </row>
    <row r="505" spans="1:6" x14ac:dyDescent="0.35">
      <c r="A505" s="4"/>
      <c r="B505" s="4"/>
      <c r="C505" s="4"/>
      <c r="D505" s="4"/>
      <c r="E505" s="4"/>
      <c r="F505" s="4"/>
    </row>
    <row r="506" spans="1:6" x14ac:dyDescent="0.35">
      <c r="A506" s="4"/>
      <c r="B506" s="4"/>
      <c r="C506" s="4"/>
      <c r="D506" s="4"/>
      <c r="E506" s="4"/>
      <c r="F506" s="4"/>
    </row>
    <row r="507" spans="1:6" x14ac:dyDescent="0.35">
      <c r="A507" s="4"/>
      <c r="B507" s="4"/>
      <c r="C507" s="4"/>
      <c r="D507" s="4"/>
      <c r="E507" s="4"/>
      <c r="F507" s="4"/>
    </row>
    <row r="508" spans="1:6" x14ac:dyDescent="0.35">
      <c r="A508" s="4"/>
      <c r="B508" s="4"/>
      <c r="C508" s="4"/>
      <c r="D508" s="4"/>
      <c r="E508" s="4"/>
      <c r="F508" s="4"/>
    </row>
    <row r="509" spans="1:6" x14ac:dyDescent="0.35">
      <c r="A509" s="4"/>
      <c r="B509" s="4"/>
      <c r="C509" s="4"/>
      <c r="D509" s="4"/>
      <c r="E509" s="4"/>
      <c r="F509" s="4"/>
    </row>
    <row r="510" spans="1:6" x14ac:dyDescent="0.35">
      <c r="A510" s="4"/>
      <c r="B510" s="4"/>
      <c r="C510" s="4"/>
      <c r="D510" s="4"/>
      <c r="E510" s="4"/>
      <c r="F510" s="4"/>
    </row>
    <row r="511" spans="1:6" x14ac:dyDescent="0.35">
      <c r="A511" s="4"/>
      <c r="B511" s="4"/>
      <c r="C511" s="4"/>
      <c r="D511" s="4"/>
      <c r="E511" s="4"/>
      <c r="F511" s="4"/>
    </row>
    <row r="512" spans="1:6" x14ac:dyDescent="0.35">
      <c r="A512" s="4"/>
      <c r="B512" s="4"/>
      <c r="C512" s="4"/>
      <c r="D512" s="4"/>
      <c r="E512" s="4"/>
      <c r="F512" s="4"/>
    </row>
    <row r="513" spans="1:6" x14ac:dyDescent="0.35">
      <c r="A513" s="4"/>
      <c r="B513" s="4"/>
      <c r="C513" s="4"/>
      <c r="D513" s="4"/>
      <c r="E513" s="4"/>
      <c r="F513" s="4"/>
    </row>
    <row r="514" spans="1:6" x14ac:dyDescent="0.35">
      <c r="A514" s="4"/>
      <c r="B514" s="4"/>
      <c r="C514" s="4"/>
      <c r="D514" s="4"/>
      <c r="E514" s="4"/>
      <c r="F514" s="4"/>
    </row>
    <row r="515" spans="1:6" x14ac:dyDescent="0.35">
      <c r="A515" s="4"/>
      <c r="B515" s="4"/>
      <c r="C515" s="4"/>
      <c r="D515" s="4"/>
      <c r="E515" s="4"/>
      <c r="F515" s="4"/>
    </row>
    <row r="516" spans="1:6" x14ac:dyDescent="0.35">
      <c r="A516" s="4"/>
      <c r="B516" s="4"/>
      <c r="C516" s="4"/>
      <c r="D516" s="4"/>
      <c r="E516" s="4"/>
      <c r="F516" s="4"/>
    </row>
    <row r="517" spans="1:6" x14ac:dyDescent="0.35">
      <c r="A517" s="4"/>
      <c r="B517" s="4"/>
      <c r="C517" s="4"/>
      <c r="D517" s="4"/>
      <c r="E517" s="4"/>
      <c r="F517" s="4"/>
    </row>
    <row r="518" spans="1:6" x14ac:dyDescent="0.35">
      <c r="A518" s="4"/>
      <c r="B518" s="4"/>
      <c r="C518" s="4"/>
      <c r="D518" s="4"/>
      <c r="E518" s="4"/>
      <c r="F518" s="4"/>
    </row>
    <row r="519" spans="1:6" x14ac:dyDescent="0.35">
      <c r="A519" s="4"/>
      <c r="B519" s="4"/>
      <c r="C519" s="4"/>
      <c r="D519" s="4"/>
      <c r="E519" s="4"/>
      <c r="F519" s="4"/>
    </row>
    <row r="520" spans="1:6" x14ac:dyDescent="0.35">
      <c r="A520" s="4"/>
      <c r="B520" s="4"/>
      <c r="C520" s="4"/>
      <c r="D520" s="4"/>
      <c r="E520" s="4"/>
      <c r="F520" s="4"/>
    </row>
    <row r="521" spans="1:6" x14ac:dyDescent="0.35">
      <c r="A521" s="4"/>
      <c r="B521" s="4"/>
      <c r="C521" s="4"/>
      <c r="D521" s="4"/>
      <c r="E521" s="4"/>
      <c r="F521" s="4"/>
    </row>
    <row r="522" spans="1:6" x14ac:dyDescent="0.35">
      <c r="A522" s="4"/>
      <c r="B522" s="4"/>
      <c r="C522" s="4"/>
      <c r="D522" s="4"/>
      <c r="E522" s="4"/>
      <c r="F522" s="4"/>
    </row>
    <row r="523" spans="1:6" x14ac:dyDescent="0.35">
      <c r="A523" s="4"/>
      <c r="B523" s="4"/>
      <c r="C523" s="4"/>
      <c r="D523" s="4"/>
      <c r="E523" s="4"/>
      <c r="F523" s="4"/>
    </row>
    <row r="524" spans="1:6" x14ac:dyDescent="0.35">
      <c r="A524" s="4"/>
      <c r="B524" s="4"/>
      <c r="C524" s="4"/>
      <c r="D524" s="4"/>
      <c r="E524" s="4"/>
      <c r="F524" s="4"/>
    </row>
    <row r="525" spans="1:6" x14ac:dyDescent="0.35">
      <c r="A525" s="4"/>
      <c r="B525" s="4"/>
      <c r="C525" s="4"/>
      <c r="D525" s="4"/>
      <c r="E525" s="4"/>
      <c r="F525" s="4"/>
    </row>
    <row r="526" spans="1:6" x14ac:dyDescent="0.35">
      <c r="A526" s="4"/>
      <c r="B526" s="4"/>
      <c r="C526" s="4"/>
      <c r="D526" s="4"/>
      <c r="E526" s="4"/>
      <c r="F526" s="4"/>
    </row>
    <row r="527" spans="1:6" x14ac:dyDescent="0.35">
      <c r="A527" s="4"/>
      <c r="B527" s="4"/>
      <c r="C527" s="4"/>
      <c r="D527" s="4"/>
      <c r="E527" s="4"/>
      <c r="F527" s="4"/>
    </row>
    <row r="528" spans="1:6" x14ac:dyDescent="0.35">
      <c r="A528" s="4"/>
      <c r="B528" s="4"/>
      <c r="C528" s="4"/>
      <c r="D528" s="4"/>
      <c r="E528" s="4"/>
      <c r="F528" s="4"/>
    </row>
    <row r="529" spans="1:6" x14ac:dyDescent="0.35">
      <c r="A529" s="4"/>
      <c r="B529" s="4"/>
      <c r="C529" s="4"/>
      <c r="D529" s="4"/>
      <c r="E529" s="4"/>
      <c r="F529" s="4"/>
    </row>
    <row r="530" spans="1:6" x14ac:dyDescent="0.35">
      <c r="A530" s="4"/>
      <c r="B530" s="4"/>
      <c r="C530" s="4"/>
      <c r="D530" s="4"/>
      <c r="E530" s="4"/>
      <c r="F530" s="4"/>
    </row>
    <row r="531" spans="1:6" x14ac:dyDescent="0.35">
      <c r="A531" s="4"/>
      <c r="B531" s="4"/>
      <c r="C531" s="4"/>
      <c r="D531" s="4"/>
      <c r="E531" s="4"/>
      <c r="F531" s="4"/>
    </row>
    <row r="532" spans="1:6" x14ac:dyDescent="0.35">
      <c r="A532" s="4"/>
      <c r="B532" s="4"/>
      <c r="C532" s="4"/>
      <c r="D532" s="4"/>
      <c r="E532" s="4"/>
      <c r="F532" s="4"/>
    </row>
    <row r="533" spans="1:6" x14ac:dyDescent="0.35">
      <c r="A533" s="4"/>
      <c r="B533" s="4"/>
      <c r="C533" s="4"/>
      <c r="D533" s="4"/>
      <c r="E533" s="4"/>
      <c r="F533" s="4"/>
    </row>
    <row r="534" spans="1:6" x14ac:dyDescent="0.35">
      <c r="A534" s="4"/>
      <c r="B534" s="4"/>
      <c r="C534" s="4"/>
      <c r="D534" s="4"/>
      <c r="E534" s="4"/>
      <c r="F534" s="4"/>
    </row>
    <row r="535" spans="1:6" x14ac:dyDescent="0.35">
      <c r="A535" s="4"/>
      <c r="B535" s="4"/>
      <c r="C535" s="4"/>
      <c r="D535" s="4"/>
      <c r="E535" s="4"/>
      <c r="F535" s="4"/>
    </row>
    <row r="536" spans="1:6" x14ac:dyDescent="0.35">
      <c r="A536" s="4"/>
      <c r="B536" s="4"/>
      <c r="C536" s="4"/>
      <c r="D536" s="4"/>
      <c r="E536" s="4"/>
      <c r="F536" s="4"/>
    </row>
    <row r="537" spans="1:6" x14ac:dyDescent="0.35">
      <c r="A537" s="4"/>
      <c r="B537" s="4"/>
      <c r="C537" s="4"/>
      <c r="D537" s="4"/>
      <c r="E537" s="4"/>
      <c r="F537" s="4"/>
    </row>
    <row r="538" spans="1:6" x14ac:dyDescent="0.35">
      <c r="A538" s="4"/>
      <c r="B538" s="4"/>
      <c r="C538" s="4"/>
      <c r="D538" s="4"/>
      <c r="E538" s="4"/>
      <c r="F538" s="4"/>
    </row>
    <row r="539" spans="1:6" x14ac:dyDescent="0.35">
      <c r="A539" s="4"/>
      <c r="B539" s="4"/>
      <c r="C539" s="4"/>
      <c r="D539" s="4"/>
      <c r="E539" s="4"/>
      <c r="F539" s="4"/>
    </row>
    <row r="540" spans="1:6" x14ac:dyDescent="0.35">
      <c r="A540" s="4"/>
      <c r="B540" s="4"/>
      <c r="C540" s="4"/>
      <c r="D540" s="4"/>
      <c r="E540" s="4"/>
      <c r="F540" s="4"/>
    </row>
    <row r="541" spans="1:6" x14ac:dyDescent="0.35">
      <c r="A541" s="4"/>
      <c r="B541" s="4"/>
      <c r="C541" s="4"/>
      <c r="D541" s="4"/>
      <c r="E541" s="4"/>
      <c r="F541" s="4"/>
    </row>
    <row r="542" spans="1:6" x14ac:dyDescent="0.35">
      <c r="A542" s="4"/>
      <c r="B542" s="4"/>
      <c r="C542" s="4"/>
      <c r="D542" s="4"/>
      <c r="E542" s="4"/>
      <c r="F542" s="4"/>
    </row>
    <row r="543" spans="1:6" x14ac:dyDescent="0.35">
      <c r="A543" s="4"/>
      <c r="B543" s="4"/>
      <c r="C543" s="4"/>
      <c r="D543" s="4"/>
      <c r="E543" s="4"/>
      <c r="F543" s="4"/>
    </row>
    <row r="544" spans="1:6" x14ac:dyDescent="0.35">
      <c r="A544" s="4"/>
      <c r="B544" s="4"/>
      <c r="C544" s="4"/>
      <c r="D544" s="4"/>
      <c r="E544" s="4"/>
      <c r="F544" s="4"/>
    </row>
    <row r="545" spans="1:6" x14ac:dyDescent="0.35">
      <c r="A545" s="4"/>
      <c r="B545" s="4"/>
      <c r="C545" s="4"/>
      <c r="D545" s="4"/>
      <c r="E545" s="4"/>
      <c r="F545" s="4"/>
    </row>
    <row r="546" spans="1:6" x14ac:dyDescent="0.35">
      <c r="A546" s="4"/>
      <c r="B546" s="4"/>
      <c r="C546" s="4"/>
      <c r="D546" s="4"/>
      <c r="E546" s="4"/>
      <c r="F546" s="4"/>
    </row>
    <row r="547" spans="1:6" x14ac:dyDescent="0.35">
      <c r="A547" s="4"/>
      <c r="B547" s="4"/>
      <c r="C547" s="4"/>
      <c r="D547" s="4"/>
      <c r="E547" s="4"/>
      <c r="F547" s="4"/>
    </row>
    <row r="548" spans="1:6" x14ac:dyDescent="0.35">
      <c r="A548" s="4"/>
      <c r="B548" s="4"/>
      <c r="C548" s="4"/>
      <c r="D548" s="4"/>
      <c r="E548" s="4"/>
      <c r="F548" s="4"/>
    </row>
    <row r="549" spans="1:6" x14ac:dyDescent="0.35">
      <c r="A549" s="4"/>
      <c r="B549" s="4"/>
      <c r="C549" s="4"/>
      <c r="D549" s="4"/>
      <c r="E549" s="4"/>
      <c r="F549" s="4"/>
    </row>
    <row r="550" spans="1:6" x14ac:dyDescent="0.35">
      <c r="A550" s="4"/>
      <c r="B550" s="4"/>
      <c r="C550" s="4"/>
      <c r="D550" s="4"/>
      <c r="E550" s="4"/>
      <c r="F550" s="4"/>
    </row>
    <row r="551" spans="1:6" x14ac:dyDescent="0.35">
      <c r="A551" s="4"/>
      <c r="B551" s="4"/>
      <c r="C551" s="4"/>
      <c r="D551" s="4"/>
      <c r="E551" s="4"/>
      <c r="F551" s="4"/>
    </row>
    <row r="552" spans="1:6" x14ac:dyDescent="0.35">
      <c r="A552" s="4"/>
      <c r="B552" s="4"/>
      <c r="C552" s="4"/>
      <c r="D552" s="4"/>
      <c r="E552" s="4"/>
      <c r="F552" s="4"/>
    </row>
    <row r="553" spans="1:6" x14ac:dyDescent="0.35">
      <c r="A553" s="4"/>
      <c r="B553" s="4"/>
      <c r="C553" s="4"/>
      <c r="D553" s="4"/>
      <c r="E553" s="4"/>
      <c r="F553" s="4"/>
    </row>
    <row r="554" spans="1:6" x14ac:dyDescent="0.35">
      <c r="A554" s="4"/>
      <c r="B554" s="4"/>
      <c r="C554" s="4"/>
      <c r="D554" s="4"/>
      <c r="E554" s="4"/>
      <c r="F554" s="4"/>
    </row>
    <row r="555" spans="1:6" x14ac:dyDescent="0.35">
      <c r="A555" s="4"/>
      <c r="B555" s="4"/>
      <c r="C555" s="4"/>
      <c r="D555" s="4"/>
      <c r="E555" s="4"/>
      <c r="F555" s="4"/>
    </row>
    <row r="556" spans="1:6" x14ac:dyDescent="0.35">
      <c r="A556" s="4"/>
      <c r="B556" s="4"/>
      <c r="C556" s="4"/>
      <c r="D556" s="4"/>
      <c r="E556" s="4"/>
      <c r="F556" s="4"/>
    </row>
    <row r="557" spans="1:6" x14ac:dyDescent="0.35">
      <c r="A557" s="4"/>
      <c r="B557" s="4"/>
      <c r="C557" s="4"/>
      <c r="D557" s="4"/>
      <c r="E557" s="4"/>
      <c r="F557" s="4"/>
    </row>
    <row r="558" spans="1:6" x14ac:dyDescent="0.35">
      <c r="A558" s="4"/>
      <c r="B558" s="4"/>
      <c r="C558" s="4"/>
      <c r="D558" s="4"/>
      <c r="E558" s="4"/>
      <c r="F558" s="4"/>
    </row>
    <row r="559" spans="1:6" x14ac:dyDescent="0.35">
      <c r="A559" s="4"/>
      <c r="B559" s="4"/>
      <c r="C559" s="4"/>
      <c r="D559" s="4"/>
      <c r="E559" s="4"/>
      <c r="F559" s="4"/>
    </row>
    <row r="560" spans="1:6" x14ac:dyDescent="0.35">
      <c r="A560" s="4"/>
      <c r="B560" s="4"/>
      <c r="C560" s="4"/>
      <c r="D560" s="4"/>
      <c r="E560" s="4"/>
      <c r="F560" s="4"/>
    </row>
    <row r="561" spans="1:6" x14ac:dyDescent="0.35">
      <c r="A561" s="4"/>
      <c r="B561" s="4"/>
      <c r="C561" s="4"/>
      <c r="D561" s="4"/>
      <c r="E561" s="4"/>
      <c r="F561" s="4"/>
    </row>
    <row r="562" spans="1:6" x14ac:dyDescent="0.35">
      <c r="A562" s="4"/>
      <c r="B562" s="4"/>
      <c r="C562" s="4"/>
      <c r="D562" s="4"/>
      <c r="E562" s="4"/>
      <c r="F562" s="4"/>
    </row>
    <row r="563" spans="1:6" x14ac:dyDescent="0.35">
      <c r="A563" s="4"/>
      <c r="B563" s="4"/>
      <c r="C563" s="4"/>
      <c r="D563" s="4"/>
      <c r="E563" s="4"/>
      <c r="F563" s="4"/>
    </row>
    <row r="564" spans="1:6" x14ac:dyDescent="0.35">
      <c r="A564" s="4"/>
      <c r="B564" s="4"/>
      <c r="C564" s="4"/>
      <c r="D564" s="4"/>
      <c r="E564" s="4"/>
      <c r="F564" s="4"/>
    </row>
    <row r="565" spans="1:6" x14ac:dyDescent="0.35">
      <c r="A565" s="4"/>
      <c r="B565" s="4"/>
      <c r="C565" s="4"/>
      <c r="D565" s="4"/>
      <c r="E565" s="4"/>
      <c r="F565" s="4"/>
    </row>
    <row r="566" spans="1:6" x14ac:dyDescent="0.35">
      <c r="A566" s="4"/>
      <c r="B566" s="4"/>
      <c r="C566" s="4"/>
      <c r="D566" s="4"/>
      <c r="E566" s="4"/>
      <c r="F566" s="4"/>
    </row>
    <row r="567" spans="1:6" x14ac:dyDescent="0.35">
      <c r="A567" s="4"/>
      <c r="B567" s="4"/>
      <c r="C567" s="4"/>
      <c r="D567" s="4"/>
      <c r="E567" s="4"/>
      <c r="F567" s="4"/>
    </row>
    <row r="568" spans="1:6" x14ac:dyDescent="0.35">
      <c r="A568" s="4"/>
      <c r="B568" s="4"/>
      <c r="C568" s="4"/>
      <c r="D568" s="4"/>
      <c r="E568" s="4"/>
      <c r="F568" s="4"/>
    </row>
    <row r="569" spans="1:6" x14ac:dyDescent="0.35">
      <c r="A569" s="4"/>
      <c r="B569" s="4"/>
      <c r="C569" s="4"/>
      <c r="D569" s="4"/>
      <c r="E569" s="4"/>
      <c r="F569" s="4"/>
    </row>
    <row r="570" spans="1:6" x14ac:dyDescent="0.35">
      <c r="A570" s="4"/>
      <c r="B570" s="4"/>
      <c r="C570" s="4"/>
      <c r="D570" s="4"/>
      <c r="E570" s="4"/>
      <c r="F570" s="4"/>
    </row>
    <row r="571" spans="1:6" x14ac:dyDescent="0.35">
      <c r="A571" s="4"/>
      <c r="B571" s="4"/>
      <c r="C571" s="4"/>
      <c r="D571" s="4"/>
      <c r="E571" s="4"/>
      <c r="F571" s="4"/>
    </row>
    <row r="572" spans="1:6" x14ac:dyDescent="0.35">
      <c r="A572" s="4"/>
      <c r="B572" s="4"/>
      <c r="C572" s="4"/>
      <c r="D572" s="4"/>
      <c r="E572" s="4"/>
      <c r="F572" s="4"/>
    </row>
    <row r="573" spans="1:6" x14ac:dyDescent="0.35">
      <c r="A573" s="4"/>
      <c r="B573" s="4"/>
      <c r="C573" s="4"/>
      <c r="D573" s="4"/>
      <c r="E573" s="4"/>
      <c r="F573" s="4"/>
    </row>
    <row r="574" spans="1:6" x14ac:dyDescent="0.35">
      <c r="A574" s="4"/>
      <c r="B574" s="4"/>
      <c r="C574" s="4"/>
      <c r="D574" s="4"/>
      <c r="E574" s="4"/>
      <c r="F574" s="4"/>
    </row>
    <row r="575" spans="1:6" x14ac:dyDescent="0.35">
      <c r="A575" s="4"/>
      <c r="B575" s="4"/>
      <c r="C575" s="4"/>
      <c r="D575" s="4"/>
      <c r="E575" s="4"/>
      <c r="F575" s="4"/>
    </row>
    <row r="576" spans="1:6" x14ac:dyDescent="0.35">
      <c r="A576" s="4"/>
      <c r="B576" s="4"/>
      <c r="C576" s="4"/>
      <c r="D576" s="4"/>
      <c r="E576" s="4"/>
      <c r="F576" s="4"/>
    </row>
    <row r="577" spans="1:6" x14ac:dyDescent="0.35">
      <c r="A577" s="4"/>
      <c r="B577" s="4"/>
      <c r="C577" s="4"/>
      <c r="D577" s="4"/>
      <c r="E577" s="4"/>
      <c r="F577" s="4"/>
    </row>
    <row r="578" spans="1:6" x14ac:dyDescent="0.35">
      <c r="A578" s="4"/>
      <c r="B578" s="4"/>
      <c r="C578" s="4"/>
      <c r="D578" s="4"/>
      <c r="E578" s="4"/>
      <c r="F578" s="4"/>
    </row>
    <row r="579" spans="1:6" x14ac:dyDescent="0.35">
      <c r="A579" s="4"/>
      <c r="B579" s="4"/>
      <c r="C579" s="4"/>
      <c r="D579" s="4"/>
      <c r="E579" s="4"/>
      <c r="F579" s="4"/>
    </row>
    <row r="580" spans="1:6" x14ac:dyDescent="0.35">
      <c r="A580" s="4"/>
      <c r="B580" s="4"/>
      <c r="C580" s="4"/>
      <c r="D580" s="4"/>
      <c r="E580" s="4"/>
      <c r="F580" s="4"/>
    </row>
    <row r="581" spans="1:6" x14ac:dyDescent="0.35">
      <c r="A581" s="4"/>
      <c r="B581" s="4"/>
      <c r="C581" s="4"/>
      <c r="D581" s="4"/>
      <c r="E581" s="4"/>
      <c r="F581" s="4"/>
    </row>
    <row r="582" spans="1:6" x14ac:dyDescent="0.35">
      <c r="A582" s="4"/>
      <c r="B582" s="4"/>
      <c r="C582" s="4"/>
      <c r="D582" s="4"/>
      <c r="E582" s="4"/>
      <c r="F582" s="4"/>
    </row>
    <row r="583" spans="1:6" x14ac:dyDescent="0.35">
      <c r="A583" s="4"/>
      <c r="B583" s="4"/>
      <c r="C583" s="4"/>
      <c r="D583" s="4"/>
      <c r="E583" s="4"/>
      <c r="F583" s="4"/>
    </row>
    <row r="584" spans="1:6" x14ac:dyDescent="0.35">
      <c r="A584" s="4"/>
      <c r="B584" s="4"/>
      <c r="C584" s="4"/>
      <c r="D584" s="4"/>
      <c r="E584" s="4"/>
      <c r="F584" s="4"/>
    </row>
    <row r="585" spans="1:6" x14ac:dyDescent="0.35">
      <c r="A585" s="4"/>
      <c r="B585" s="4"/>
      <c r="C585" s="4"/>
      <c r="D585" s="4"/>
      <c r="E585" s="4"/>
      <c r="F585" s="4"/>
    </row>
    <row r="586" spans="1:6" x14ac:dyDescent="0.35">
      <c r="A586" s="4"/>
      <c r="B586" s="4"/>
      <c r="C586" s="4"/>
      <c r="D586" s="4"/>
      <c r="E586" s="4"/>
      <c r="F586" s="4"/>
    </row>
    <row r="587" spans="1:6" x14ac:dyDescent="0.35">
      <c r="A587" s="4"/>
      <c r="B587" s="4"/>
      <c r="C587" s="4"/>
      <c r="D587" s="4"/>
      <c r="E587" s="4"/>
      <c r="F587" s="4"/>
    </row>
    <row r="588" spans="1:6" x14ac:dyDescent="0.35">
      <c r="A588" s="4"/>
      <c r="B588" s="4"/>
      <c r="C588" s="4"/>
      <c r="D588" s="4"/>
      <c r="E588" s="4"/>
      <c r="F588" s="4"/>
    </row>
    <row r="589" spans="1:6" x14ac:dyDescent="0.35">
      <c r="A589" s="4"/>
      <c r="B589" s="4"/>
      <c r="C589" s="4"/>
      <c r="D589" s="4"/>
      <c r="E589" s="4"/>
      <c r="F589" s="4"/>
    </row>
    <row r="590" spans="1:6" x14ac:dyDescent="0.35">
      <c r="A590" s="4"/>
      <c r="B590" s="4"/>
      <c r="C590" s="4"/>
      <c r="D590" s="4"/>
      <c r="E590" s="4"/>
      <c r="F590" s="4"/>
    </row>
    <row r="591" spans="1:6" x14ac:dyDescent="0.35">
      <c r="A591" s="4"/>
      <c r="B591" s="4"/>
      <c r="C591" s="4"/>
      <c r="D591" s="4"/>
      <c r="E591" s="4"/>
      <c r="F591" s="4"/>
    </row>
    <row r="592" spans="1:6" x14ac:dyDescent="0.35">
      <c r="A592" s="4"/>
      <c r="B592" s="4"/>
      <c r="C592" s="4"/>
      <c r="D592" s="4"/>
      <c r="E592" s="4"/>
      <c r="F592" s="4"/>
    </row>
    <row r="593" spans="1:6" x14ac:dyDescent="0.35">
      <c r="A593" s="4"/>
      <c r="B593" s="4"/>
      <c r="C593" s="4"/>
      <c r="D593" s="4"/>
      <c r="E593" s="4"/>
      <c r="F593" s="4"/>
    </row>
    <row r="594" spans="1:6" x14ac:dyDescent="0.35">
      <c r="A594" s="4"/>
      <c r="B594" s="4"/>
      <c r="C594" s="4"/>
      <c r="D594" s="4"/>
      <c r="E594" s="4"/>
      <c r="F594" s="4"/>
    </row>
    <row r="595" spans="1:6" x14ac:dyDescent="0.35">
      <c r="A595" s="4"/>
      <c r="B595" s="4"/>
      <c r="C595" s="4"/>
      <c r="D595" s="4"/>
      <c r="E595" s="4"/>
      <c r="F595" s="4"/>
    </row>
    <row r="596" spans="1:6" x14ac:dyDescent="0.35">
      <c r="A596" s="4"/>
      <c r="B596" s="4"/>
      <c r="C596" s="4"/>
      <c r="D596" s="4"/>
      <c r="E596" s="4"/>
      <c r="F596" s="4"/>
    </row>
    <row r="597" spans="1:6" x14ac:dyDescent="0.35">
      <c r="A597" s="4"/>
      <c r="B597" s="4"/>
      <c r="C597" s="4"/>
      <c r="D597" s="4"/>
      <c r="E597" s="4"/>
      <c r="F597" s="4"/>
    </row>
    <row r="598" spans="1:6" x14ac:dyDescent="0.35">
      <c r="A598" s="4"/>
      <c r="B598" s="4"/>
      <c r="C598" s="4"/>
      <c r="D598" s="4"/>
      <c r="E598" s="4"/>
      <c r="F598" s="4"/>
    </row>
    <row r="599" spans="1:6" x14ac:dyDescent="0.35">
      <c r="A599" s="4"/>
      <c r="B599" s="4"/>
      <c r="C599" s="4"/>
      <c r="D599" s="4"/>
      <c r="E599" s="4"/>
      <c r="F599" s="4"/>
    </row>
    <row r="600" spans="1:6" x14ac:dyDescent="0.35">
      <c r="A600" s="4"/>
      <c r="B600" s="4"/>
      <c r="C600" s="4"/>
      <c r="D600" s="4"/>
      <c r="E600" s="4"/>
      <c r="F600" s="4"/>
    </row>
    <row r="601" spans="1:6" x14ac:dyDescent="0.35">
      <c r="A601" s="4"/>
      <c r="B601" s="4"/>
      <c r="C601" s="4"/>
      <c r="D601" s="4"/>
      <c r="E601" s="4"/>
    </row>
    <row r="602" spans="1:6" x14ac:dyDescent="0.35">
      <c r="A602" s="4"/>
      <c r="B602" s="4"/>
      <c r="C602" s="4"/>
      <c r="D602" s="4"/>
      <c r="E602" s="4"/>
    </row>
    <row r="603" spans="1:6" x14ac:dyDescent="0.35">
      <c r="A603" s="4"/>
      <c r="B603" s="4"/>
      <c r="C603" s="4"/>
      <c r="D603" s="4"/>
      <c r="E603" s="4"/>
    </row>
    <row r="604" spans="1:6" x14ac:dyDescent="0.35">
      <c r="A604" s="4"/>
      <c r="B604" s="4"/>
      <c r="C604" s="4"/>
      <c r="D604" s="4"/>
      <c r="E604" s="4"/>
    </row>
    <row r="605" spans="1:6" x14ac:dyDescent="0.35">
      <c r="A605" s="4"/>
      <c r="B605" s="4"/>
      <c r="C605" s="4"/>
      <c r="D605" s="4"/>
      <c r="E605" s="4"/>
    </row>
    <row r="606" spans="1:6" x14ac:dyDescent="0.35">
      <c r="A606" s="4"/>
      <c r="B606" s="4"/>
      <c r="C606" s="4"/>
      <c r="D606" s="4"/>
      <c r="E606" s="4"/>
    </row>
    <row r="607" spans="1:6" x14ac:dyDescent="0.35">
      <c r="A607" s="4"/>
      <c r="B607" s="4"/>
      <c r="C607" s="4"/>
      <c r="D607" s="4"/>
      <c r="E607" s="4"/>
    </row>
    <row r="608" spans="1:6" x14ac:dyDescent="0.35">
      <c r="A608" s="4"/>
      <c r="B608" s="4"/>
      <c r="C608" s="4"/>
      <c r="D608" s="4"/>
      <c r="E608" s="4"/>
    </row>
    <row r="609" spans="1:5" x14ac:dyDescent="0.35">
      <c r="A609" s="4"/>
      <c r="B609" s="4"/>
      <c r="C609" s="4"/>
      <c r="D609" s="4"/>
      <c r="E609" s="4"/>
    </row>
    <row r="610" spans="1:5" x14ac:dyDescent="0.35">
      <c r="A610" s="4"/>
      <c r="B610" s="4"/>
      <c r="C610" s="4"/>
      <c r="D610" s="4"/>
      <c r="E610" s="4"/>
    </row>
    <row r="611" spans="1:5" x14ac:dyDescent="0.35">
      <c r="A611" s="4"/>
      <c r="B611" s="4"/>
      <c r="C611" s="4"/>
      <c r="D611" s="4"/>
      <c r="E611" s="4"/>
    </row>
    <row r="612" spans="1:5" x14ac:dyDescent="0.35">
      <c r="A612" s="4"/>
      <c r="B612" s="4"/>
      <c r="C612" s="4"/>
      <c r="D612" s="4"/>
      <c r="E612" s="4"/>
    </row>
    <row r="613" spans="1:5" x14ac:dyDescent="0.35">
      <c r="A613" s="4"/>
      <c r="B613" s="4"/>
      <c r="C613" s="4"/>
      <c r="D613" s="4"/>
      <c r="E613" s="4"/>
    </row>
    <row r="614" spans="1:5" x14ac:dyDescent="0.35">
      <c r="A614" s="4"/>
      <c r="B614" s="4"/>
      <c r="C614" s="4"/>
      <c r="D614" s="4"/>
      <c r="E614" s="4"/>
    </row>
    <row r="615" spans="1:5" x14ac:dyDescent="0.35">
      <c r="A615" s="4"/>
      <c r="B615" s="4"/>
      <c r="C615" s="4"/>
      <c r="D615" s="4"/>
      <c r="E615" s="4"/>
    </row>
    <row r="616" spans="1:5" x14ac:dyDescent="0.35">
      <c r="A616" s="4"/>
      <c r="B616" s="4"/>
      <c r="C616" s="4"/>
      <c r="D616" s="4"/>
      <c r="E616" s="4"/>
    </row>
    <row r="617" spans="1:5" x14ac:dyDescent="0.35">
      <c r="A617" s="4"/>
      <c r="B617" s="4"/>
      <c r="C617" s="4"/>
      <c r="D617" s="4"/>
      <c r="E617" s="4"/>
    </row>
    <row r="618" spans="1:5" x14ac:dyDescent="0.35">
      <c r="A618" s="4"/>
      <c r="B618" s="4"/>
      <c r="C618" s="4"/>
      <c r="D618" s="4"/>
      <c r="E618" s="4"/>
    </row>
    <row r="619" spans="1:5" x14ac:dyDescent="0.35">
      <c r="A619" s="4"/>
      <c r="B619" s="4"/>
      <c r="C619" s="4"/>
      <c r="D619" s="4"/>
      <c r="E619" s="4"/>
    </row>
    <row r="620" spans="1:5" x14ac:dyDescent="0.35">
      <c r="A620" s="4"/>
      <c r="B620" s="4"/>
      <c r="C620" s="4"/>
    </row>
    <row r="621" spans="1:5" x14ac:dyDescent="0.35">
      <c r="A621" s="4"/>
      <c r="C621" s="4"/>
    </row>
    <row r="622" spans="1:5" x14ac:dyDescent="0.35">
      <c r="C622" s="4"/>
    </row>
    <row r="623" spans="1:5" x14ac:dyDescent="0.35">
      <c r="C623" s="4"/>
    </row>
  </sheetData>
  <pageMargins left="0.7" right="0.7" top="0.75" bottom="0.75" header="0.3" footer="0.3"/>
  <pageSetup paperSize="9" orientation="portrait" verticalDpi="300" r:id="rId1"/>
  <drawing r:id="rId2"/>
  <legacyDrawing r:id="rId3"/>
  <controls>
    <mc:AlternateContent xmlns:mc="http://schemas.openxmlformats.org/markup-compatibility/2006">
      <mc:Choice Requires="x14">
        <control shapeId="119811" r:id="rId4" name="CommandButton3">
          <controlPr defaultSize="0" autoLine="0" r:id="rId5">
            <anchor moveWithCells="1">
              <from>
                <xdr:col>8</xdr:col>
                <xdr:colOff>412750</xdr:colOff>
                <xdr:row>15</xdr:row>
                <xdr:rowOff>152400</xdr:rowOff>
              </from>
              <to>
                <xdr:col>10</xdr:col>
                <xdr:colOff>590550</xdr:colOff>
                <xdr:row>19</xdr:row>
                <xdr:rowOff>38100</xdr:rowOff>
              </to>
            </anchor>
          </controlPr>
        </control>
      </mc:Choice>
      <mc:Fallback>
        <control shapeId="119811" r:id="rId4" name="CommandButton3"/>
      </mc:Fallback>
    </mc:AlternateContent>
    <mc:AlternateContent xmlns:mc="http://schemas.openxmlformats.org/markup-compatibility/2006">
      <mc:Choice Requires="x14">
        <control shapeId="119810" r:id="rId6" name="CommandButton2">
          <controlPr defaultSize="0" autoLine="0" r:id="rId7">
            <anchor moveWithCells="1">
              <from>
                <xdr:col>28</xdr:col>
                <xdr:colOff>222250</xdr:colOff>
                <xdr:row>10</xdr:row>
                <xdr:rowOff>88900</xdr:rowOff>
              </from>
              <to>
                <xdr:col>30</xdr:col>
                <xdr:colOff>400050</xdr:colOff>
                <xdr:row>14</xdr:row>
                <xdr:rowOff>31750</xdr:rowOff>
              </to>
            </anchor>
          </controlPr>
        </control>
      </mc:Choice>
      <mc:Fallback>
        <control shapeId="119810" r:id="rId6" name="CommandButton2"/>
      </mc:Fallback>
    </mc:AlternateContent>
    <mc:AlternateContent xmlns:mc="http://schemas.openxmlformats.org/markup-compatibility/2006">
      <mc:Choice Requires="x14">
        <control shapeId="119809" r:id="rId8" name="CommandButton1">
          <controlPr defaultSize="0" autoLine="0" r:id="rId9">
            <anchor moveWithCells="1">
              <from>
                <xdr:col>8</xdr:col>
                <xdr:colOff>279400</xdr:colOff>
                <xdr:row>2</xdr:row>
                <xdr:rowOff>127000</xdr:rowOff>
              </from>
              <to>
                <xdr:col>10</xdr:col>
                <xdr:colOff>342900</xdr:colOff>
                <xdr:row>6</xdr:row>
                <xdr:rowOff>69850</xdr:rowOff>
              </to>
            </anchor>
          </controlPr>
        </control>
      </mc:Choice>
      <mc:Fallback>
        <control shapeId="119809" r:id="rId8" name="CommandButton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E686-BF8F-40E9-BE0A-7E8AB6EB54AF}">
  <sheetPr codeName="Sheet16"/>
  <dimension ref="A1:AW1094"/>
  <sheetViews>
    <sheetView zoomScale="84" zoomScaleNormal="84" workbookViewId="0">
      <selection activeCell="O72" sqref="O72"/>
    </sheetView>
  </sheetViews>
  <sheetFormatPr defaultColWidth="8.81640625" defaultRowHeight="14.5" x14ac:dyDescent="0.35"/>
  <cols>
    <col min="1" max="1" width="30.1796875" customWidth="1"/>
    <col min="2" max="2" width="19.453125" customWidth="1"/>
    <col min="3" max="3" width="17.54296875" customWidth="1"/>
    <col min="4" max="4" width="20.453125" customWidth="1"/>
    <col min="5" max="5" width="27.26953125" customWidth="1"/>
    <col min="6" max="6" width="13.81640625" customWidth="1"/>
    <col min="7" max="7" width="15.26953125" customWidth="1"/>
    <col min="8" max="8" width="15.1796875" customWidth="1"/>
    <col min="9" max="9" width="24.7265625" customWidth="1"/>
    <col min="10" max="10" width="24.453125" customWidth="1"/>
    <col min="11" max="11" width="23.54296875" customWidth="1"/>
    <col min="12" max="12" width="26.81640625" customWidth="1"/>
    <col min="13" max="13" width="23.7265625" customWidth="1"/>
    <col min="14" max="14" width="21.7265625" customWidth="1"/>
    <col min="15" max="15" width="25.7265625" customWidth="1"/>
    <col min="16" max="16" width="22.7265625" customWidth="1"/>
    <col min="17" max="17" width="20.7265625" customWidth="1"/>
    <col min="18" max="18" width="20.26953125" customWidth="1"/>
    <col min="19" max="19" width="16.81640625" customWidth="1"/>
    <col min="20" max="20" width="19.26953125" customWidth="1"/>
    <col min="21" max="21" width="17.7265625" customWidth="1"/>
    <col min="22" max="22" width="20.453125" customWidth="1"/>
    <col min="23" max="24" width="10.26953125" bestFit="1" customWidth="1"/>
    <col min="25" max="25" width="12.26953125" customWidth="1"/>
    <col min="26" max="26" width="12.1796875" customWidth="1"/>
    <col min="27" max="27" width="16.7265625" customWidth="1"/>
    <col min="28" max="28" width="13.7265625" customWidth="1"/>
    <col min="29" max="34" width="9.26953125" bestFit="1" customWidth="1"/>
    <col min="35" max="35" width="8.81640625" customWidth="1"/>
    <col min="36" max="36" width="10.54296875" customWidth="1"/>
    <col min="37" max="37" width="10.1796875" customWidth="1"/>
    <col min="38" max="39" width="10.26953125" customWidth="1"/>
    <col min="40" max="40" width="10.81640625" customWidth="1"/>
    <col min="41" max="41" width="15.1796875" customWidth="1"/>
    <col min="42" max="42" width="17.26953125" customWidth="1"/>
    <col min="43" max="43" width="14.1796875" customWidth="1"/>
    <col min="44" max="47" width="15.7265625" bestFit="1" customWidth="1"/>
    <col min="48" max="48" width="14.453125" bestFit="1" customWidth="1"/>
    <col min="49" max="49" width="14" customWidth="1"/>
    <col min="50" max="50" width="12" bestFit="1" customWidth="1"/>
    <col min="51" max="51" width="10.26953125" customWidth="1"/>
    <col min="52" max="62" width="12" bestFit="1" customWidth="1"/>
  </cols>
  <sheetData>
    <row r="1" spans="1:32" ht="21" x14ac:dyDescent="0.5">
      <c r="A1" s="10" t="s">
        <v>102</v>
      </c>
      <c r="D1" t="s">
        <v>10</v>
      </c>
      <c r="E1" s="57">
        <f>L39</f>
        <v>6.4226549258375357E-2</v>
      </c>
      <c r="G1" t="s">
        <v>83</v>
      </c>
      <c r="H1" s="149">
        <f>E1 + K1  + N1</f>
        <v>2.2487377279125949</v>
      </c>
      <c r="I1" s="12"/>
      <c r="J1" s="114" t="s">
        <v>95</v>
      </c>
      <c r="K1" s="25">
        <f>B20 * F20  +  B21 * F21</f>
        <v>1.3769748446507453</v>
      </c>
      <c r="M1" t="s">
        <v>79</v>
      </c>
      <c r="N1" s="40">
        <f>I15 * N15 + J15 * O15 + K15 * P15   +  L15 * Q15</f>
        <v>0.80753633400347424</v>
      </c>
    </row>
    <row r="2" spans="1:32" ht="15.5" x14ac:dyDescent="0.35">
      <c r="A2" t="s">
        <v>8</v>
      </c>
      <c r="H2" t="s">
        <v>7</v>
      </c>
      <c r="M2" t="s">
        <v>48</v>
      </c>
      <c r="R2" s="1"/>
      <c r="AD2" s="13"/>
    </row>
    <row r="3" spans="1:32" x14ac:dyDescent="0.35">
      <c r="A3" t="s">
        <v>0</v>
      </c>
      <c r="B3" t="s">
        <v>1</v>
      </c>
      <c r="C3" t="s">
        <v>2</v>
      </c>
      <c r="D3" t="s">
        <v>3</v>
      </c>
      <c r="E3" t="s">
        <v>4</v>
      </c>
      <c r="F3" t="s">
        <v>5</v>
      </c>
      <c r="H3" t="s">
        <v>0</v>
      </c>
      <c r="I3" t="s">
        <v>45</v>
      </c>
      <c r="J3" t="s">
        <v>46</v>
      </c>
      <c r="K3" t="s">
        <v>47</v>
      </c>
      <c r="M3" t="s">
        <v>0</v>
      </c>
      <c r="N3" t="str">
        <f>I3</f>
        <v>3Hit</v>
      </c>
      <c r="O3" t="str">
        <f>J3</f>
        <v>4Hit</v>
      </c>
      <c r="P3" t="str">
        <f>K3</f>
        <v>5Hit</v>
      </c>
    </row>
    <row r="4" spans="1:32" ht="15.5" x14ac:dyDescent="0.35">
      <c r="A4" s="5" t="s">
        <v>37</v>
      </c>
      <c r="B4" s="53">
        <v>3</v>
      </c>
      <c r="C4" s="53">
        <v>3</v>
      </c>
      <c r="D4" s="53">
        <v>3</v>
      </c>
      <c r="E4" s="53">
        <v>3</v>
      </c>
      <c r="F4" s="53">
        <v>3</v>
      </c>
      <c r="H4" s="5" t="str">
        <f t="shared" ref="H4:H13" si="0">A4</f>
        <v>H1</v>
      </c>
      <c r="I4" s="55">
        <f t="shared" ref="I4:I12" si="1">(B4+B$13)/B$17   *  (C4+C$13)/C$17   *    (D4+D$13)/D$17   *    (E$17-E4-E$13)/E$17     -   (B$13)/B$17   *  (C$13)/C$17   *    (D$13)/D$17      *    (E$17-E4-E$13)/E$17</f>
        <v>6.224627418545376E-5</v>
      </c>
      <c r="J4" s="56">
        <f>(B4+B$13)/B$17   *  (C4+C$13)/C$17   *    (D4+D$13)/D$17   *    (E4+E$13)/E$17   *    (F$17 - F4-F$13)/F$17      -   (B$13)/B$17   *  (C$13)/C$17   *    (D$13)/D$17   *    (E$13)/E$17   *     (F$17 - F4-F$13)/F$17</f>
        <v>2.5263035668299435E-6</v>
      </c>
      <c r="K4" s="56">
        <f>(B4+B$13)/B$17   *  (C4+C$13)/C$17   *    (D4+D$13)/D$17   *    (E4+E$13)/E$17   *    (F4+F$13)/F$17     -   (B$13)/B$17   *  (C$13)/C$17   *    (D$13)/D$17   *    (E$13)/E$17   *    (F$13)/F$17</f>
        <v>1.0382069452725795E-7</v>
      </c>
      <c r="M4" s="5" t="str">
        <f t="shared" ref="M4:M13" si="2">H4</f>
        <v>H1</v>
      </c>
      <c r="N4" s="131">
        <f>BaseA!N4</f>
        <v>20</v>
      </c>
      <c r="O4" s="131">
        <f>BaseA!O4</f>
        <v>80</v>
      </c>
      <c r="P4" s="131">
        <f>BaseA!P4</f>
        <v>400</v>
      </c>
      <c r="R4" s="5"/>
      <c r="S4" s="5"/>
      <c r="T4" s="240"/>
      <c r="U4" s="240"/>
      <c r="V4" s="70"/>
      <c r="W4" s="111"/>
      <c r="X4" s="111"/>
      <c r="Y4" s="111"/>
      <c r="AA4" s="66"/>
      <c r="AB4" s="2"/>
      <c r="AC4" s="2"/>
      <c r="AD4" s="2"/>
      <c r="AE4" s="2"/>
      <c r="AF4" s="2"/>
    </row>
    <row r="5" spans="1:32" ht="15.5" x14ac:dyDescent="0.35">
      <c r="A5" s="5" t="s">
        <v>38</v>
      </c>
      <c r="B5" s="53">
        <v>4</v>
      </c>
      <c r="C5" s="53">
        <v>4</v>
      </c>
      <c r="D5" s="53">
        <v>4</v>
      </c>
      <c r="E5" s="53">
        <v>4</v>
      </c>
      <c r="F5" s="53">
        <v>4</v>
      </c>
      <c r="H5" s="5" t="str">
        <f t="shared" si="0"/>
        <v>H2</v>
      </c>
      <c r="I5" s="55">
        <f t="shared" si="1"/>
        <v>1.454686011219785E-4</v>
      </c>
      <c r="J5" s="56">
        <f>(B5+B$13)/B$17   *  (C5+C$13)/C$17   *    (D5+D$13)/D$17   *    (E5+E$13)/E$17   *    (F$17 - F5-F$13)/F$17      -   (B$13)/B$17   *  (C$13)/C$17   *    (D$13)/D$17   *    (E$13)/E$17   *     (F$17 - F5-F$13)/F$17</f>
        <v>7.8749919404379338E-6</v>
      </c>
      <c r="K5" s="56">
        <f t="shared" ref="K5:K10" si="3">(B5+B$13)/B$17   *  (C5+C$13)/C$17   *    (D5+D$13)/D$17   *    (E5+E$13)/E$17   *    (F5+F$13)/F$17     -   (B$13)/B$17   *  (C$13)/C$17   *    (D$13)/D$17   *    (E$13)/E$17   *    (F5 + F$13)/F$17</f>
        <v>4.3749955224655192E-7</v>
      </c>
      <c r="M5" s="5" t="str">
        <f t="shared" si="2"/>
        <v>H2</v>
      </c>
      <c r="N5" s="131">
        <f>BaseA!N5</f>
        <v>16</v>
      </c>
      <c r="O5" s="131">
        <f>BaseA!O5</f>
        <v>60</v>
      </c>
      <c r="P5" s="131">
        <f>BaseA!P5</f>
        <v>200</v>
      </c>
      <c r="R5" s="5"/>
      <c r="S5" s="5"/>
      <c r="T5" s="240"/>
      <c r="U5" s="240"/>
      <c r="V5" s="70"/>
      <c r="W5" s="111"/>
      <c r="X5" s="111"/>
      <c r="Y5" s="111"/>
      <c r="AA5" s="66"/>
      <c r="AB5" s="2"/>
      <c r="AC5" s="2"/>
      <c r="AD5" s="2"/>
      <c r="AE5" s="2"/>
      <c r="AF5" s="2"/>
    </row>
    <row r="6" spans="1:32" ht="15.5" x14ac:dyDescent="0.35">
      <c r="A6" s="5" t="s">
        <v>39</v>
      </c>
      <c r="B6" s="53">
        <v>5</v>
      </c>
      <c r="C6" s="53">
        <v>5</v>
      </c>
      <c r="D6" s="53">
        <v>5</v>
      </c>
      <c r="E6" s="53">
        <v>5</v>
      </c>
      <c r="F6" s="53">
        <v>5</v>
      </c>
      <c r="H6" s="5" t="str">
        <f t="shared" si="0"/>
        <v>H3</v>
      </c>
      <c r="I6" s="55">
        <f t="shared" si="1"/>
        <v>2.8005952782970191E-4</v>
      </c>
      <c r="J6" s="56">
        <f>(B6+B$13)/B$17   *  (C6+C$13)/C$17   *    (D6+D$13)/D$17   *    (E6+E$13)/E$17   *    (F$17 - F6-F$13)/F$17      -   (B$13)/B$17   *  (C$13)/C$17   *    (D$13)/D$17   *    (E6 + E$13)/E$17   *     (F$17 - F6-F$13)/F$17</f>
        <v>1.8959026006778066E-5</v>
      </c>
      <c r="K6" s="56">
        <f t="shared" si="3"/>
        <v>1.3351426765336667E-6</v>
      </c>
      <c r="M6" s="5" t="str">
        <f t="shared" si="2"/>
        <v>H3</v>
      </c>
      <c r="N6" s="131">
        <f>BaseA!N6</f>
        <v>12</v>
      </c>
      <c r="O6" s="131">
        <f>BaseA!O6</f>
        <v>40</v>
      </c>
      <c r="P6" s="131">
        <f>BaseA!P6</f>
        <v>120</v>
      </c>
      <c r="R6" s="5"/>
      <c r="S6" s="5"/>
      <c r="T6" s="240"/>
      <c r="U6" s="240"/>
      <c r="V6" s="70"/>
      <c r="W6" s="111"/>
      <c r="X6" s="111"/>
      <c r="Y6" s="111"/>
      <c r="AA6" s="66"/>
      <c r="AB6" s="2"/>
      <c r="AC6" s="2"/>
      <c r="AD6" s="2"/>
      <c r="AE6" s="2"/>
      <c r="AF6" s="2"/>
    </row>
    <row r="7" spans="1:32" ht="15.5" x14ac:dyDescent="0.35">
      <c r="A7" s="5" t="s">
        <v>40</v>
      </c>
      <c r="B7" s="53">
        <v>6</v>
      </c>
      <c r="C7" s="53">
        <v>6</v>
      </c>
      <c r="D7" s="53">
        <v>6</v>
      </c>
      <c r="E7" s="53">
        <v>6</v>
      </c>
      <c r="F7" s="53">
        <v>6</v>
      </c>
      <c r="H7" s="5" t="str">
        <f t="shared" si="0"/>
        <v>H4</v>
      </c>
      <c r="I7" s="55">
        <f t="shared" si="1"/>
        <v>4.7692919939277249E-4</v>
      </c>
      <c r="J7" s="56">
        <f t="shared" ref="J7:J12" si="4">(B7+B$13)/B$17   *  (C7+C$13)/C$17   *    (D7+D$13)/D$17   *    (E7+E$13)/E$17   *    (F$17 - F7-F$13)/F$17      -   (B$13)/B$17   *  (C$13)/C$17   *    (D$13)/D$17   *    (E7 + E$13)/E$17   *     (F$17 - F7-F$13)/F$17</f>
        <v>3.8759725956842965E-5</v>
      </c>
      <c r="K7" s="56">
        <f t="shared" si="3"/>
        <v>3.3222622248722543E-6</v>
      </c>
      <c r="M7" s="5" t="str">
        <f t="shared" si="2"/>
        <v>H4</v>
      </c>
      <c r="N7" s="131">
        <f>BaseA!N7</f>
        <v>8</v>
      </c>
      <c r="O7" s="131">
        <f>BaseA!O7</f>
        <v>28</v>
      </c>
      <c r="P7" s="131">
        <f>BaseA!P7</f>
        <v>80</v>
      </c>
      <c r="R7" s="5"/>
      <c r="S7" s="5"/>
      <c r="T7" s="240"/>
      <c r="U7" s="240"/>
      <c r="V7" s="70"/>
      <c r="W7" s="111"/>
      <c r="X7" s="111"/>
      <c r="Y7" s="111"/>
      <c r="AA7" s="66"/>
      <c r="AB7" s="66"/>
      <c r="AC7" s="66"/>
      <c r="AD7" s="66"/>
      <c r="AE7" s="70"/>
    </row>
    <row r="8" spans="1:32" ht="15.5" x14ac:dyDescent="0.35">
      <c r="A8" s="5" t="s">
        <v>173</v>
      </c>
      <c r="B8" s="53">
        <v>7</v>
      </c>
      <c r="C8" s="53">
        <v>7</v>
      </c>
      <c r="D8" s="53">
        <v>7</v>
      </c>
      <c r="E8" s="53">
        <v>7</v>
      </c>
      <c r="F8" s="53">
        <v>7</v>
      </c>
      <c r="H8" s="5" t="str">
        <f t="shared" si="0"/>
        <v>H5</v>
      </c>
      <c r="I8" s="55">
        <f t="shared" si="1"/>
        <v>7.4620846481789928E-4</v>
      </c>
      <c r="J8" s="56">
        <f t="shared" si="4"/>
        <v>7.0781360665169942E-5</v>
      </c>
      <c r="K8" s="56">
        <f t="shared" si="3"/>
        <v>7.1807177486404299E-6</v>
      </c>
      <c r="M8" s="5" t="str">
        <f t="shared" si="2"/>
        <v>H5</v>
      </c>
      <c r="N8" s="131">
        <f>BaseA!N8</f>
        <v>8</v>
      </c>
      <c r="O8" s="131">
        <f>BaseA!O8</f>
        <v>28</v>
      </c>
      <c r="P8" s="131">
        <f>BaseA!P8</f>
        <v>80</v>
      </c>
      <c r="R8" s="5"/>
      <c r="S8" s="5"/>
      <c r="T8" s="240"/>
      <c r="U8" s="240"/>
      <c r="V8" s="70"/>
      <c r="W8" s="111"/>
      <c r="X8" s="111"/>
      <c r="Y8" s="111"/>
      <c r="AA8" s="66"/>
      <c r="AB8" s="66"/>
      <c r="AC8" s="66"/>
      <c r="AD8" s="66"/>
      <c r="AE8" s="70"/>
    </row>
    <row r="9" spans="1:32" ht="15.5" x14ac:dyDescent="0.35">
      <c r="A9" s="5" t="s">
        <v>41</v>
      </c>
      <c r="B9" s="53">
        <v>8</v>
      </c>
      <c r="C9" s="53">
        <v>8</v>
      </c>
      <c r="D9" s="53">
        <v>8</v>
      </c>
      <c r="E9" s="53">
        <v>8</v>
      </c>
      <c r="F9" s="53">
        <v>8</v>
      </c>
      <c r="H9" s="5" t="str">
        <f t="shared" si="0"/>
        <v>L1</v>
      </c>
      <c r="I9" s="55">
        <f t="shared" si="1"/>
        <v>1.0972488770343521E-3</v>
      </c>
      <c r="J9" s="56">
        <f t="shared" si="4"/>
        <v>1.1899987821106213E-4</v>
      </c>
      <c r="K9" s="56">
        <f t="shared" si="3"/>
        <v>1.3999985671889662E-5</v>
      </c>
      <c r="M9" s="5" t="str">
        <f t="shared" si="2"/>
        <v>L1</v>
      </c>
      <c r="N9" s="131">
        <f>BaseA!N9</f>
        <v>8</v>
      </c>
      <c r="O9" s="131">
        <f>BaseA!O9</f>
        <v>16</v>
      </c>
      <c r="P9" s="131">
        <f>BaseA!P9</f>
        <v>60</v>
      </c>
      <c r="R9" s="5"/>
      <c r="S9" s="5"/>
      <c r="T9" s="240"/>
      <c r="U9" s="240"/>
      <c r="V9" s="70"/>
      <c r="W9" s="111"/>
      <c r="X9" s="111"/>
      <c r="Y9" s="111"/>
      <c r="AA9" s="66"/>
      <c r="AB9" s="91"/>
      <c r="AC9" s="91"/>
      <c r="AD9" s="91"/>
      <c r="AE9" s="91"/>
      <c r="AF9" s="91"/>
    </row>
    <row r="10" spans="1:32" ht="15.5" x14ac:dyDescent="0.35">
      <c r="A10" s="5" t="s">
        <v>42</v>
      </c>
      <c r="B10" s="53">
        <v>8</v>
      </c>
      <c r="C10" s="53">
        <v>8</v>
      </c>
      <c r="D10" s="53">
        <v>8</v>
      </c>
      <c r="E10" s="53">
        <v>8</v>
      </c>
      <c r="F10" s="53">
        <v>8</v>
      </c>
      <c r="H10" s="5" t="str">
        <f t="shared" si="0"/>
        <v>L2</v>
      </c>
      <c r="I10" s="55">
        <f t="shared" si="1"/>
        <v>1.0972488770343521E-3</v>
      </c>
      <c r="J10" s="56">
        <f t="shared" si="4"/>
        <v>1.1899987821106213E-4</v>
      </c>
      <c r="K10" s="56">
        <f t="shared" si="3"/>
        <v>1.3999985671889662E-5</v>
      </c>
      <c r="M10" s="5" t="str">
        <f t="shared" si="2"/>
        <v>L2</v>
      </c>
      <c r="N10" s="131">
        <f>BaseA!N10</f>
        <v>8</v>
      </c>
      <c r="O10" s="131">
        <f>BaseA!O10</f>
        <v>16</v>
      </c>
      <c r="P10" s="131">
        <f>BaseA!P10</f>
        <v>60</v>
      </c>
      <c r="R10" s="5"/>
      <c r="S10" s="5"/>
      <c r="T10" s="240"/>
      <c r="U10" s="240"/>
      <c r="V10" s="70"/>
      <c r="W10" s="111"/>
      <c r="X10" s="111"/>
      <c r="Y10" s="111"/>
      <c r="AA10" s="66"/>
      <c r="AB10" s="91"/>
      <c r="AC10" s="91"/>
      <c r="AD10" s="91"/>
      <c r="AE10" s="91"/>
      <c r="AF10" s="91"/>
    </row>
    <row r="11" spans="1:32" ht="15.5" x14ac:dyDescent="0.35">
      <c r="A11" s="5" t="s">
        <v>43</v>
      </c>
      <c r="B11" s="53">
        <v>9</v>
      </c>
      <c r="C11" s="53">
        <v>9</v>
      </c>
      <c r="D11" s="53">
        <v>9</v>
      </c>
      <c r="E11" s="53">
        <v>9</v>
      </c>
      <c r="F11" s="53">
        <v>9</v>
      </c>
      <c r="H11" s="5" t="str">
        <f t="shared" si="0"/>
        <v>L3</v>
      </c>
      <c r="I11" s="55">
        <f t="shared" si="1"/>
        <v>1.5386226928939624E-3</v>
      </c>
      <c r="J11" s="56">
        <f t="shared" si="4"/>
        <v>1.8781163639980961E-4</v>
      </c>
      <c r="K11" s="56">
        <f>(B11+B$13)/B$17   *  (C11+C$13)/C$17   *    (D11+D$13)/D$17   *    (E11+E$13)/E$17   *    (F11+F$13)/F$17     -   (B$13)/B$17   *  (C$13)/C$17   *    (D$13)/D$17   *    (E11+E$13)/E$17   *    (F11 + F$13)/F$17</f>
        <v>2.5228428770123678E-5</v>
      </c>
      <c r="M11" s="5" t="str">
        <f t="shared" si="2"/>
        <v>L3</v>
      </c>
      <c r="N11" s="131">
        <f>BaseA!N11</f>
        <v>4</v>
      </c>
      <c r="O11" s="131">
        <f>BaseA!O11</f>
        <v>12</v>
      </c>
      <c r="P11" s="131">
        <f>BaseA!P11</f>
        <v>40</v>
      </c>
      <c r="R11" s="5"/>
      <c r="S11" s="5"/>
      <c r="T11" s="240"/>
      <c r="U11" s="240"/>
      <c r="V11" s="70"/>
      <c r="W11" s="111"/>
      <c r="X11" s="111"/>
      <c r="Y11" s="111"/>
      <c r="AA11" s="66"/>
      <c r="AB11" s="66"/>
      <c r="AC11" s="66"/>
      <c r="AD11" s="66"/>
      <c r="AE11" s="70"/>
    </row>
    <row r="12" spans="1:32" ht="15.5" x14ac:dyDescent="0.35">
      <c r="A12" s="5" t="s">
        <v>44</v>
      </c>
      <c r="B12" s="53">
        <v>9</v>
      </c>
      <c r="C12" s="53">
        <v>9</v>
      </c>
      <c r="D12" s="53">
        <v>9</v>
      </c>
      <c r="E12" s="53">
        <v>9</v>
      </c>
      <c r="F12" s="53">
        <v>9</v>
      </c>
      <c r="H12" s="5" t="str">
        <f t="shared" si="0"/>
        <v>L4</v>
      </c>
      <c r="I12" s="55">
        <f t="shared" si="1"/>
        <v>1.5386226928939624E-3</v>
      </c>
      <c r="J12" s="56">
        <f t="shared" si="4"/>
        <v>1.8781163639980961E-4</v>
      </c>
      <c r="K12" s="56">
        <f>(B12+B$13)/B$17   *  (C12+C$13)/C$17   *    (D12+D$13)/D$17   *    (E12+E$13)/E$17   *    (F12+F$13)/F$17     -   (B$13)/B$17   *  (C$13)/C$17   *    (D$13)/D$17   *    (E12+E$13)/E$17   *    (F12 + F$13)/F$17</f>
        <v>2.5228428770123678E-5</v>
      </c>
      <c r="M12" s="5" t="str">
        <f t="shared" si="2"/>
        <v>L4</v>
      </c>
      <c r="N12" s="131">
        <f>BaseA!N12</f>
        <v>4</v>
      </c>
      <c r="O12" s="131">
        <f>BaseA!O12</f>
        <v>12</v>
      </c>
      <c r="P12" s="131">
        <f>BaseA!P12</f>
        <v>40</v>
      </c>
      <c r="R12" s="5"/>
      <c r="S12" s="5"/>
      <c r="T12" s="240"/>
      <c r="U12" s="240"/>
      <c r="V12" s="70"/>
      <c r="W12" s="111"/>
      <c r="X12" s="111"/>
      <c r="Y12" s="111"/>
      <c r="AA12" s="66"/>
      <c r="AB12" s="66"/>
      <c r="AC12" s="66"/>
      <c r="AD12" s="66"/>
      <c r="AE12" s="6"/>
    </row>
    <row r="13" spans="1:32" x14ac:dyDescent="0.35">
      <c r="A13" s="5" t="s">
        <v>36</v>
      </c>
      <c r="B13" s="53">
        <v>0</v>
      </c>
      <c r="C13" s="53">
        <v>0</v>
      </c>
      <c r="D13" s="53">
        <v>0</v>
      </c>
      <c r="E13" s="53">
        <v>0</v>
      </c>
      <c r="F13" s="53">
        <v>0</v>
      </c>
      <c r="H13" s="5" t="str">
        <f t="shared" si="0"/>
        <v>W</v>
      </c>
      <c r="I13" s="55">
        <f>(B$13)/B$17   *  (C$13)/C$17   *    (D$13)/D$17   *    (E$17 - E$13-E4-E5)/E$17     -      (B$13)/B$17   *  (C$13)/C$17   *    (D$13)/D$17   *  (    E6/E17   *  (F6 + F13)/F17      +     E7/E17   *  (F7 + F13)/F17      +   E8/E17   *  (F8 + F13)/F17      +     E9/E17  *  (F9+F13)/F17           +     E10/E17  *  (F10+F13)/F17                                )</f>
        <v>0</v>
      </c>
      <c r="J13" s="56">
        <f>(B$13)/B$17   *  (C$13)/C$17   *    (D$13)/D$17   *    (E$13)/E$17   *    (F$17 - F$13-F4)/F$17</f>
        <v>0</v>
      </c>
      <c r="K13" s="56">
        <f>(B$13)/B$17   *  (C$13)/C$17   *    (D$13)/D$17   *    (E$13)/E$17   *    (F$13)/F$17</f>
        <v>0</v>
      </c>
      <c r="M13" s="5" t="str">
        <f t="shared" si="2"/>
        <v>W</v>
      </c>
      <c r="N13" s="131">
        <f>BaseA!N13</f>
        <v>40</v>
      </c>
      <c r="O13" s="131">
        <f>BaseA!O13</f>
        <v>200</v>
      </c>
      <c r="P13" s="131">
        <f>BaseA!P13</f>
        <v>1000</v>
      </c>
      <c r="R13" s="5"/>
      <c r="S13" s="5"/>
      <c r="T13" s="240"/>
      <c r="U13" s="240"/>
      <c r="V13" s="6"/>
    </row>
    <row r="14" spans="1:32" x14ac:dyDescent="0.35">
      <c r="A14" s="5"/>
      <c r="B14" s="53"/>
      <c r="C14" s="53"/>
      <c r="D14" s="53"/>
      <c r="E14" s="53"/>
      <c r="F14" s="53"/>
      <c r="H14" s="5"/>
      <c r="I14" s="73"/>
      <c r="J14" s="74"/>
      <c r="K14" s="74"/>
      <c r="M14" s="5"/>
      <c r="N14" s="52"/>
      <c r="O14" s="52"/>
      <c r="P14" s="52"/>
      <c r="R14" s="5"/>
      <c r="S14" s="66"/>
      <c r="T14" s="66"/>
      <c r="U14" s="66"/>
      <c r="V14" s="6"/>
      <c r="Y14" s="2"/>
      <c r="Z14" s="14"/>
      <c r="AC14" s="66"/>
      <c r="AD14" s="66"/>
      <c r="AE14" s="6"/>
    </row>
    <row r="15" spans="1:32" x14ac:dyDescent="0.35">
      <c r="A15" s="5" t="s">
        <v>93</v>
      </c>
      <c r="B15" s="53">
        <v>2</v>
      </c>
      <c r="C15" s="53">
        <v>0</v>
      </c>
      <c r="D15" s="53">
        <v>0</v>
      </c>
      <c r="E15" s="53">
        <v>0</v>
      </c>
      <c r="F15" s="53">
        <v>2</v>
      </c>
      <c r="H15" s="5" t="s">
        <v>159</v>
      </c>
      <c r="I15" s="56">
        <f>P68</f>
        <v>6.9346634926548013E-3</v>
      </c>
      <c r="J15" s="56">
        <f>P69</f>
        <v>6.4483374117685413E-3</v>
      </c>
      <c r="K15" s="56">
        <f>P70</f>
        <v>6.2198698953279371E-3</v>
      </c>
      <c r="L15" s="23">
        <f>P71</f>
        <v>5.9952385952395286E-3</v>
      </c>
      <c r="M15" s="5" t="str">
        <f>H15</f>
        <v>Bonus Game:</v>
      </c>
      <c r="N15" s="52">
        <f>Bonus_Game1!B22</f>
        <v>28.718256245000003</v>
      </c>
      <c r="O15" s="52">
        <f>Bonus_Game2!B22</f>
        <v>31.00371105</v>
      </c>
      <c r="P15" s="52">
        <f>Bonus_Game3!B22</f>
        <v>32.782395392176042</v>
      </c>
      <c r="Q15">
        <f>Bonus_Game4!B22</f>
        <v>34.120454680000009</v>
      </c>
      <c r="S15" s="3"/>
      <c r="T15" s="69"/>
      <c r="U15" s="69"/>
      <c r="AA15" s="5"/>
      <c r="AB15" s="31"/>
      <c r="AC15" s="69"/>
      <c r="AE15" s="70"/>
    </row>
    <row r="16" spans="1:32" x14ac:dyDescent="0.35">
      <c r="A16" s="5" t="s">
        <v>59</v>
      </c>
      <c r="B16" s="53">
        <f>B56 * 3  +  B57 * 2 + B58 * 1</f>
        <v>15</v>
      </c>
      <c r="C16" s="53">
        <f t="shared" ref="C16:F16" si="5">C56 * 3  +  C57 * 2 + C58 * 1</f>
        <v>15</v>
      </c>
      <c r="D16" s="53">
        <f t="shared" si="5"/>
        <v>15</v>
      </c>
      <c r="E16" s="53">
        <f t="shared" si="5"/>
        <v>15</v>
      </c>
      <c r="F16" s="53">
        <f t="shared" si="5"/>
        <v>15</v>
      </c>
      <c r="H16" s="5"/>
      <c r="I16" s="14"/>
      <c r="K16" s="14"/>
      <c r="M16" s="5"/>
      <c r="N16" s="52"/>
      <c r="O16" s="54"/>
      <c r="P16" s="54"/>
      <c r="Q16" s="1"/>
      <c r="R16" s="3"/>
      <c r="T16" s="69"/>
      <c r="U16" s="69"/>
      <c r="AB16" s="31"/>
      <c r="AC16" s="69"/>
      <c r="AE16" s="70"/>
    </row>
    <row r="17" spans="1:32" x14ac:dyDescent="0.35">
      <c r="A17" s="5" t="s">
        <v>6</v>
      </c>
      <c r="B17">
        <f>SUM(B4:B16)</f>
        <v>76</v>
      </c>
      <c r="C17">
        <f>SUM(C4:C16)</f>
        <v>74</v>
      </c>
      <c r="D17">
        <f>SUM(D4:D16)</f>
        <v>74</v>
      </c>
      <c r="E17">
        <f>SUM(E4:E16)</f>
        <v>74</v>
      </c>
      <c r="F17">
        <f>SUM(F4:F16)</f>
        <v>76</v>
      </c>
      <c r="H17" s="5"/>
      <c r="I17" s="5"/>
      <c r="J17" s="5"/>
      <c r="M17" s="5"/>
      <c r="N17" s="52"/>
      <c r="O17" s="18"/>
      <c r="P17" s="18"/>
      <c r="Q17" s="1"/>
      <c r="T17" s="5"/>
      <c r="Z17" s="5"/>
      <c r="AB17" s="31"/>
      <c r="AE17" s="70"/>
    </row>
    <row r="18" spans="1:32" x14ac:dyDescent="0.35">
      <c r="A18" s="5"/>
      <c r="H18" s="5"/>
      <c r="I18" s="19"/>
      <c r="J18" s="5"/>
      <c r="K18" s="14"/>
      <c r="M18" s="5"/>
      <c r="N18" s="5"/>
      <c r="Q18" s="1"/>
      <c r="AB18" s="31"/>
      <c r="AE18" s="70"/>
    </row>
    <row r="19" spans="1:32" x14ac:dyDescent="0.35">
      <c r="A19" s="5"/>
      <c r="H19" s="5"/>
      <c r="I19" s="19"/>
      <c r="K19" s="14"/>
      <c r="M19" s="5"/>
      <c r="N19" s="5"/>
      <c r="O19" s="6"/>
      <c r="Q19" s="1"/>
      <c r="AB19" s="31"/>
      <c r="AE19" s="70"/>
    </row>
    <row r="20" spans="1:32" x14ac:dyDescent="0.35">
      <c r="A20" s="179" t="s">
        <v>268</v>
      </c>
      <c r="B20" s="107">
        <f>B15 * 4 / B17</f>
        <v>0.10526315789473684</v>
      </c>
      <c r="C20" t="s">
        <v>96</v>
      </c>
      <c r="D20" s="211">
        <f>1/B20</f>
        <v>9.5</v>
      </c>
      <c r="E20" s="11" t="s">
        <v>266</v>
      </c>
      <c r="F20" s="158">
        <f>SUM(C27:F27)</f>
        <v>6.54063051209104</v>
      </c>
      <c r="J20" s="17"/>
      <c r="K20" s="20"/>
      <c r="M20" s="5"/>
      <c r="O20" s="3"/>
      <c r="R20" s="3"/>
      <c r="S20" s="3"/>
      <c r="AE20" s="70"/>
    </row>
    <row r="21" spans="1:32" x14ac:dyDescent="0.35">
      <c r="A21" s="179" t="s">
        <v>269</v>
      </c>
      <c r="B21" s="107">
        <f>F15/F17  *  4</f>
        <v>0.10526315789473684</v>
      </c>
      <c r="C21" t="s">
        <v>96</v>
      </c>
      <c r="D21" s="211">
        <f>1/B21</f>
        <v>9.5</v>
      </c>
      <c r="E21" s="11" t="s">
        <v>267</v>
      </c>
      <c r="F21" s="158">
        <f>SUM(B27:E27)</f>
        <v>6.5406305120910408</v>
      </c>
      <c r="J21" s="15"/>
      <c r="K21" s="15"/>
      <c r="O21" s="88"/>
      <c r="P21" s="6"/>
      <c r="S21" s="3"/>
      <c r="AA21" s="3"/>
      <c r="AE21" s="70"/>
    </row>
    <row r="22" spans="1:32" ht="16.899999999999999" customHeight="1" x14ac:dyDescent="0.35">
      <c r="A22" s="1"/>
      <c r="B22" s="26"/>
      <c r="F22" s="26"/>
      <c r="O22" s="85"/>
      <c r="Q22" s="5"/>
      <c r="AE22" s="12"/>
    </row>
    <row r="23" spans="1:32" x14ac:dyDescent="0.35">
      <c r="H23" t="s">
        <v>9</v>
      </c>
      <c r="O23" s="28"/>
      <c r="P23" s="27"/>
      <c r="S23" s="16"/>
      <c r="U23" s="16"/>
      <c r="AB23" s="60"/>
      <c r="AC23" s="16"/>
      <c r="AD23" s="16"/>
      <c r="AE23" s="25"/>
    </row>
    <row r="24" spans="1:32" ht="24" customHeight="1" x14ac:dyDescent="0.35">
      <c r="B24" t="str">
        <f>B3</f>
        <v>Reel1</v>
      </c>
      <c r="C24" t="str">
        <f t="shared" ref="C24:F24" si="6">C3</f>
        <v>Reel2</v>
      </c>
      <c r="D24" t="str">
        <f t="shared" si="6"/>
        <v>Reel3</v>
      </c>
      <c r="E24" t="str">
        <f t="shared" si="6"/>
        <v>Reel4</v>
      </c>
      <c r="F24" t="str">
        <f t="shared" si="6"/>
        <v>Reel5</v>
      </c>
      <c r="G24" s="21"/>
      <c r="H24" t="str">
        <f>H3</f>
        <v>Pattern</v>
      </c>
      <c r="I24" t="str">
        <f>I3</f>
        <v>3Hit</v>
      </c>
      <c r="J24" t="str">
        <f>J3</f>
        <v>4Hit</v>
      </c>
      <c r="K24" t="str">
        <f>K3</f>
        <v>5Hit</v>
      </c>
      <c r="L24" t="s">
        <v>6</v>
      </c>
      <c r="N24" s="1" t="s">
        <v>112</v>
      </c>
      <c r="O24" s="130" t="s">
        <v>12</v>
      </c>
      <c r="P24" s="127" t="s">
        <v>9</v>
      </c>
      <c r="Q24" s="1"/>
      <c r="AB24" s="80"/>
      <c r="AE24" s="70"/>
    </row>
    <row r="25" spans="1:32" x14ac:dyDescent="0.35">
      <c r="A25" t="s">
        <v>98</v>
      </c>
      <c r="B25" s="148">
        <f>B16/B17  *  4</f>
        <v>0.78947368421052633</v>
      </c>
      <c r="C25" s="148">
        <f t="shared" ref="C25:F25" si="7">C16/C17  *  4</f>
        <v>0.81081081081081086</v>
      </c>
      <c r="D25" s="148">
        <f t="shared" si="7"/>
        <v>0.81081081081081086</v>
      </c>
      <c r="E25" s="148">
        <f t="shared" si="7"/>
        <v>0.81081081081081086</v>
      </c>
      <c r="F25" s="148">
        <f t="shared" si="7"/>
        <v>0.78947368421052633</v>
      </c>
      <c r="G25" s="22"/>
      <c r="H25" s="5" t="str">
        <f t="shared" ref="H25:H34" si="8">A4</f>
        <v>H1</v>
      </c>
      <c r="I25" s="72">
        <f t="shared" ref="I25:K34" si="9">I4 * N4</f>
        <v>1.2449254837090752E-3</v>
      </c>
      <c r="J25" s="72">
        <f t="shared" si="9"/>
        <v>2.0210428534639548E-4</v>
      </c>
      <c r="K25" s="72">
        <f t="shared" si="9"/>
        <v>4.1528277810903181E-5</v>
      </c>
      <c r="L25" s="72">
        <f t="shared" ref="L25:L34" si="10">SUM(I25:K25)</f>
        <v>1.4885580468663739E-3</v>
      </c>
      <c r="N25" s="244">
        <v>0.5</v>
      </c>
      <c r="O25" s="59">
        <f>1-SUM(O26:O45)</f>
        <v>0.2780999999999999</v>
      </c>
      <c r="P25" s="181">
        <f>N25 * O25</f>
        <v>0.13904999999999995</v>
      </c>
      <c r="R25" s="6">
        <f>SUM(O$25:O25)  * 10000</f>
        <v>2780.9999999999991</v>
      </c>
      <c r="T25" s="23"/>
      <c r="V25" s="70"/>
      <c r="AA25" s="70"/>
      <c r="AB25" s="80"/>
    </row>
    <row r="26" spans="1:32" x14ac:dyDescent="0.35">
      <c r="A26" t="s">
        <v>97</v>
      </c>
      <c r="B26" s="147">
        <f>$P46</f>
        <v>2.0300500000000006</v>
      </c>
      <c r="C26" s="147">
        <f>$P46</f>
        <v>2.0300500000000006</v>
      </c>
      <c r="D26" s="147">
        <f>$P46</f>
        <v>2.0300500000000006</v>
      </c>
      <c r="E26" s="147">
        <f>$P46</f>
        <v>2.0300500000000006</v>
      </c>
      <c r="F26" s="147">
        <f>$P46</f>
        <v>2.0300500000000006</v>
      </c>
      <c r="H26" s="5" t="str">
        <f t="shared" si="8"/>
        <v>H2</v>
      </c>
      <c r="I26" s="72">
        <f t="shared" si="9"/>
        <v>2.327497617951656E-3</v>
      </c>
      <c r="J26" s="72">
        <f t="shared" si="9"/>
        <v>4.7249951642627601E-4</v>
      </c>
      <c r="K26" s="72">
        <f t="shared" si="9"/>
        <v>8.7499910449310382E-5</v>
      </c>
      <c r="L26" s="72">
        <f t="shared" si="10"/>
        <v>2.8874970448272423E-3</v>
      </c>
      <c r="N26" s="244">
        <v>1</v>
      </c>
      <c r="O26" s="59">
        <v>0.27</v>
      </c>
      <c r="P26" s="181">
        <f t="shared" ref="P26:P45" si="11">N26 * O26</f>
        <v>0.27</v>
      </c>
      <c r="R26" s="6">
        <f>SUM(O$25:O26)  * 10000</f>
        <v>5480.9999999999991</v>
      </c>
      <c r="T26" s="23"/>
      <c r="V26" s="70"/>
      <c r="AB26" s="80"/>
      <c r="AD26" s="70"/>
      <c r="AE26" s="70"/>
    </row>
    <row r="27" spans="1:32" x14ac:dyDescent="0.35">
      <c r="A27" t="s">
        <v>9</v>
      </c>
      <c r="B27" s="26">
        <f>B25 * B26</f>
        <v>1.6026710526315795</v>
      </c>
      <c r="C27" s="26">
        <f t="shared" ref="C27:F27" si="12">C25 * C26</f>
        <v>1.645986486486487</v>
      </c>
      <c r="D27" s="26">
        <f t="shared" si="12"/>
        <v>1.645986486486487</v>
      </c>
      <c r="E27" s="26">
        <f t="shared" si="12"/>
        <v>1.645986486486487</v>
      </c>
      <c r="F27" s="26">
        <f t="shared" si="12"/>
        <v>1.6026710526315795</v>
      </c>
      <c r="H27" s="5" t="str">
        <f t="shared" si="8"/>
        <v>H3</v>
      </c>
      <c r="I27" s="72">
        <f t="shared" si="9"/>
        <v>3.3607143339564232E-3</v>
      </c>
      <c r="J27" s="72">
        <f t="shared" si="9"/>
        <v>7.5836104027112263E-4</v>
      </c>
      <c r="K27" s="72">
        <f t="shared" si="9"/>
        <v>1.6021712118404E-4</v>
      </c>
      <c r="L27" s="72">
        <f t="shared" si="10"/>
        <v>4.2792924954115855E-3</v>
      </c>
      <c r="N27" s="244">
        <v>1.5</v>
      </c>
      <c r="O27" s="59">
        <v>0.12</v>
      </c>
      <c r="P27" s="181">
        <f t="shared" si="11"/>
        <v>0.18</v>
      </c>
      <c r="R27" s="6">
        <f>SUM(O$25:O27)  * 10000</f>
        <v>6680.9999999999991</v>
      </c>
      <c r="T27" s="23"/>
      <c r="V27" s="70"/>
      <c r="AA27" s="70"/>
      <c r="AB27" s="80"/>
      <c r="AD27" s="70"/>
      <c r="AE27" s="70"/>
    </row>
    <row r="28" spans="1:32" x14ac:dyDescent="0.35">
      <c r="H28" s="5" t="str">
        <f t="shared" si="8"/>
        <v>H4</v>
      </c>
      <c r="I28" s="72">
        <f t="shared" si="9"/>
        <v>3.8154335951421799E-3</v>
      </c>
      <c r="J28" s="72">
        <f t="shared" si="9"/>
        <v>1.0852723267916031E-3</v>
      </c>
      <c r="K28" s="72">
        <f t="shared" si="9"/>
        <v>2.6578097798978033E-4</v>
      </c>
      <c r="L28" s="72">
        <f t="shared" si="10"/>
        <v>5.1664868999235633E-3</v>
      </c>
      <c r="N28" s="244">
        <v>2</v>
      </c>
      <c r="O28" s="59">
        <v>0.09</v>
      </c>
      <c r="P28" s="181">
        <f t="shared" si="11"/>
        <v>0.18</v>
      </c>
      <c r="R28" s="6">
        <f>SUM(O$25:O28)  * 10000</f>
        <v>7580.9999999999991</v>
      </c>
      <c r="T28" s="23"/>
      <c r="V28" s="81"/>
      <c r="AA28" s="70"/>
      <c r="AE28" s="81"/>
    </row>
    <row r="29" spans="1:32" ht="15.5" x14ac:dyDescent="0.35">
      <c r="H29" s="5" t="str">
        <f t="shared" si="8"/>
        <v>H5</v>
      </c>
      <c r="I29" s="72">
        <f t="shared" si="9"/>
        <v>5.9696677185431942E-3</v>
      </c>
      <c r="J29" s="72">
        <f t="shared" si="9"/>
        <v>1.9818780986247584E-3</v>
      </c>
      <c r="K29" s="72">
        <f t="shared" si="9"/>
        <v>5.7445741989123442E-4</v>
      </c>
      <c r="L29" s="72">
        <f t="shared" si="10"/>
        <v>8.5260032370591873E-3</v>
      </c>
      <c r="N29" s="244">
        <v>2.5</v>
      </c>
      <c r="O29" s="59">
        <v>0.06</v>
      </c>
      <c r="P29" s="181">
        <f t="shared" si="11"/>
        <v>0.15</v>
      </c>
      <c r="R29" s="6">
        <f>SUM(O$25:O29)  * 10000</f>
        <v>8180.9999999999982</v>
      </c>
      <c r="T29" s="23"/>
      <c r="V29" s="70"/>
      <c r="Z29" s="13"/>
      <c r="AD29" s="70"/>
      <c r="AE29" s="70"/>
    </row>
    <row r="30" spans="1:32" ht="15.5" x14ac:dyDescent="0.35">
      <c r="H30" s="5" t="str">
        <f t="shared" si="8"/>
        <v>L1</v>
      </c>
      <c r="I30" s="72">
        <f t="shared" si="9"/>
        <v>8.7779910162748172E-3</v>
      </c>
      <c r="J30" s="72">
        <f t="shared" si="9"/>
        <v>1.9039980513769941E-3</v>
      </c>
      <c r="K30" s="72">
        <f t="shared" si="9"/>
        <v>8.3999914031337975E-4</v>
      </c>
      <c r="L30" s="72">
        <f t="shared" si="10"/>
        <v>1.1521988207965191E-2</v>
      </c>
      <c r="N30" s="244">
        <v>3</v>
      </c>
      <c r="O30" s="59">
        <v>0.04</v>
      </c>
      <c r="P30" s="181">
        <f t="shared" si="11"/>
        <v>0.12</v>
      </c>
      <c r="R30" s="6">
        <f>SUM(O$25:O30)  * 10000</f>
        <v>8580.9999999999982</v>
      </c>
      <c r="V30" s="70"/>
      <c r="Z30" s="13"/>
      <c r="AA30" s="70"/>
      <c r="AB30" s="70"/>
      <c r="AD30" s="70"/>
      <c r="AE30" s="70"/>
    </row>
    <row r="31" spans="1:32" ht="15.5" x14ac:dyDescent="0.35">
      <c r="A31" t="s">
        <v>230</v>
      </c>
      <c r="B31" t="str">
        <f>B3</f>
        <v>Reel1</v>
      </c>
      <c r="C31" t="str">
        <f t="shared" ref="C31:E31" si="13">C3</f>
        <v>Reel2</v>
      </c>
      <c r="D31" t="str">
        <f t="shared" si="13"/>
        <v>Reel3</v>
      </c>
      <c r="E31" t="str">
        <f t="shared" si="13"/>
        <v>Reel4</v>
      </c>
      <c r="F31" t="str">
        <f>F3</f>
        <v>Reel5</v>
      </c>
      <c r="H31" s="5" t="str">
        <f t="shared" si="8"/>
        <v>L2</v>
      </c>
      <c r="I31" s="72">
        <f t="shared" si="9"/>
        <v>8.7779910162748172E-3</v>
      </c>
      <c r="J31" s="72">
        <f t="shared" si="9"/>
        <v>1.9039980513769941E-3</v>
      </c>
      <c r="K31" s="72">
        <f t="shared" si="9"/>
        <v>8.3999914031337975E-4</v>
      </c>
      <c r="L31" s="72">
        <f t="shared" si="10"/>
        <v>1.1521988207965191E-2</v>
      </c>
      <c r="N31" s="244">
        <v>3.5</v>
      </c>
      <c r="O31" s="59">
        <v>0.03</v>
      </c>
      <c r="P31" s="181">
        <f t="shared" si="11"/>
        <v>0.105</v>
      </c>
      <c r="R31" s="6">
        <f>SUM(O$25:O31)  * 10000</f>
        <v>8880.9999999999982</v>
      </c>
      <c r="T31" s="23"/>
      <c r="U31" s="23"/>
      <c r="V31" s="70"/>
      <c r="W31" s="3"/>
      <c r="Z31" s="82"/>
      <c r="AD31" s="70"/>
      <c r="AE31" s="70"/>
      <c r="AF31" s="3"/>
    </row>
    <row r="32" spans="1:32" ht="15.5" x14ac:dyDescent="0.35">
      <c r="A32" t="s">
        <v>231</v>
      </c>
      <c r="B32" s="301">
        <f>SUM(B62:B64)</f>
        <v>0.51315789473684215</v>
      </c>
      <c r="C32" s="301">
        <f t="shared" ref="C32:E32" si="14">SUM(C62:C64)</f>
        <v>0.52702702702702708</v>
      </c>
      <c r="D32" s="301">
        <f t="shared" si="14"/>
        <v>0.52702702702702708</v>
      </c>
      <c r="E32" s="301">
        <f t="shared" si="14"/>
        <v>0.52702702702702708</v>
      </c>
      <c r="F32" s="301">
        <f t="shared" ref="F32" si="15">SUM(F62:F64)</f>
        <v>0.51315789473684215</v>
      </c>
      <c r="H32" s="5" t="str">
        <f t="shared" si="8"/>
        <v>L3</v>
      </c>
      <c r="I32" s="72">
        <f t="shared" si="9"/>
        <v>6.1544907715758495E-3</v>
      </c>
      <c r="J32" s="72">
        <f t="shared" si="9"/>
        <v>2.2537396367977155E-3</v>
      </c>
      <c r="K32" s="72">
        <f t="shared" si="9"/>
        <v>1.0091371508049471E-3</v>
      </c>
      <c r="L32" s="72">
        <f t="shared" si="10"/>
        <v>9.4173675591785119E-3</v>
      </c>
      <c r="N32" s="244">
        <v>4</v>
      </c>
      <c r="O32" s="59">
        <v>2.5000000000000001E-2</v>
      </c>
      <c r="P32" s="181">
        <f t="shared" si="11"/>
        <v>0.1</v>
      </c>
      <c r="R32" s="6">
        <f>SUM(O$25:O32)  * 10000</f>
        <v>9131</v>
      </c>
      <c r="T32" s="23"/>
      <c r="U32" s="23"/>
      <c r="V32" s="70"/>
      <c r="W32" s="3"/>
      <c r="Z32" s="82"/>
      <c r="AA32" s="70"/>
      <c r="AB32" s="70"/>
      <c r="AD32" s="70"/>
      <c r="AE32" s="70"/>
      <c r="AF32" s="3"/>
    </row>
    <row r="33" spans="1:31" ht="15.5" x14ac:dyDescent="0.35">
      <c r="A33" t="s">
        <v>232</v>
      </c>
      <c r="B33" s="301">
        <f>B65</f>
        <v>0.48684210526315785</v>
      </c>
      <c r="C33" s="301">
        <f t="shared" ref="C33:E33" si="16">C65</f>
        <v>0.47297297297297292</v>
      </c>
      <c r="D33" s="301">
        <f t="shared" si="16"/>
        <v>0.47297297297297292</v>
      </c>
      <c r="E33" s="301">
        <f t="shared" si="16"/>
        <v>0.47297297297297292</v>
      </c>
      <c r="F33" s="301">
        <f t="shared" ref="F33" si="17">F65</f>
        <v>0.48684210526315785</v>
      </c>
      <c r="G33" s="3"/>
      <c r="H33" s="5" t="str">
        <f t="shared" si="8"/>
        <v>L4</v>
      </c>
      <c r="I33" s="72">
        <f t="shared" si="9"/>
        <v>6.1544907715758495E-3</v>
      </c>
      <c r="J33" s="72">
        <f t="shared" si="9"/>
        <v>2.2537396367977155E-3</v>
      </c>
      <c r="K33" s="72">
        <f t="shared" si="9"/>
        <v>1.0091371508049471E-3</v>
      </c>
      <c r="L33" s="72">
        <f t="shared" si="10"/>
        <v>9.4173675591785119E-3</v>
      </c>
      <c r="N33" s="244">
        <v>5</v>
      </c>
      <c r="O33" s="59">
        <v>0.02</v>
      </c>
      <c r="P33" s="181">
        <f t="shared" si="11"/>
        <v>0.1</v>
      </c>
      <c r="R33" s="6">
        <f>SUM(O$25:O33)  * 10000</f>
        <v>9331</v>
      </c>
      <c r="T33" s="23"/>
      <c r="U33" s="23"/>
      <c r="V33" s="70"/>
      <c r="Z33" s="82"/>
      <c r="AA33" s="70"/>
      <c r="AB33" s="70"/>
      <c r="AD33" s="70"/>
      <c r="AE33" s="70"/>
    </row>
    <row r="34" spans="1:31" ht="15.5" x14ac:dyDescent="0.35">
      <c r="H34" s="5" t="str">
        <f t="shared" si="8"/>
        <v>W</v>
      </c>
      <c r="I34" s="72">
        <f t="shared" si="9"/>
        <v>0</v>
      </c>
      <c r="J34" s="72">
        <f t="shared" si="9"/>
        <v>0</v>
      </c>
      <c r="K34" s="72">
        <f t="shared" si="9"/>
        <v>0</v>
      </c>
      <c r="L34" s="72">
        <f t="shared" si="10"/>
        <v>0</v>
      </c>
      <c r="N34" s="244">
        <v>6</v>
      </c>
      <c r="O34" s="59">
        <v>1.4999999999999999E-2</v>
      </c>
      <c r="P34" s="181">
        <f t="shared" si="11"/>
        <v>0.09</v>
      </c>
      <c r="R34" s="6">
        <f>SUM(O$25:O34)  * 10000</f>
        <v>9481</v>
      </c>
      <c r="T34" s="23"/>
      <c r="U34" s="23"/>
      <c r="V34" s="70"/>
      <c r="Z34" s="82"/>
      <c r="AA34" s="70"/>
      <c r="AB34" s="70"/>
      <c r="AD34" s="70"/>
      <c r="AE34" s="70"/>
    </row>
    <row r="35" spans="1:31" ht="15.5" x14ac:dyDescent="0.35">
      <c r="A35" s="1" t="s">
        <v>270</v>
      </c>
      <c r="B35" s="1"/>
      <c r="C35" s="1"/>
      <c r="D35" s="1" t="s">
        <v>271</v>
      </c>
      <c r="H35" s="5"/>
      <c r="I35" s="11"/>
      <c r="J35" s="11"/>
      <c r="K35" s="11"/>
      <c r="L35" s="72"/>
      <c r="M35" s="13"/>
      <c r="N35" s="244">
        <v>7</v>
      </c>
      <c r="O35" s="59">
        <v>1.2E-2</v>
      </c>
      <c r="P35" s="181">
        <f t="shared" si="11"/>
        <v>8.4000000000000005E-2</v>
      </c>
      <c r="R35" s="6">
        <f>SUM(O$25:O35)  * 10000</f>
        <v>9601</v>
      </c>
      <c r="T35" s="81"/>
      <c r="U35" s="23"/>
      <c r="V35" s="81"/>
      <c r="Z35" s="82"/>
      <c r="AA35" s="70"/>
      <c r="AB35" s="81"/>
      <c r="AD35" s="70"/>
      <c r="AE35" s="81"/>
    </row>
    <row r="36" spans="1:31" ht="15.5" x14ac:dyDescent="0.35">
      <c r="A36" s="11" t="s">
        <v>233</v>
      </c>
      <c r="B36" s="72">
        <f>B33 * C33 * D33 * E33</f>
        <v>5.1510658951981828E-2</v>
      </c>
      <c r="D36" s="11" t="s">
        <v>233</v>
      </c>
      <c r="E36" s="107">
        <f>C33 * D33 * E33 * F33</f>
        <v>5.1510658951981828E-2</v>
      </c>
      <c r="H36" s="5"/>
      <c r="I36" s="11"/>
      <c r="J36" s="11"/>
      <c r="K36" s="11"/>
      <c r="L36" s="72"/>
      <c r="M36" s="13"/>
      <c r="N36" s="244">
        <v>8</v>
      </c>
      <c r="O36" s="59">
        <v>0.01</v>
      </c>
      <c r="P36" s="181">
        <f t="shared" si="11"/>
        <v>0.08</v>
      </c>
      <c r="R36" s="6">
        <f>SUM(O$25:O36)  * 10000</f>
        <v>9701</v>
      </c>
      <c r="U36" s="80"/>
      <c r="Z36" s="82"/>
      <c r="AA36" s="3"/>
      <c r="AD36" s="29"/>
      <c r="AE36" s="70"/>
    </row>
    <row r="37" spans="1:31" ht="15.5" x14ac:dyDescent="0.35">
      <c r="A37" s="11" t="s">
        <v>234</v>
      </c>
      <c r="B37" s="72">
        <f>1-B36</f>
        <v>0.94848934104801819</v>
      </c>
      <c r="C37" s="242"/>
      <c r="D37" s="11" t="s">
        <v>234</v>
      </c>
      <c r="E37" s="107">
        <f>1-E36</f>
        <v>0.94848934104801819</v>
      </c>
      <c r="F37" s="26"/>
      <c r="G37" s="85"/>
      <c r="H37" s="5"/>
      <c r="I37" s="11"/>
      <c r="J37" s="11"/>
      <c r="K37" s="11"/>
      <c r="L37" s="72"/>
      <c r="M37" s="13"/>
      <c r="N37" s="244">
        <v>9</v>
      </c>
      <c r="O37" s="59">
        <v>8.0000000000000002E-3</v>
      </c>
      <c r="P37" s="181">
        <f t="shared" si="11"/>
        <v>7.2000000000000008E-2</v>
      </c>
      <c r="R37" s="6">
        <f>SUM(O$25:O37)  * 10000</f>
        <v>9781</v>
      </c>
      <c r="Z37" s="82"/>
      <c r="AA37" s="3"/>
      <c r="AE37" s="70"/>
    </row>
    <row r="38" spans="1:31" x14ac:dyDescent="0.35">
      <c r="A38" s="11" t="s">
        <v>94</v>
      </c>
      <c r="B38" s="262">
        <f>B21</f>
        <v>0.10526315789473684</v>
      </c>
      <c r="C38" s="242"/>
      <c r="D38" s="11" t="s">
        <v>94</v>
      </c>
      <c r="E38" s="107">
        <f>B20</f>
        <v>0.10526315789473684</v>
      </c>
      <c r="F38" s="26"/>
      <c r="G38" s="85"/>
      <c r="H38" s="5"/>
      <c r="I38" s="11"/>
      <c r="J38" s="11"/>
      <c r="K38" s="11"/>
      <c r="L38" s="72"/>
      <c r="N38" s="244">
        <v>10</v>
      </c>
      <c r="O38" s="59">
        <v>6.0000000000000001E-3</v>
      </c>
      <c r="P38" s="181">
        <f t="shared" si="11"/>
        <v>0.06</v>
      </c>
      <c r="R38" s="6">
        <f>SUM(O$25:O38)  * 10000</f>
        <v>9841</v>
      </c>
      <c r="AA38" s="3"/>
    </row>
    <row r="39" spans="1:31" x14ac:dyDescent="0.35">
      <c r="B39" s="3"/>
      <c r="C39" s="242"/>
      <c r="E39" s="243"/>
      <c r="F39" s="26"/>
      <c r="G39" s="85"/>
      <c r="H39" s="5"/>
      <c r="I39" s="71">
        <f t="shared" ref="I39:K39" si="18">SUM(I25:I38)</f>
        <v>4.6583202325003861E-2</v>
      </c>
      <c r="J39" s="71">
        <f t="shared" si="18"/>
        <v>1.2815590643809577E-2</v>
      </c>
      <c r="K39" s="71">
        <f t="shared" si="18"/>
        <v>4.8277562895619221E-3</v>
      </c>
      <c r="L39" s="71">
        <f>SUM(L25:L38)</f>
        <v>6.4226549258375357E-2</v>
      </c>
      <c r="N39" s="244">
        <v>12</v>
      </c>
      <c r="O39" s="59">
        <v>5.0000000000000001E-3</v>
      </c>
      <c r="P39" s="181">
        <f t="shared" si="11"/>
        <v>0.06</v>
      </c>
      <c r="R39" s="6">
        <f>SUM(O$25:O39)  * 10000</f>
        <v>9891</v>
      </c>
      <c r="AA39" s="5"/>
      <c r="AB39" s="92"/>
      <c r="AC39" s="93"/>
    </row>
    <row r="40" spans="1:31" x14ac:dyDescent="0.35">
      <c r="A40" s="1" t="s">
        <v>235</v>
      </c>
      <c r="B40" s="3">
        <f>B37 * B38</f>
        <v>9.9840983268212433E-2</v>
      </c>
      <c r="C40" s="242"/>
      <c r="D40" s="1" t="s">
        <v>235</v>
      </c>
      <c r="E40" s="3">
        <f>E37 * E38</f>
        <v>9.9840983268212433E-2</v>
      </c>
      <c r="F40" s="26"/>
      <c r="G40" s="85"/>
      <c r="H40" s="5"/>
      <c r="I40" s="25"/>
      <c r="J40" s="25"/>
      <c r="K40" s="25"/>
      <c r="L40" s="25"/>
      <c r="N40" s="244">
        <v>15</v>
      </c>
      <c r="O40" s="59">
        <v>4.0000000000000001E-3</v>
      </c>
      <c r="P40" s="181">
        <f t="shared" si="11"/>
        <v>0.06</v>
      </c>
      <c r="R40" s="6">
        <f>SUM(O$25:O40)  * 10000</f>
        <v>9931</v>
      </c>
      <c r="AA40" s="31"/>
      <c r="AB40" s="92"/>
      <c r="AC40" s="93"/>
    </row>
    <row r="41" spans="1:31" x14ac:dyDescent="0.35">
      <c r="B41" s="3"/>
      <c r="C41" s="242"/>
      <c r="D41" s="138"/>
      <c r="E41" s="243"/>
      <c r="F41" s="26"/>
      <c r="G41" s="85"/>
      <c r="I41" s="70"/>
      <c r="J41" s="70"/>
      <c r="K41" s="25"/>
      <c r="L41" s="25"/>
      <c r="N41" s="244">
        <v>20</v>
      </c>
      <c r="O41" s="59">
        <v>3.0000000000000001E-3</v>
      </c>
      <c r="P41" s="181">
        <f t="shared" si="11"/>
        <v>0.06</v>
      </c>
      <c r="R41" s="6">
        <f>SUM(O$25:O41)  * 10000</f>
        <v>9961</v>
      </c>
      <c r="AA41" s="94"/>
      <c r="AB41" s="92"/>
      <c r="AC41" s="93"/>
    </row>
    <row r="42" spans="1:31" x14ac:dyDescent="0.35">
      <c r="B42" s="23"/>
      <c r="C42" s="23"/>
      <c r="D42" s="23"/>
      <c r="E42" s="23"/>
      <c r="F42" s="26"/>
      <c r="G42" s="85"/>
      <c r="N42" s="244">
        <v>25</v>
      </c>
      <c r="O42" s="59">
        <v>2E-3</v>
      </c>
      <c r="P42" s="181">
        <f t="shared" si="11"/>
        <v>0.05</v>
      </c>
      <c r="R42" s="6">
        <f>SUM(O$25:O42)  * 10000</f>
        <v>9981</v>
      </c>
      <c r="AA42" s="94"/>
      <c r="AB42" s="92"/>
      <c r="AC42" s="93"/>
    </row>
    <row r="43" spans="1:31" x14ac:dyDescent="0.35">
      <c r="I43" s="83"/>
      <c r="N43" s="244">
        <v>30</v>
      </c>
      <c r="O43" s="59">
        <v>1E-3</v>
      </c>
      <c r="P43" s="181">
        <f t="shared" si="11"/>
        <v>0.03</v>
      </c>
      <c r="R43" s="6">
        <f>SUM(O$25:O43)  * 10000</f>
        <v>9991</v>
      </c>
      <c r="AA43" s="94"/>
      <c r="AB43" s="92"/>
      <c r="AC43" s="93"/>
    </row>
    <row r="44" spans="1:31" x14ac:dyDescent="0.35">
      <c r="I44" s="83"/>
      <c r="J44" s="70"/>
      <c r="K44" s="20"/>
      <c r="N44" s="244">
        <v>40</v>
      </c>
      <c r="O44" s="59">
        <v>5.0000000000000001E-4</v>
      </c>
      <c r="P44" s="181">
        <f t="shared" si="11"/>
        <v>0.02</v>
      </c>
      <c r="R44" s="6">
        <f>SUM(O$25:O44)  * 10000</f>
        <v>9996</v>
      </c>
      <c r="AA44" s="94"/>
      <c r="AB44" s="92"/>
      <c r="AC44" s="93"/>
    </row>
    <row r="45" spans="1:31" x14ac:dyDescent="0.35">
      <c r="K45" s="20"/>
      <c r="N45" s="244">
        <v>50</v>
      </c>
      <c r="O45" s="59">
        <v>4.0000000000000002E-4</v>
      </c>
      <c r="P45" s="181">
        <f t="shared" si="11"/>
        <v>0.02</v>
      </c>
      <c r="R45" s="6">
        <f>SUM(O$25:O45)  * 10000</f>
        <v>9999.9999999999982</v>
      </c>
      <c r="AA45" s="30"/>
      <c r="AB45" s="92"/>
    </row>
    <row r="46" spans="1:31" x14ac:dyDescent="0.35">
      <c r="C46" s="26"/>
      <c r="I46" s="83"/>
      <c r="J46" s="70"/>
      <c r="K46" s="20"/>
      <c r="O46" s="146">
        <f>SUM(O25:O45)</f>
        <v>0.99999999999999989</v>
      </c>
      <c r="P46" s="180">
        <f>SUM(P25:P45)</f>
        <v>2.0300500000000006</v>
      </c>
      <c r="R46" s="6"/>
      <c r="S46" s="30"/>
      <c r="AA46" s="30"/>
    </row>
    <row r="47" spans="1:31" x14ac:dyDescent="0.35">
      <c r="B47" s="7"/>
      <c r="C47" s="7"/>
      <c r="D47" s="7"/>
      <c r="E47" s="7"/>
      <c r="F47" s="7"/>
      <c r="I47" s="83"/>
      <c r="J47" s="70"/>
      <c r="K47" s="20"/>
      <c r="O47" s="29"/>
      <c r="P47" s="138"/>
      <c r="Q47" s="33"/>
      <c r="R47" s="6"/>
      <c r="S47" s="30"/>
      <c r="AA47" s="30"/>
    </row>
    <row r="48" spans="1:31" x14ac:dyDescent="0.35">
      <c r="B48" s="7"/>
      <c r="C48" s="7"/>
      <c r="D48" s="7"/>
      <c r="E48" s="7"/>
      <c r="F48" s="7"/>
      <c r="I48" s="83"/>
      <c r="J48" s="70"/>
      <c r="K48" s="20"/>
      <c r="O48" s="29"/>
      <c r="P48" s="138"/>
      <c r="R48" s="60"/>
      <c r="S48" s="30"/>
      <c r="U48" s="50"/>
      <c r="AA48" s="30"/>
    </row>
    <row r="49" spans="1:49" x14ac:dyDescent="0.35">
      <c r="C49" s="26"/>
      <c r="I49" s="83"/>
      <c r="J49" s="70"/>
      <c r="K49" s="20"/>
      <c r="O49" s="7"/>
      <c r="P49" s="138"/>
      <c r="R49" s="6"/>
      <c r="S49" s="30"/>
      <c r="AA49" s="30"/>
    </row>
    <row r="50" spans="1:49" x14ac:dyDescent="0.35">
      <c r="C50" s="26"/>
      <c r="I50" s="83"/>
      <c r="J50" s="70"/>
      <c r="K50" s="20"/>
      <c r="S50" s="30"/>
      <c r="AA50" s="30"/>
    </row>
    <row r="51" spans="1:49" x14ac:dyDescent="0.35">
      <c r="I51" s="83"/>
      <c r="J51" s="76"/>
      <c r="K51" s="15"/>
      <c r="L51" s="25"/>
      <c r="S51" s="30"/>
      <c r="AA51" s="30"/>
      <c r="AG51" s="24"/>
      <c r="AH51" s="24"/>
      <c r="AI51" s="24"/>
      <c r="AJ51" s="24"/>
      <c r="AK51" s="24"/>
      <c r="AL51" s="24"/>
      <c r="AM51" s="24"/>
      <c r="AN51" s="24"/>
      <c r="AO51" s="24"/>
      <c r="AP51" s="24"/>
      <c r="AQ51" s="24"/>
      <c r="AR51" s="24"/>
      <c r="AS51" s="24"/>
      <c r="AT51" s="24"/>
      <c r="AU51" s="24"/>
      <c r="AV51" s="24"/>
    </row>
    <row r="52" spans="1:49" x14ac:dyDescent="0.35">
      <c r="C52" s="78"/>
      <c r="D52" s="70"/>
      <c r="I52" s="83"/>
      <c r="J52" s="70"/>
      <c r="K52" s="75"/>
      <c r="T52" s="2"/>
      <c r="W52" s="2"/>
      <c r="X52" s="2"/>
      <c r="Y52" s="2"/>
      <c r="Z52" s="2"/>
      <c r="AB52" s="2"/>
      <c r="AD52" s="2"/>
      <c r="AF52" s="2"/>
      <c r="AG52" s="2"/>
      <c r="AH52" s="2"/>
      <c r="AI52" s="2"/>
      <c r="AJ52" s="2"/>
      <c r="AK52" s="2"/>
      <c r="AL52" s="2"/>
      <c r="AM52" s="2"/>
      <c r="AN52" s="2"/>
      <c r="AO52" s="2"/>
      <c r="AP52" s="2"/>
      <c r="AQ52" s="2"/>
      <c r="AR52" s="2"/>
      <c r="AS52" s="2"/>
      <c r="AT52" s="2"/>
      <c r="AU52" s="2"/>
      <c r="AV52" s="2"/>
    </row>
    <row r="53" spans="1:49" x14ac:dyDescent="0.35">
      <c r="I53" s="83"/>
      <c r="J53" s="70"/>
      <c r="K53" s="20"/>
      <c r="AW53" s="25"/>
    </row>
    <row r="54" spans="1:49" x14ac:dyDescent="0.35">
      <c r="I54" s="83"/>
      <c r="J54" s="70"/>
      <c r="K54" s="20"/>
      <c r="AW54" s="25"/>
    </row>
    <row r="55" spans="1:49" ht="23.5" customHeight="1" x14ac:dyDescent="0.35">
      <c r="A55" t="s">
        <v>141</v>
      </c>
      <c r="B55" t="str">
        <f>B3</f>
        <v>Reel1</v>
      </c>
      <c r="C55" t="str">
        <f t="shared" ref="C55:E55" si="19">C3</f>
        <v>Reel2</v>
      </c>
      <c r="D55" t="str">
        <f t="shared" si="19"/>
        <v>Reel3</v>
      </c>
      <c r="E55" t="str">
        <f t="shared" si="19"/>
        <v>Reel4</v>
      </c>
      <c r="F55" t="str">
        <f t="shared" ref="F55" si="20">F3</f>
        <v>Reel5</v>
      </c>
      <c r="G55" s="14"/>
      <c r="I55" s="83"/>
      <c r="J55" s="70"/>
      <c r="K55" s="77"/>
      <c r="L55" s="15"/>
      <c r="AW55" s="25"/>
    </row>
    <row r="56" spans="1:49" x14ac:dyDescent="0.35">
      <c r="A56" s="11" t="s">
        <v>142</v>
      </c>
      <c r="B56" s="11">
        <v>2</v>
      </c>
      <c r="C56" s="11">
        <v>2</v>
      </c>
      <c r="D56" s="11">
        <v>2</v>
      </c>
      <c r="E56" s="11">
        <v>2</v>
      </c>
      <c r="F56" s="11">
        <v>2</v>
      </c>
      <c r="I56" s="83"/>
      <c r="J56" s="70"/>
      <c r="K56" s="20"/>
      <c r="N56" s="87"/>
      <c r="AW56" s="25"/>
    </row>
    <row r="57" spans="1:49" x14ac:dyDescent="0.35">
      <c r="A57" s="11" t="s">
        <v>143</v>
      </c>
      <c r="B57" s="11">
        <v>3</v>
      </c>
      <c r="C57" s="11">
        <v>3</v>
      </c>
      <c r="D57" s="11">
        <v>3</v>
      </c>
      <c r="E57" s="11">
        <v>3</v>
      </c>
      <c r="F57" s="11">
        <v>3</v>
      </c>
      <c r="I57" s="83"/>
      <c r="K57" s="20"/>
      <c r="N57" s="6"/>
      <c r="S57" s="3"/>
      <c r="AW57" s="25"/>
    </row>
    <row r="58" spans="1:49" ht="18.5" x14ac:dyDescent="0.45">
      <c r="A58" s="11" t="s">
        <v>144</v>
      </c>
      <c r="B58" s="195">
        <v>3</v>
      </c>
      <c r="C58" s="195">
        <v>3</v>
      </c>
      <c r="D58" s="195">
        <v>3</v>
      </c>
      <c r="E58" s="195">
        <v>3</v>
      </c>
      <c r="F58" s="195">
        <v>3</v>
      </c>
      <c r="I58" s="83"/>
      <c r="J58" s="70"/>
      <c r="K58" s="20"/>
      <c r="L58" s="42"/>
      <c r="M58" s="5"/>
      <c r="N58" s="33"/>
      <c r="S58" s="3"/>
      <c r="AW58" s="25"/>
    </row>
    <row r="59" spans="1:49" x14ac:dyDescent="0.35">
      <c r="B59" s="87"/>
      <c r="G59" s="23"/>
      <c r="I59" s="83"/>
      <c r="M59" s="5"/>
      <c r="N59" s="6"/>
      <c r="S59" s="3"/>
      <c r="AW59" s="25"/>
    </row>
    <row r="60" spans="1:49" x14ac:dyDescent="0.35">
      <c r="B60" s="124"/>
      <c r="C60" s="43"/>
      <c r="D60" s="43"/>
      <c r="E60" s="43"/>
      <c r="F60" s="43"/>
      <c r="G60" s="32"/>
      <c r="I60" s="83"/>
      <c r="S60" s="3"/>
      <c r="AW60" s="25"/>
    </row>
    <row r="61" spans="1:49" ht="15.5" x14ac:dyDescent="0.35">
      <c r="A61" s="5" t="s">
        <v>12</v>
      </c>
      <c r="B61" s="33" t="str">
        <f>B55</f>
        <v>Reel1</v>
      </c>
      <c r="C61" s="33" t="str">
        <f t="shared" ref="C61:E61" si="21">C55</f>
        <v>Reel2</v>
      </c>
      <c r="D61" s="33" t="str">
        <f t="shared" si="21"/>
        <v>Reel3</v>
      </c>
      <c r="E61" s="33" t="str">
        <f t="shared" si="21"/>
        <v>Reel4</v>
      </c>
      <c r="F61" s="33" t="str">
        <f t="shared" ref="F61" si="22">F55</f>
        <v>Reel5</v>
      </c>
      <c r="G61" s="23"/>
      <c r="I61" s="83"/>
      <c r="L61" s="41"/>
      <c r="N61" s="23"/>
      <c r="S61" s="3"/>
      <c r="AW61" s="25"/>
    </row>
    <row r="62" spans="1:49" ht="15.5" x14ac:dyDescent="0.35">
      <c r="A62" s="172">
        <v>3</v>
      </c>
      <c r="B62" s="196">
        <f>B56 * 2 /B17</f>
        <v>5.2631578947368418E-2</v>
      </c>
      <c r="C62" s="196">
        <f t="shared" ref="C62:E62" si="23">C56 * 2 /C17</f>
        <v>5.4054054054054057E-2</v>
      </c>
      <c r="D62" s="196">
        <f t="shared" si="23"/>
        <v>5.4054054054054057E-2</v>
      </c>
      <c r="E62" s="196">
        <f t="shared" si="23"/>
        <v>5.4054054054054057E-2</v>
      </c>
      <c r="F62" s="196">
        <f t="shared" ref="F62" si="24">F56 * 2 /F17</f>
        <v>5.2631578947368418E-2</v>
      </c>
      <c r="G62" s="23"/>
      <c r="I62" s="83"/>
      <c r="L62" s="41"/>
      <c r="M62" s="5"/>
      <c r="S62" s="3"/>
      <c r="T62" s="80"/>
      <c r="AW62" s="25"/>
    </row>
    <row r="63" spans="1:49" x14ac:dyDescent="0.35">
      <c r="A63" s="172">
        <v>2</v>
      </c>
      <c r="B63" s="197">
        <f>(B56 * 2    +  B57 * 3  )/B17</f>
        <v>0.17105263157894737</v>
      </c>
      <c r="C63" s="197">
        <f t="shared" ref="C63:E63" si="25">(C56 * 2    +  C57 * 3  )/C17</f>
        <v>0.17567567567567569</v>
      </c>
      <c r="D63" s="197">
        <f t="shared" si="25"/>
        <v>0.17567567567567569</v>
      </c>
      <c r="E63" s="197">
        <f t="shared" si="25"/>
        <v>0.17567567567567569</v>
      </c>
      <c r="F63" s="197">
        <f t="shared" ref="F63" si="26">(F56 * 2    +  F57 * 3  )/F17</f>
        <v>0.17105263157894737</v>
      </c>
      <c r="G63" s="23"/>
      <c r="I63" s="83"/>
      <c r="M63" s="5"/>
      <c r="S63" s="3"/>
      <c r="T63" s="80"/>
      <c r="AW63" s="25"/>
    </row>
    <row r="64" spans="1:49" x14ac:dyDescent="0.35">
      <c r="A64" s="172">
        <v>1</v>
      </c>
      <c r="B64" s="197">
        <f>(B56 * 2  +  B57 * 2  +  B58 * 4) / B17</f>
        <v>0.28947368421052633</v>
      </c>
      <c r="C64" s="197">
        <f t="shared" ref="C64:E64" si="27">(C56 * 2  +  C57 * 2  +  C58 * 4) / C17</f>
        <v>0.29729729729729731</v>
      </c>
      <c r="D64" s="197">
        <f t="shared" si="27"/>
        <v>0.29729729729729731</v>
      </c>
      <c r="E64" s="197">
        <f t="shared" si="27"/>
        <v>0.29729729729729731</v>
      </c>
      <c r="F64" s="197">
        <f t="shared" ref="F64" si="28">(F56 * 2  +  F57 * 2  +  F58 * 4) / F17</f>
        <v>0.28947368421052633</v>
      </c>
      <c r="I64" s="83"/>
      <c r="M64" s="5"/>
      <c r="S64" s="3"/>
      <c r="T64" s="80"/>
      <c r="X64" s="1"/>
      <c r="AW64" s="25"/>
    </row>
    <row r="65" spans="1:49" x14ac:dyDescent="0.35">
      <c r="A65" s="172">
        <v>0</v>
      </c>
      <c r="B65" s="197">
        <f>1-SUM(B62:B64)</f>
        <v>0.48684210526315785</v>
      </c>
      <c r="C65" s="197">
        <f t="shared" ref="C65:E65" si="29">1-SUM(C62:C64)</f>
        <v>0.47297297297297292</v>
      </c>
      <c r="D65" s="197">
        <f t="shared" si="29"/>
        <v>0.47297297297297292</v>
      </c>
      <c r="E65" s="197">
        <f t="shared" si="29"/>
        <v>0.47297297297297292</v>
      </c>
      <c r="F65" s="197">
        <f t="shared" ref="F65" si="30">1-SUM(F62:F64)</f>
        <v>0.48684210526315785</v>
      </c>
      <c r="G65" s="38"/>
      <c r="H65" s="39"/>
      <c r="I65" s="194"/>
      <c r="J65" s="39"/>
      <c r="M65" s="5"/>
      <c r="S65" s="3"/>
      <c r="T65" s="80"/>
      <c r="AW65" s="25"/>
    </row>
    <row r="66" spans="1:49" x14ac:dyDescent="0.35">
      <c r="A66" s="5" t="s">
        <v>11</v>
      </c>
      <c r="B66" s="37">
        <f>SUM(B62:B65)</f>
        <v>1</v>
      </c>
      <c r="C66" s="37">
        <f t="shared" ref="C66:E66" si="31">SUM(C62:C65)</f>
        <v>1</v>
      </c>
      <c r="D66" s="37">
        <f t="shared" si="31"/>
        <v>1</v>
      </c>
      <c r="E66" s="37">
        <f t="shared" si="31"/>
        <v>1</v>
      </c>
      <c r="F66" s="37">
        <f t="shared" ref="F66" si="32">SUM(F62:F65)</f>
        <v>1</v>
      </c>
      <c r="G66" s="23" t="str">
        <f>Summary!F9</f>
        <v>Bronze</v>
      </c>
      <c r="H66" s="16">
        <f>1/4</f>
        <v>0.25</v>
      </c>
      <c r="I66" s="83"/>
      <c r="M66" s="201" t="s">
        <v>149</v>
      </c>
      <c r="S66" s="3"/>
      <c r="T66" s="80"/>
      <c r="AW66" s="25"/>
    </row>
    <row r="67" spans="1:49" x14ac:dyDescent="0.35">
      <c r="A67" s="5"/>
      <c r="B67" s="67"/>
      <c r="G67" s="23" t="str">
        <f>Summary!F10</f>
        <v>Silver</v>
      </c>
      <c r="H67" s="16">
        <f t="shared" ref="H67:H69" si="33">1/4</f>
        <v>0.25</v>
      </c>
      <c r="I67" s="83"/>
      <c r="M67" s="2" t="s">
        <v>153</v>
      </c>
      <c r="N67" t="s">
        <v>150</v>
      </c>
      <c r="O67" t="s">
        <v>151</v>
      </c>
      <c r="P67" t="s">
        <v>152</v>
      </c>
      <c r="Q67" t="s">
        <v>125</v>
      </c>
      <c r="S67" s="60"/>
      <c r="U67" s="3"/>
      <c r="V67" s="85"/>
      <c r="AW67" s="25"/>
    </row>
    <row r="68" spans="1:49" x14ac:dyDescent="0.35">
      <c r="A68" s="5"/>
      <c r="B68" s="37"/>
      <c r="C68" s="26"/>
      <c r="G68" s="23" t="str">
        <f>Summary!F11</f>
        <v>Gold</v>
      </c>
      <c r="H68" s="16">
        <f t="shared" si="33"/>
        <v>0.25</v>
      </c>
      <c r="I68" s="83"/>
      <c r="M68" s="172" t="s">
        <v>172</v>
      </c>
      <c r="N68" s="107">
        <f>I92</f>
        <v>0.63042395387770922</v>
      </c>
      <c r="O68" s="148">
        <v>1.0999999999999999E-2</v>
      </c>
      <c r="P68" s="107">
        <f>N68 * O68</f>
        <v>6.9346634926548013E-3</v>
      </c>
      <c r="Q68" s="203">
        <f>1/P68</f>
        <v>144.20310387940242</v>
      </c>
      <c r="S68" s="40">
        <f>Summary!G24</f>
        <v>5.5556590915104474E-2</v>
      </c>
      <c r="U68" s="80"/>
      <c r="V68" s="80"/>
      <c r="AW68" s="25"/>
    </row>
    <row r="69" spans="1:49" x14ac:dyDescent="0.35">
      <c r="A69" s="5"/>
      <c r="B69" s="37"/>
      <c r="C69" s="26"/>
      <c r="G69" s="23" t="str">
        <f>Summary!F12</f>
        <v>Platinum</v>
      </c>
      <c r="H69" s="16">
        <f t="shared" si="33"/>
        <v>0.25</v>
      </c>
      <c r="I69" s="83"/>
      <c r="M69" s="172" t="s">
        <v>175</v>
      </c>
      <c r="N69" s="107">
        <f>J92</f>
        <v>0.63042395387770922</v>
      </c>
      <c r="O69" s="148">
        <v>1.03E-2</v>
      </c>
      <c r="P69" s="107">
        <f>N69 * O69  *  (  1 - P68 )</f>
        <v>6.4483374117685413E-3</v>
      </c>
      <c r="Q69" s="203">
        <f t="shared" ref="Q69:Q71" si="34">1/P69</f>
        <v>155.07873365543023</v>
      </c>
      <c r="S69" s="40">
        <f>Summary!G25</f>
        <v>5.5773064758685896E-2</v>
      </c>
      <c r="U69" s="80"/>
      <c r="V69" s="80"/>
      <c r="AW69" s="25"/>
    </row>
    <row r="70" spans="1:49" x14ac:dyDescent="0.35">
      <c r="A70" s="5"/>
      <c r="B70" s="37"/>
      <c r="C70" s="26"/>
      <c r="G70" s="23" t="s">
        <v>145</v>
      </c>
      <c r="H70" t="s">
        <v>12</v>
      </c>
      <c r="I70" s="83" t="s">
        <v>146</v>
      </c>
      <c r="J70" t="s">
        <v>147</v>
      </c>
      <c r="K70" t="s">
        <v>148</v>
      </c>
      <c r="L70" t="s">
        <v>275</v>
      </c>
      <c r="M70" s="172" t="s">
        <v>176</v>
      </c>
      <c r="N70" s="107">
        <f>K92</f>
        <v>0.63042395387770922</v>
      </c>
      <c r="O70" s="148">
        <v>0.01</v>
      </c>
      <c r="P70" s="107">
        <f>N70 * O70  *   (  1 - P68 )   *   (  1 - N69 * O69 )</f>
        <v>6.2198698953279371E-3</v>
      </c>
      <c r="Q70" s="203">
        <f t="shared" si="34"/>
        <v>160.77506713623563</v>
      </c>
      <c r="S70" s="40">
        <f>Summary!G26</f>
        <v>5.6884678080826583E-2</v>
      </c>
      <c r="U70" s="80"/>
      <c r="V70" s="80"/>
      <c r="AW70" s="25"/>
    </row>
    <row r="71" spans="1:49" x14ac:dyDescent="0.35">
      <c r="A71" s="5">
        <v>15</v>
      </c>
      <c r="B71" s="300">
        <v>4.3749955224655203E-7</v>
      </c>
      <c r="C71" s="26"/>
      <c r="G71">
        <v>0</v>
      </c>
      <c r="H71" s="76">
        <f>SUMIFS(B$71:B$1094,  A$71:A$1094,  "="&amp;G71 )</f>
        <v>2.5077557647675362E-2</v>
      </c>
      <c r="I71" s="306"/>
      <c r="J71" s="260"/>
      <c r="K71" s="260"/>
      <c r="L71" s="215"/>
      <c r="M71" s="305" t="s">
        <v>276</v>
      </c>
      <c r="N71" s="304">
        <f>L92</f>
        <v>0.63042395387770922</v>
      </c>
      <c r="O71" s="90">
        <v>9.7000000000000003E-3</v>
      </c>
      <c r="P71" s="304">
        <f>N71 * O71  *  (1 -P68 )  *  ( 1 - N69 * O69 )  *  ( 1 - N70 * O70 )</f>
        <v>5.9952385952395286E-3</v>
      </c>
      <c r="Q71" s="203">
        <f t="shared" si="34"/>
        <v>166.79903295158962</v>
      </c>
      <c r="S71" s="40">
        <f>Summary!G27</f>
        <v>5.7069563112943505E-2</v>
      </c>
      <c r="U71" s="80"/>
      <c r="V71" s="80"/>
      <c r="AW71" s="25"/>
    </row>
    <row r="72" spans="1:49" x14ac:dyDescent="0.35">
      <c r="A72" s="5">
        <v>14</v>
      </c>
      <c r="B72" s="60">
        <v>1.4218735448012941E-6</v>
      </c>
      <c r="C72" s="26"/>
      <c r="G72">
        <v>1</v>
      </c>
      <c r="H72" s="76">
        <f t="shared" ref="H72:H91" si="35">SUMIFS(B$71:B$1094,  A$71:A$1094,  "="&amp;G72 )</f>
        <v>7.7111069152929215E-2</v>
      </c>
      <c r="I72" s="306">
        <f>(1 - BINOMDIST(0,G72,H$66, FALSE)  )   *  H72</f>
        <v>1.9277767288232304E-2</v>
      </c>
      <c r="J72" s="307">
        <f>(  1 - BINOMDIST(0,G72,H$67, FALSE)  )   *  H72</f>
        <v>1.9277767288232304E-2</v>
      </c>
      <c r="K72" s="215">
        <f>(1 - BINOMDIST(0,G72,H$68, FALSE)  )  *  H72</f>
        <v>1.9277767288232304E-2</v>
      </c>
      <c r="L72" s="215">
        <f>(1 - BINOMDIST(0,G72,H$69, FALSE)  )  *  H72</f>
        <v>1.9277767288232304E-2</v>
      </c>
      <c r="M72" s="5"/>
      <c r="N72" s="60"/>
      <c r="P72" s="60">
        <f>SUM(P68:P71)</f>
        <v>2.5598109394990808E-2</v>
      </c>
      <c r="Q72" s="202">
        <f>1/P72</f>
        <v>39.065385047369396</v>
      </c>
      <c r="S72" s="40">
        <f>Summary!G28</f>
        <v>0.22528389686756045</v>
      </c>
      <c r="AW72" s="25"/>
    </row>
    <row r="73" spans="1:49" x14ac:dyDescent="0.35">
      <c r="A73" s="5">
        <v>13</v>
      </c>
      <c r="B73" s="60">
        <v>2.4062475373560362E-6</v>
      </c>
      <c r="C73" s="26"/>
      <c r="G73">
        <v>2</v>
      </c>
      <c r="H73" s="76">
        <f t="shared" si="35"/>
        <v>0.14039189946952083</v>
      </c>
      <c r="I73" s="306">
        <f t="shared" ref="I73:I83" si="36">(1 - BINOMDIST(0,G73,H$66, FALSE)  )   *  H73</f>
        <v>6.1421456017915363E-2</v>
      </c>
      <c r="J73" s="307">
        <f t="shared" ref="J73:J83" si="37">(  1 - BINOMDIST(0,G73,H$67, FALSE)  )   *  H73</f>
        <v>6.1421456017915363E-2</v>
      </c>
      <c r="K73" s="215">
        <f t="shared" ref="K73:K83" si="38">(1 - BINOMDIST(0,G73,H$68, FALSE)  )  *  H73</f>
        <v>6.1421456017915363E-2</v>
      </c>
      <c r="L73" s="215">
        <f t="shared" ref="L73:L91" si="39">(1 - BINOMDIST(0,G73,H$69, FALSE)  )  *  H73</f>
        <v>6.1421456017915363E-2</v>
      </c>
      <c r="M73" s="167"/>
      <c r="S73" s="3"/>
      <c r="AW73" s="25"/>
    </row>
    <row r="74" spans="1:49" x14ac:dyDescent="0.35">
      <c r="A74" s="5">
        <v>12</v>
      </c>
      <c r="B74" s="60">
        <v>4.046870858280606E-6</v>
      </c>
      <c r="C74" s="26"/>
      <c r="G74">
        <v>3</v>
      </c>
      <c r="H74" s="76">
        <f t="shared" si="35"/>
        <v>0.1843824824386312</v>
      </c>
      <c r="I74" s="306">
        <f t="shared" si="36"/>
        <v>0.10659612265983366</v>
      </c>
      <c r="J74" s="307">
        <f t="shared" si="37"/>
        <v>0.10659612265983366</v>
      </c>
      <c r="K74" s="215">
        <f t="shared" si="38"/>
        <v>0.10659612265983366</v>
      </c>
      <c r="L74" s="215">
        <f t="shared" si="39"/>
        <v>0.10659612265983366</v>
      </c>
      <c r="M74" s="167"/>
      <c r="S74" s="3"/>
      <c r="AW74" s="25"/>
    </row>
    <row r="75" spans="1:49" x14ac:dyDescent="0.35">
      <c r="A75" s="5">
        <v>14</v>
      </c>
      <c r="B75" s="60">
        <v>1.4218735448012941E-6</v>
      </c>
      <c r="C75" s="26"/>
      <c r="G75">
        <v>4</v>
      </c>
      <c r="H75" s="76">
        <f t="shared" si="35"/>
        <v>0.18884921871193244</v>
      </c>
      <c r="I75" s="306">
        <f t="shared" si="36"/>
        <v>0.12909614560386007</v>
      </c>
      <c r="J75" s="307">
        <f t="shared" si="37"/>
        <v>0.12909614560386007</v>
      </c>
      <c r="K75" s="215">
        <f t="shared" si="38"/>
        <v>0.12909614560386007</v>
      </c>
      <c r="L75" s="215">
        <f t="shared" si="39"/>
        <v>0.12909614560386007</v>
      </c>
      <c r="M75" s="167"/>
      <c r="S75" s="3"/>
      <c r="AW75" s="25"/>
    </row>
    <row r="76" spans="1:49" x14ac:dyDescent="0.35">
      <c r="A76" s="5">
        <v>13</v>
      </c>
      <c r="B76" s="60">
        <v>4.6210890206042056E-6</v>
      </c>
      <c r="C76" s="26"/>
      <c r="G76">
        <v>5</v>
      </c>
      <c r="H76" s="76">
        <f t="shared" si="35"/>
        <v>0.15778505262818829</v>
      </c>
      <c r="I76" s="306">
        <f t="shared" si="36"/>
        <v>0.12034192002208502</v>
      </c>
      <c r="J76" s="307">
        <f t="shared" si="37"/>
        <v>0.12034192002208502</v>
      </c>
      <c r="K76" s="215">
        <f t="shared" si="38"/>
        <v>0.12034192002208502</v>
      </c>
      <c r="L76" s="215">
        <f t="shared" si="39"/>
        <v>0.12034192002208502</v>
      </c>
      <c r="M76" s="167"/>
      <c r="S76" s="3"/>
      <c r="U76" s="60"/>
      <c r="AW76" s="25"/>
    </row>
    <row r="77" spans="1:49" x14ac:dyDescent="0.35">
      <c r="A77" s="5">
        <v>12</v>
      </c>
      <c r="B77" s="60">
        <v>7.8203044964071176E-6</v>
      </c>
      <c r="C77" s="26"/>
      <c r="G77">
        <v>6</v>
      </c>
      <c r="H77" s="76">
        <f t="shared" si="35"/>
        <v>0.10980905082530731</v>
      </c>
      <c r="I77" s="306">
        <f t="shared" si="36"/>
        <v>9.0265398957228932E-2</v>
      </c>
      <c r="J77" s="307">
        <f t="shared" si="37"/>
        <v>9.0265398957228932E-2</v>
      </c>
      <c r="K77" s="215">
        <f t="shared" si="38"/>
        <v>9.0265398957228932E-2</v>
      </c>
      <c r="L77" s="215">
        <f t="shared" si="39"/>
        <v>9.0265398957228932E-2</v>
      </c>
      <c r="M77" s="167"/>
      <c r="S77" s="3"/>
      <c r="U77" s="60"/>
      <c r="AW77" s="25"/>
    </row>
    <row r="78" spans="1:49" x14ac:dyDescent="0.35">
      <c r="A78">
        <v>11</v>
      </c>
      <c r="B78" s="60">
        <v>1.3152330289411969E-5</v>
      </c>
      <c r="G78">
        <v>7</v>
      </c>
      <c r="H78" s="76">
        <f t="shared" si="35"/>
        <v>6.4457109813426616E-2</v>
      </c>
      <c r="I78" s="306">
        <f t="shared" si="36"/>
        <v>5.585312426887315E-2</v>
      </c>
      <c r="J78" s="307">
        <f t="shared" si="37"/>
        <v>5.585312426887315E-2</v>
      </c>
      <c r="K78" s="215">
        <f t="shared" si="38"/>
        <v>5.585312426887315E-2</v>
      </c>
      <c r="L78" s="215">
        <f t="shared" si="39"/>
        <v>5.585312426887315E-2</v>
      </c>
      <c r="M78" s="167"/>
      <c r="S78" s="3"/>
      <c r="T78" s="3"/>
      <c r="U78" s="60"/>
      <c r="AW78" s="25"/>
    </row>
    <row r="79" spans="1:49" x14ac:dyDescent="0.35">
      <c r="A79">
        <v>13</v>
      </c>
      <c r="B79" s="60">
        <v>2.4062475373560362E-6</v>
      </c>
      <c r="G79">
        <v>8</v>
      </c>
      <c r="H79" s="76">
        <f t="shared" si="35"/>
        <v>3.2076692574341939E-2</v>
      </c>
      <c r="I79" s="306">
        <f t="shared" si="36"/>
        <v>2.8865401375912716E-2</v>
      </c>
      <c r="J79" s="307">
        <f t="shared" si="37"/>
        <v>2.8865401375912716E-2</v>
      </c>
      <c r="K79" s="215">
        <f t="shared" si="38"/>
        <v>2.8865401375912716E-2</v>
      </c>
      <c r="L79" s="215">
        <f t="shared" si="39"/>
        <v>2.8865401375912716E-2</v>
      </c>
      <c r="M79" s="167"/>
      <c r="S79" s="3"/>
      <c r="T79" s="3"/>
      <c r="U79" s="60"/>
      <c r="AW79" s="25"/>
    </row>
    <row r="80" spans="1:49" x14ac:dyDescent="0.35">
      <c r="A80">
        <v>12</v>
      </c>
      <c r="B80" s="60">
        <v>7.8203044964071176E-6</v>
      </c>
      <c r="G80">
        <v>9</v>
      </c>
      <c r="H80" s="76">
        <f t="shared" si="35"/>
        <v>1.3502014623914704E-2</v>
      </c>
      <c r="I80" s="306">
        <f t="shared" si="36"/>
        <v>1.2488220091739589E-2</v>
      </c>
      <c r="J80" s="307">
        <f t="shared" si="37"/>
        <v>1.2488220091739589E-2</v>
      </c>
      <c r="K80" s="215">
        <f t="shared" si="38"/>
        <v>1.2488220091739589E-2</v>
      </c>
      <c r="L80" s="215">
        <f t="shared" si="39"/>
        <v>1.2488220091739589E-2</v>
      </c>
      <c r="M80" s="167"/>
      <c r="S80" s="3"/>
      <c r="T80" s="3"/>
      <c r="U80" s="60"/>
      <c r="AW80" s="25"/>
    </row>
    <row r="81" spans="1:49" x14ac:dyDescent="0.35">
      <c r="A81">
        <v>11</v>
      </c>
      <c r="B81" s="60">
        <v>1.3234361455458199E-5</v>
      </c>
      <c r="G81">
        <v>10</v>
      </c>
      <c r="H81" s="76">
        <f t="shared" si="35"/>
        <v>4.7725035995275682E-3</v>
      </c>
      <c r="I81" s="306">
        <f t="shared" si="36"/>
        <v>4.5037471478745613E-3</v>
      </c>
      <c r="J81" s="307">
        <f t="shared" si="37"/>
        <v>4.5037471478745613E-3</v>
      </c>
      <c r="K81" s="215">
        <f t="shared" si="38"/>
        <v>4.5037471478745613E-3</v>
      </c>
      <c r="L81" s="215">
        <f t="shared" si="39"/>
        <v>4.5037471478745613E-3</v>
      </c>
      <c r="M81" s="167"/>
      <c r="S81" s="3"/>
      <c r="AW81" s="25"/>
    </row>
    <row r="82" spans="1:49" x14ac:dyDescent="0.35">
      <c r="A82">
        <v>10</v>
      </c>
      <c r="B82" s="60">
        <v>2.2257789720543334E-5</v>
      </c>
      <c r="G82">
        <v>11</v>
      </c>
      <c r="H82" s="76">
        <f t="shared" si="35"/>
        <v>1.393389931374367E-3</v>
      </c>
      <c r="I82" s="306">
        <f t="shared" si="36"/>
        <v>1.3345399180770059E-3</v>
      </c>
      <c r="J82" s="307">
        <f t="shared" si="37"/>
        <v>1.3345399180770059E-3</v>
      </c>
      <c r="K82" s="215">
        <f t="shared" si="38"/>
        <v>1.3345399180770059E-3</v>
      </c>
      <c r="L82" s="215">
        <f t="shared" si="39"/>
        <v>1.3345399180770059E-3</v>
      </c>
      <c r="M82" s="167"/>
      <c r="S82" s="3"/>
      <c r="AW82" s="25"/>
    </row>
    <row r="83" spans="1:49" x14ac:dyDescent="0.35">
      <c r="A83">
        <v>12</v>
      </c>
      <c r="B83" s="60">
        <v>3.8281210821573294E-6</v>
      </c>
      <c r="G83">
        <v>12</v>
      </c>
      <c r="H83" s="76">
        <f t="shared" si="35"/>
        <v>3.2616958806081214E-4</v>
      </c>
      <c r="I83" s="306">
        <f t="shared" si="36"/>
        <v>3.1583772536984922E-4</v>
      </c>
      <c r="J83" s="307">
        <f t="shared" si="37"/>
        <v>3.1583772536984922E-4</v>
      </c>
      <c r="K83" s="215">
        <f t="shared" si="38"/>
        <v>3.1583772536984922E-4</v>
      </c>
      <c r="L83" s="215">
        <f t="shared" si="39"/>
        <v>3.1583772536984922E-4</v>
      </c>
      <c r="M83" s="167"/>
      <c r="S83" s="3"/>
      <c r="AW83" s="25"/>
    </row>
    <row r="84" spans="1:49" x14ac:dyDescent="0.35">
      <c r="A84">
        <v>11</v>
      </c>
      <c r="B84" s="60">
        <v>1.2441393517011322E-5</v>
      </c>
      <c r="G84">
        <v>13</v>
      </c>
      <c r="H84" s="76">
        <f t="shared" si="35"/>
        <v>5.8242127892822223E-5</v>
      </c>
      <c r="I84" s="306">
        <f t="shared" ref="I84:I86" si="40">(1 - BINOMDIST(0,G84,H$66, FALSE)  )   *  H84</f>
        <v>5.6858454283498904E-5</v>
      </c>
      <c r="J84" s="307">
        <f t="shared" ref="J84:J86" si="41">(  1 - BINOMDIST(0,G84,H$67, FALSE)  )   *  H84</f>
        <v>5.6858454283498904E-5</v>
      </c>
      <c r="K84" s="215">
        <f t="shared" ref="K84:K86" si="42">(1 - BINOMDIST(0,G84,H$68, FALSE)  )  *  H84</f>
        <v>5.6858454283498904E-5</v>
      </c>
      <c r="L84" s="215">
        <f t="shared" si="39"/>
        <v>5.6858454283498904E-5</v>
      </c>
      <c r="S84" s="3"/>
      <c r="AW84" s="25"/>
    </row>
    <row r="85" spans="1:49" x14ac:dyDescent="0.35">
      <c r="A85">
        <v>10</v>
      </c>
      <c r="B85" s="60">
        <v>2.1054665951865314E-5</v>
      </c>
      <c r="G85">
        <v>14</v>
      </c>
      <c r="H85" s="76">
        <f t="shared" si="35"/>
        <v>7.1093677240064699E-6</v>
      </c>
      <c r="I85" s="306">
        <f t="shared" si="40"/>
        <v>6.9826933794909546E-6</v>
      </c>
      <c r="J85" s="307">
        <f t="shared" si="41"/>
        <v>6.9826933794909546E-6</v>
      </c>
      <c r="K85" s="215">
        <f t="shared" si="42"/>
        <v>6.9826933794909546E-6</v>
      </c>
      <c r="L85" s="215">
        <f t="shared" si="39"/>
        <v>6.9826933794909546E-6</v>
      </c>
      <c r="M85" s="5"/>
      <c r="S85" s="3"/>
      <c r="AW85" s="25"/>
    </row>
    <row r="86" spans="1:49" x14ac:dyDescent="0.35">
      <c r="A86">
        <v>9</v>
      </c>
      <c r="B86" s="60">
        <v>3.5410120009955297E-5</v>
      </c>
      <c r="G86">
        <v>15</v>
      </c>
      <c r="H86" s="76">
        <f t="shared" si="35"/>
        <v>4.3749955224655203E-7</v>
      </c>
      <c r="I86" s="306">
        <f t="shared" si="40"/>
        <v>4.3165304403814365E-7</v>
      </c>
      <c r="J86" s="307">
        <f t="shared" si="41"/>
        <v>4.3165304403814365E-7</v>
      </c>
      <c r="K86" s="215">
        <f t="shared" si="42"/>
        <v>4.3165304403814365E-7</v>
      </c>
      <c r="L86" s="215">
        <f t="shared" si="39"/>
        <v>4.3165304403814365E-7</v>
      </c>
      <c r="M86" s="5"/>
      <c r="S86" s="3"/>
      <c r="AW86" s="25"/>
    </row>
    <row r="87" spans="1:49" x14ac:dyDescent="0.35">
      <c r="A87">
        <v>14</v>
      </c>
      <c r="B87" s="60">
        <v>1.4218735448012941E-6</v>
      </c>
      <c r="G87">
        <v>16</v>
      </c>
      <c r="H87" s="76">
        <f t="shared" si="35"/>
        <v>0</v>
      </c>
      <c r="I87" s="306">
        <f t="shared" ref="I87:I91" si="43">(1 - BINOMDIST(0,G87,H$66, FALSE)  )   *  H87</f>
        <v>0</v>
      </c>
      <c r="J87" s="307">
        <f t="shared" ref="J87:J91" si="44">(  1 - BINOMDIST(0,G87,H$67, FALSE)  )   *  H87</f>
        <v>0</v>
      </c>
      <c r="K87" s="215">
        <f t="shared" ref="K87:K91" si="45">(1 - BINOMDIST(0,G87,H$68, FALSE)  )  *  H87</f>
        <v>0</v>
      </c>
      <c r="L87" s="215">
        <f t="shared" si="39"/>
        <v>0</v>
      </c>
      <c r="S87" s="3"/>
      <c r="AW87" s="25"/>
    </row>
    <row r="88" spans="1:49" x14ac:dyDescent="0.35">
      <c r="A88">
        <v>13</v>
      </c>
      <c r="B88" s="60">
        <v>4.6210890206042056E-6</v>
      </c>
      <c r="G88">
        <v>17</v>
      </c>
      <c r="H88" s="76">
        <f t="shared" si="35"/>
        <v>0</v>
      </c>
      <c r="I88" s="306">
        <f t="shared" si="43"/>
        <v>0</v>
      </c>
      <c r="J88" s="307">
        <f t="shared" si="44"/>
        <v>0</v>
      </c>
      <c r="K88" s="215">
        <f t="shared" si="45"/>
        <v>0</v>
      </c>
      <c r="L88" s="215">
        <f t="shared" si="39"/>
        <v>0</v>
      </c>
      <c r="S88" s="3"/>
      <c r="AW88" s="25"/>
    </row>
    <row r="89" spans="1:49" x14ac:dyDescent="0.35">
      <c r="A89">
        <v>12</v>
      </c>
      <c r="B89" s="60">
        <v>7.8203044964071176E-6</v>
      </c>
      <c r="G89">
        <v>18</v>
      </c>
      <c r="H89" s="76">
        <f t="shared" si="35"/>
        <v>0</v>
      </c>
      <c r="I89" s="306">
        <f t="shared" si="43"/>
        <v>0</v>
      </c>
      <c r="J89" s="307">
        <f t="shared" si="44"/>
        <v>0</v>
      </c>
      <c r="K89" s="215">
        <f t="shared" si="45"/>
        <v>0</v>
      </c>
      <c r="L89" s="215">
        <f t="shared" si="39"/>
        <v>0</v>
      </c>
      <c r="M89" s="5"/>
      <c r="S89" s="3"/>
      <c r="AW89" s="25"/>
    </row>
    <row r="90" spans="1:49" x14ac:dyDescent="0.35">
      <c r="A90">
        <v>11</v>
      </c>
      <c r="B90">
        <v>1.3152330289411969E-5</v>
      </c>
      <c r="G90">
        <v>19</v>
      </c>
      <c r="H90" s="76">
        <f t="shared" si="35"/>
        <v>0</v>
      </c>
      <c r="I90" s="306">
        <f t="shared" si="43"/>
        <v>0</v>
      </c>
      <c r="J90" s="307">
        <f t="shared" si="44"/>
        <v>0</v>
      </c>
      <c r="K90" s="215">
        <f t="shared" si="45"/>
        <v>0</v>
      </c>
      <c r="L90" s="215">
        <f t="shared" si="39"/>
        <v>0</v>
      </c>
      <c r="M90" s="5"/>
      <c r="S90" s="3"/>
      <c r="AW90" s="25"/>
    </row>
    <row r="91" spans="1:49" x14ac:dyDescent="0.35">
      <c r="A91">
        <v>13</v>
      </c>
      <c r="B91">
        <v>4.6210890206042056E-6</v>
      </c>
      <c r="G91">
        <v>20</v>
      </c>
      <c r="H91" s="76">
        <f t="shared" si="35"/>
        <v>0</v>
      </c>
      <c r="I91" s="306">
        <f t="shared" si="43"/>
        <v>0</v>
      </c>
      <c r="J91" s="307">
        <f t="shared" si="44"/>
        <v>0</v>
      </c>
      <c r="K91" s="215">
        <f t="shared" si="45"/>
        <v>0</v>
      </c>
      <c r="L91" s="215">
        <f t="shared" si="39"/>
        <v>0</v>
      </c>
      <c r="S91" s="3"/>
      <c r="AW91" s="25"/>
    </row>
    <row r="92" spans="1:49" x14ac:dyDescent="0.35">
      <c r="A92">
        <v>12</v>
      </c>
      <c r="B92">
        <v>1.501853931696367E-5</v>
      </c>
      <c r="G92" s="23"/>
      <c r="H92" s="76">
        <f>SUM(H71:H91)</f>
        <v>0.99999999999999978</v>
      </c>
      <c r="I92" s="199">
        <f>SUM(I72:I91)</f>
        <v>0.63042395387770922</v>
      </c>
      <c r="J92" s="199">
        <f t="shared" ref="J92:L92" si="46">SUM(J72:J91)</f>
        <v>0.63042395387770922</v>
      </c>
      <c r="K92" s="199">
        <f t="shared" si="46"/>
        <v>0.63042395387770922</v>
      </c>
      <c r="L92" s="218">
        <f t="shared" si="46"/>
        <v>0.63042395387770922</v>
      </c>
      <c r="S92" s="3"/>
      <c r="AW92" s="25"/>
    </row>
    <row r="93" spans="1:49" x14ac:dyDescent="0.35">
      <c r="A93">
        <v>11</v>
      </c>
      <c r="B93">
        <v>2.5415989613323132E-5</v>
      </c>
      <c r="G93" s="23"/>
      <c r="H93" s="33"/>
      <c r="I93" s="83"/>
      <c r="M93" s="5"/>
      <c r="S93" s="3"/>
      <c r="AW93" s="25"/>
    </row>
    <row r="94" spans="1:49" x14ac:dyDescent="0.35">
      <c r="A94">
        <v>10</v>
      </c>
      <c r="B94">
        <v>4.2745073440588902E-5</v>
      </c>
      <c r="G94" s="23"/>
      <c r="I94" s="83"/>
      <c r="S94" s="3"/>
      <c r="AW94" s="25"/>
    </row>
    <row r="95" spans="1:49" x14ac:dyDescent="0.35">
      <c r="A95">
        <v>12</v>
      </c>
      <c r="B95">
        <v>7.8203044964071176E-6</v>
      </c>
      <c r="G95" s="23"/>
      <c r="I95" s="83"/>
      <c r="S95" s="3"/>
      <c r="AW95" s="25"/>
    </row>
    <row r="96" spans="1:49" x14ac:dyDescent="0.35">
      <c r="A96">
        <v>11</v>
      </c>
      <c r="B96">
        <v>2.5415989613323132E-5</v>
      </c>
      <c r="G96" s="23"/>
      <c r="I96" s="83"/>
      <c r="S96" s="3"/>
      <c r="AW96" s="25"/>
    </row>
    <row r="97" spans="1:49" x14ac:dyDescent="0.35">
      <c r="A97">
        <v>10</v>
      </c>
      <c r="B97" s="40">
        <v>4.3011674730239148E-5</v>
      </c>
      <c r="G97" s="23"/>
      <c r="I97" s="83"/>
      <c r="M97" s="5"/>
      <c r="S97" s="3"/>
      <c r="AW97" s="25"/>
    </row>
    <row r="98" spans="1:49" x14ac:dyDescent="0.35">
      <c r="A98">
        <v>9</v>
      </c>
      <c r="B98" s="40">
        <v>7.2337816591765827E-5</v>
      </c>
      <c r="G98" s="23"/>
      <c r="I98" s="83"/>
      <c r="M98" s="5"/>
      <c r="S98" s="3"/>
      <c r="AW98" s="25"/>
    </row>
    <row r="99" spans="1:49" x14ac:dyDescent="0.35">
      <c r="A99">
        <v>11</v>
      </c>
      <c r="B99" s="40">
        <v>1.244139351701132E-5</v>
      </c>
      <c r="G99" s="23"/>
      <c r="I99" s="83"/>
      <c r="S99" s="3"/>
      <c r="AW99" s="25"/>
    </row>
    <row r="100" spans="1:49" x14ac:dyDescent="0.35">
      <c r="A100">
        <v>10</v>
      </c>
      <c r="B100" s="40">
        <v>4.0434528930286796E-5</v>
      </c>
      <c r="G100" s="23"/>
      <c r="I100" s="83"/>
      <c r="S100" s="3"/>
      <c r="AW100" s="25"/>
    </row>
    <row r="101" spans="1:49" x14ac:dyDescent="0.35">
      <c r="A101">
        <v>9</v>
      </c>
      <c r="B101" s="40">
        <v>6.8427664343562273E-5</v>
      </c>
      <c r="G101" s="23"/>
      <c r="I101" s="83"/>
      <c r="S101" s="3"/>
      <c r="AW101" s="25"/>
    </row>
    <row r="102" spans="1:49" x14ac:dyDescent="0.35">
      <c r="A102">
        <v>8</v>
      </c>
      <c r="B102" s="40">
        <v>1.1508289003235471E-4</v>
      </c>
      <c r="G102" s="23"/>
      <c r="I102" s="83"/>
      <c r="S102" s="3"/>
      <c r="AW102" s="25"/>
    </row>
    <row r="103" spans="1:49" x14ac:dyDescent="0.35">
      <c r="A103">
        <v>13</v>
      </c>
      <c r="B103" s="40">
        <v>2.4062475373560366E-6</v>
      </c>
      <c r="I103" s="83"/>
      <c r="S103" s="3"/>
      <c r="AW103" s="25"/>
    </row>
    <row r="104" spans="1:49" x14ac:dyDescent="0.35">
      <c r="A104">
        <v>12</v>
      </c>
      <c r="B104" s="40">
        <v>7.8203044964071193E-6</v>
      </c>
      <c r="I104" s="83"/>
      <c r="S104" s="3"/>
      <c r="AW104" s="25"/>
    </row>
    <row r="105" spans="1:49" x14ac:dyDescent="0.35">
      <c r="A105">
        <v>11</v>
      </c>
      <c r="B105" s="40">
        <v>1.3234361455458201E-5</v>
      </c>
      <c r="I105" s="83"/>
      <c r="S105" s="3"/>
      <c r="AW105" s="25"/>
    </row>
    <row r="106" spans="1:49" x14ac:dyDescent="0.35">
      <c r="A106">
        <v>10</v>
      </c>
      <c r="B106" s="40">
        <v>2.2257789720543337E-5</v>
      </c>
      <c r="I106" s="83"/>
      <c r="S106" s="3"/>
      <c r="AW106" s="25"/>
    </row>
    <row r="107" spans="1:49" x14ac:dyDescent="0.35">
      <c r="A107">
        <v>12</v>
      </c>
      <c r="B107" s="40">
        <v>7.8203044964071193E-6</v>
      </c>
      <c r="S107" s="3"/>
      <c r="AW107" s="25"/>
    </row>
    <row r="108" spans="1:49" x14ac:dyDescent="0.35">
      <c r="A108">
        <v>11</v>
      </c>
      <c r="B108" s="40">
        <v>2.5415989613323139E-5</v>
      </c>
      <c r="S108" s="3"/>
      <c r="AW108" s="25"/>
    </row>
    <row r="109" spans="1:49" x14ac:dyDescent="0.35">
      <c r="A109">
        <v>10</v>
      </c>
      <c r="B109" s="40">
        <v>4.3011674730239154E-5</v>
      </c>
      <c r="S109" s="3"/>
      <c r="AW109" s="25"/>
    </row>
    <row r="110" spans="1:49" x14ac:dyDescent="0.35">
      <c r="A110">
        <v>9</v>
      </c>
      <c r="B110" s="40">
        <v>7.2337816591765841E-5</v>
      </c>
      <c r="S110" s="3"/>
      <c r="AW110" s="25"/>
    </row>
    <row r="111" spans="1:49" x14ac:dyDescent="0.35">
      <c r="A111">
        <v>11</v>
      </c>
      <c r="B111" s="40">
        <v>1.3234361455458199E-5</v>
      </c>
      <c r="S111" s="3"/>
      <c r="AW111" s="25"/>
    </row>
    <row r="112" spans="1:49" x14ac:dyDescent="0.35">
      <c r="A112">
        <v>10</v>
      </c>
      <c r="B112" s="60">
        <v>4.3011674730239154E-5</v>
      </c>
      <c r="S112" s="3"/>
      <c r="AW112" s="25"/>
    </row>
    <row r="113" spans="1:49" x14ac:dyDescent="0.35">
      <c r="A113">
        <v>9</v>
      </c>
      <c r="B113" s="60">
        <v>7.2788988005020104E-5</v>
      </c>
      <c r="S113" s="3"/>
      <c r="AW113" s="25"/>
    </row>
    <row r="114" spans="1:49" x14ac:dyDescent="0.35">
      <c r="A114">
        <v>8</v>
      </c>
      <c r="B114" s="60">
        <v>1.2241784346298835E-4</v>
      </c>
      <c r="S114" s="3"/>
      <c r="AW114" s="25"/>
    </row>
    <row r="115" spans="1:49" x14ac:dyDescent="0.35">
      <c r="A115">
        <v>10</v>
      </c>
      <c r="B115" s="60">
        <v>2.1054665951865314E-5</v>
      </c>
      <c r="S115" s="3"/>
      <c r="AW115" s="25"/>
    </row>
    <row r="116" spans="1:49" x14ac:dyDescent="0.35">
      <c r="A116">
        <v>9</v>
      </c>
      <c r="B116" s="60">
        <v>6.8427664343562273E-5</v>
      </c>
      <c r="S116" s="3"/>
      <c r="AW116" s="25"/>
    </row>
    <row r="117" spans="1:49" x14ac:dyDescent="0.35">
      <c r="A117">
        <v>8</v>
      </c>
      <c r="B117" s="60">
        <v>1.1580066273525925E-4</v>
      </c>
      <c r="S117" s="3"/>
      <c r="AW117" s="25"/>
    </row>
    <row r="118" spans="1:49" x14ac:dyDescent="0.35">
      <c r="A118">
        <v>7</v>
      </c>
      <c r="B118" s="60">
        <v>1.9475566005475417E-4</v>
      </c>
      <c r="S118" s="3"/>
      <c r="AW118" s="25"/>
    </row>
    <row r="119" spans="1:49" x14ac:dyDescent="0.35">
      <c r="A119">
        <v>12</v>
      </c>
      <c r="B119" s="60">
        <v>3.8281210821573303E-6</v>
      </c>
      <c r="S119" s="3"/>
      <c r="T119" s="3"/>
      <c r="U119" s="3"/>
      <c r="V119" s="3"/>
      <c r="W119" s="3"/>
    </row>
    <row r="120" spans="1:49" x14ac:dyDescent="0.35">
      <c r="A120">
        <v>11</v>
      </c>
      <c r="B120" s="60">
        <v>1.2441393517011323E-5</v>
      </c>
    </row>
    <row r="121" spans="1:49" x14ac:dyDescent="0.35">
      <c r="A121">
        <v>10</v>
      </c>
      <c r="B121" s="60">
        <v>2.1054665951865317E-5</v>
      </c>
    </row>
    <row r="122" spans="1:49" x14ac:dyDescent="0.35">
      <c r="A122">
        <v>9</v>
      </c>
      <c r="B122" s="60">
        <v>3.5410120009955303E-5</v>
      </c>
    </row>
    <row r="123" spans="1:49" x14ac:dyDescent="0.35">
      <c r="A123">
        <v>11</v>
      </c>
      <c r="B123" s="60">
        <v>1.2441393517011322E-5</v>
      </c>
    </row>
    <row r="124" spans="1:49" x14ac:dyDescent="0.35">
      <c r="A124">
        <v>10</v>
      </c>
      <c r="B124" s="60">
        <v>4.0434528930286803E-5</v>
      </c>
    </row>
    <row r="125" spans="1:49" x14ac:dyDescent="0.35">
      <c r="A125">
        <v>9</v>
      </c>
      <c r="B125" s="60">
        <v>6.8427664343562273E-5</v>
      </c>
    </row>
    <row r="126" spans="1:49" x14ac:dyDescent="0.35">
      <c r="A126">
        <v>8</v>
      </c>
      <c r="B126" s="60">
        <v>1.1508289003235472E-4</v>
      </c>
    </row>
    <row r="127" spans="1:49" x14ac:dyDescent="0.35">
      <c r="A127">
        <v>10</v>
      </c>
      <c r="B127" s="60">
        <v>2.1054665951865314E-5</v>
      </c>
    </row>
    <row r="128" spans="1:49" x14ac:dyDescent="0.35">
      <c r="A128">
        <v>9</v>
      </c>
      <c r="B128" s="60">
        <v>6.8427664343562273E-5</v>
      </c>
    </row>
    <row r="129" spans="1:2" x14ac:dyDescent="0.35">
      <c r="A129">
        <v>8</v>
      </c>
      <c r="B129" s="60">
        <v>1.1580066273525925E-4</v>
      </c>
    </row>
    <row r="130" spans="1:2" x14ac:dyDescent="0.35">
      <c r="A130">
        <v>7</v>
      </c>
      <c r="B130" s="60">
        <v>1.9475566005475417E-4</v>
      </c>
    </row>
    <row r="131" spans="1:2" x14ac:dyDescent="0.35">
      <c r="A131">
        <v>9</v>
      </c>
      <c r="B131" s="60">
        <v>3.3496059468876633E-5</v>
      </c>
    </row>
    <row r="132" spans="1:2" x14ac:dyDescent="0.35">
      <c r="A132">
        <v>8</v>
      </c>
      <c r="B132" s="60">
        <v>1.0886219327384906E-4</v>
      </c>
    </row>
    <row r="133" spans="1:2" x14ac:dyDescent="0.35">
      <c r="A133">
        <v>7</v>
      </c>
      <c r="B133" s="60">
        <v>1.8422832707882148E-4</v>
      </c>
    </row>
    <row r="134" spans="1:2" x14ac:dyDescent="0.35">
      <c r="A134">
        <v>6</v>
      </c>
      <c r="B134" s="60">
        <v>3.0983855008710884E-4</v>
      </c>
    </row>
    <row r="135" spans="1:2" x14ac:dyDescent="0.35">
      <c r="A135">
        <v>14</v>
      </c>
      <c r="B135" s="60">
        <v>1.4218735448012941E-6</v>
      </c>
    </row>
    <row r="136" spans="1:2" x14ac:dyDescent="0.35">
      <c r="A136">
        <v>13</v>
      </c>
      <c r="B136" s="60">
        <v>4.6210890206042056E-6</v>
      </c>
    </row>
    <row r="137" spans="1:2" x14ac:dyDescent="0.35">
      <c r="A137">
        <v>12</v>
      </c>
      <c r="B137" s="60">
        <v>7.8203044964071176E-6</v>
      </c>
    </row>
    <row r="138" spans="1:2" x14ac:dyDescent="0.35">
      <c r="A138">
        <v>11</v>
      </c>
      <c r="B138" s="60">
        <v>1.3152330289411969E-5</v>
      </c>
    </row>
    <row r="139" spans="1:2" x14ac:dyDescent="0.35">
      <c r="A139">
        <v>13</v>
      </c>
      <c r="B139" s="60">
        <v>4.6210890206042056E-6</v>
      </c>
    </row>
    <row r="140" spans="1:2" x14ac:dyDescent="0.35">
      <c r="A140">
        <v>12</v>
      </c>
      <c r="B140" s="60">
        <v>1.501853931696367E-5</v>
      </c>
    </row>
    <row r="141" spans="1:2" x14ac:dyDescent="0.35">
      <c r="A141">
        <v>11</v>
      </c>
      <c r="B141" s="60">
        <v>2.5415989613323132E-5</v>
      </c>
    </row>
    <row r="142" spans="1:2" x14ac:dyDescent="0.35">
      <c r="A142">
        <v>10</v>
      </c>
      <c r="B142" s="60">
        <v>4.2745073440588902E-5</v>
      </c>
    </row>
    <row r="143" spans="1:2" x14ac:dyDescent="0.35">
      <c r="A143">
        <v>12</v>
      </c>
      <c r="B143" s="60">
        <v>7.8203044964071176E-6</v>
      </c>
    </row>
    <row r="144" spans="1:2" x14ac:dyDescent="0.35">
      <c r="A144">
        <v>11</v>
      </c>
      <c r="B144" s="60">
        <v>2.5415989613323132E-5</v>
      </c>
    </row>
    <row r="145" spans="1:2" x14ac:dyDescent="0.35">
      <c r="A145">
        <v>10</v>
      </c>
      <c r="B145" s="60">
        <v>4.3011674730239148E-5</v>
      </c>
    </row>
    <row r="146" spans="1:2" x14ac:dyDescent="0.35">
      <c r="A146">
        <v>9</v>
      </c>
      <c r="B146">
        <v>7.2337816591765827E-5</v>
      </c>
    </row>
    <row r="147" spans="1:2" x14ac:dyDescent="0.35">
      <c r="A147">
        <v>11</v>
      </c>
      <c r="B147">
        <v>1.244139351701132E-5</v>
      </c>
    </row>
    <row r="148" spans="1:2" x14ac:dyDescent="0.35">
      <c r="A148">
        <v>10</v>
      </c>
      <c r="B148">
        <v>4.0434528930286796E-5</v>
      </c>
    </row>
    <row r="149" spans="1:2" x14ac:dyDescent="0.35">
      <c r="A149">
        <v>9</v>
      </c>
      <c r="B149">
        <v>6.8427664343562273E-5</v>
      </c>
    </row>
    <row r="150" spans="1:2" x14ac:dyDescent="0.35">
      <c r="A150">
        <v>8</v>
      </c>
      <c r="B150">
        <v>1.1508289003235471E-4</v>
      </c>
    </row>
    <row r="151" spans="1:2" x14ac:dyDescent="0.35">
      <c r="A151">
        <v>13</v>
      </c>
      <c r="B151">
        <v>4.6210890206042065E-6</v>
      </c>
    </row>
    <row r="152" spans="1:2" x14ac:dyDescent="0.35">
      <c r="A152">
        <v>12</v>
      </c>
      <c r="B152">
        <v>1.5018539316963671E-5</v>
      </c>
    </row>
    <row r="153" spans="1:2" x14ac:dyDescent="0.35">
      <c r="A153">
        <v>11</v>
      </c>
      <c r="B153">
        <v>2.5415989613323135E-5</v>
      </c>
    </row>
    <row r="154" spans="1:2" x14ac:dyDescent="0.35">
      <c r="A154">
        <v>10</v>
      </c>
      <c r="B154">
        <v>4.2745073440588908E-5</v>
      </c>
    </row>
    <row r="155" spans="1:2" x14ac:dyDescent="0.35">
      <c r="A155">
        <v>12</v>
      </c>
      <c r="B155">
        <v>1.501853931696367E-5</v>
      </c>
    </row>
    <row r="156" spans="1:2" x14ac:dyDescent="0.35">
      <c r="A156">
        <v>11</v>
      </c>
      <c r="B156">
        <v>4.8810252780131932E-5</v>
      </c>
    </row>
    <row r="157" spans="1:2" x14ac:dyDescent="0.35">
      <c r="A157">
        <v>10</v>
      </c>
      <c r="B157">
        <v>8.2601966243300192E-5</v>
      </c>
    </row>
    <row r="158" spans="1:2" x14ac:dyDescent="0.35">
      <c r="A158">
        <v>9</v>
      </c>
      <c r="B158">
        <v>1.3892148868191394E-4</v>
      </c>
    </row>
    <row r="159" spans="1:2" x14ac:dyDescent="0.35">
      <c r="A159">
        <v>11</v>
      </c>
      <c r="B159">
        <v>2.5415989613323132E-5</v>
      </c>
    </row>
    <row r="160" spans="1:2" x14ac:dyDescent="0.35">
      <c r="A160">
        <v>10</v>
      </c>
      <c r="B160">
        <v>8.2601966243300192E-5</v>
      </c>
    </row>
    <row r="161" spans="1:2" x14ac:dyDescent="0.35">
      <c r="A161">
        <v>9</v>
      </c>
      <c r="B161">
        <v>1.3978794287327725E-4</v>
      </c>
    </row>
    <row r="162" spans="1:2" x14ac:dyDescent="0.35">
      <c r="A162">
        <v>8</v>
      </c>
      <c r="B162">
        <v>2.3509790392323897E-4</v>
      </c>
    </row>
    <row r="163" spans="1:2" x14ac:dyDescent="0.35">
      <c r="A163">
        <v>10</v>
      </c>
      <c r="B163">
        <v>4.0434528930286796E-5</v>
      </c>
    </row>
    <row r="164" spans="1:2" x14ac:dyDescent="0.35">
      <c r="A164">
        <v>9</v>
      </c>
      <c r="B164">
        <v>1.3141221902343209E-4</v>
      </c>
    </row>
    <row r="165" spans="1:2" x14ac:dyDescent="0.35">
      <c r="A165">
        <v>8</v>
      </c>
      <c r="B165">
        <v>2.2238990911657738E-4</v>
      </c>
    </row>
    <row r="166" spans="1:2" x14ac:dyDescent="0.35">
      <c r="A166">
        <v>7</v>
      </c>
      <c r="B166">
        <v>3.7401939260515283E-4</v>
      </c>
    </row>
    <row r="167" spans="1:2" x14ac:dyDescent="0.35">
      <c r="A167">
        <v>12</v>
      </c>
      <c r="B167">
        <v>7.8203044964071193E-6</v>
      </c>
    </row>
    <row r="168" spans="1:2" x14ac:dyDescent="0.35">
      <c r="A168">
        <v>11</v>
      </c>
      <c r="B168">
        <v>2.5415989613323139E-5</v>
      </c>
    </row>
    <row r="169" spans="1:2" x14ac:dyDescent="0.35">
      <c r="A169">
        <v>10</v>
      </c>
      <c r="B169">
        <v>4.3011674730239154E-5</v>
      </c>
    </row>
    <row r="170" spans="1:2" x14ac:dyDescent="0.35">
      <c r="A170">
        <v>9</v>
      </c>
      <c r="B170">
        <v>7.2337816591765841E-5</v>
      </c>
    </row>
    <row r="171" spans="1:2" x14ac:dyDescent="0.35">
      <c r="A171">
        <v>11</v>
      </c>
      <c r="B171">
        <v>2.5415989613323132E-5</v>
      </c>
    </row>
    <row r="172" spans="1:2" x14ac:dyDescent="0.35">
      <c r="A172">
        <v>10</v>
      </c>
      <c r="B172">
        <v>8.2601966243300192E-5</v>
      </c>
    </row>
    <row r="173" spans="1:2" x14ac:dyDescent="0.35">
      <c r="A173">
        <v>9</v>
      </c>
      <c r="B173">
        <v>1.3978794287327725E-4</v>
      </c>
    </row>
    <row r="174" spans="1:2" x14ac:dyDescent="0.35">
      <c r="A174">
        <v>8</v>
      </c>
      <c r="B174">
        <v>2.3509790392323897E-4</v>
      </c>
    </row>
    <row r="175" spans="1:2" x14ac:dyDescent="0.35">
      <c r="A175">
        <v>10</v>
      </c>
      <c r="B175">
        <v>4.3011674730239154E-5</v>
      </c>
    </row>
    <row r="176" spans="1:2" x14ac:dyDescent="0.35">
      <c r="A176">
        <v>9</v>
      </c>
      <c r="B176">
        <v>1.3978794287327725E-4</v>
      </c>
    </row>
    <row r="177" spans="1:2" x14ac:dyDescent="0.35">
      <c r="A177">
        <v>8</v>
      </c>
      <c r="B177">
        <v>2.3656421101631535E-4</v>
      </c>
    </row>
    <row r="178" spans="1:2" x14ac:dyDescent="0.35">
      <c r="A178">
        <v>7</v>
      </c>
      <c r="B178">
        <v>3.9785799125471215E-4</v>
      </c>
    </row>
    <row r="179" spans="1:2" x14ac:dyDescent="0.35">
      <c r="A179">
        <v>9</v>
      </c>
      <c r="B179">
        <v>6.8427664343562273E-5</v>
      </c>
    </row>
    <row r="180" spans="1:2" x14ac:dyDescent="0.35">
      <c r="A180">
        <v>8</v>
      </c>
      <c r="B180">
        <v>2.2238990911657743E-4</v>
      </c>
    </row>
    <row r="181" spans="1:2" x14ac:dyDescent="0.35">
      <c r="A181">
        <v>7</v>
      </c>
      <c r="B181">
        <v>3.7635215388959257E-4</v>
      </c>
    </row>
    <row r="182" spans="1:2" x14ac:dyDescent="0.35">
      <c r="A182">
        <v>6</v>
      </c>
      <c r="B182">
        <v>6.3295589517795101E-4</v>
      </c>
    </row>
    <row r="183" spans="1:2" x14ac:dyDescent="0.35">
      <c r="A183">
        <v>11</v>
      </c>
      <c r="B183">
        <v>1.244139351701132E-5</v>
      </c>
    </row>
    <row r="184" spans="1:2" x14ac:dyDescent="0.35">
      <c r="A184">
        <v>10</v>
      </c>
      <c r="B184">
        <v>4.0434528930286796E-5</v>
      </c>
    </row>
    <row r="185" spans="1:2" x14ac:dyDescent="0.35">
      <c r="A185">
        <v>9</v>
      </c>
      <c r="B185">
        <v>6.8427664343562273E-5</v>
      </c>
    </row>
    <row r="186" spans="1:2" x14ac:dyDescent="0.35">
      <c r="A186">
        <v>8</v>
      </c>
      <c r="B186">
        <v>1.1508289003235471E-4</v>
      </c>
    </row>
    <row r="187" spans="1:2" x14ac:dyDescent="0.35">
      <c r="A187">
        <v>10</v>
      </c>
      <c r="B187">
        <v>4.0434528930286796E-5</v>
      </c>
    </row>
    <row r="188" spans="1:2" x14ac:dyDescent="0.35">
      <c r="A188">
        <v>9</v>
      </c>
      <c r="B188">
        <v>1.3141221902343209E-4</v>
      </c>
    </row>
    <row r="189" spans="1:2" x14ac:dyDescent="0.35">
      <c r="A189">
        <v>8</v>
      </c>
      <c r="B189">
        <v>2.2238990911657738E-4</v>
      </c>
    </row>
    <row r="190" spans="1:2" x14ac:dyDescent="0.35">
      <c r="A190">
        <v>7</v>
      </c>
      <c r="B190">
        <v>3.7401939260515283E-4</v>
      </c>
    </row>
    <row r="191" spans="1:2" x14ac:dyDescent="0.35">
      <c r="A191">
        <v>9</v>
      </c>
      <c r="B191">
        <v>6.8427664343562259E-5</v>
      </c>
    </row>
    <row r="192" spans="1:2" x14ac:dyDescent="0.35">
      <c r="A192">
        <v>8</v>
      </c>
      <c r="B192">
        <v>2.2238990911657738E-4</v>
      </c>
    </row>
    <row r="193" spans="1:2" x14ac:dyDescent="0.35">
      <c r="A193">
        <v>7</v>
      </c>
      <c r="B193">
        <v>3.7635215388959252E-4</v>
      </c>
    </row>
    <row r="194" spans="1:2" x14ac:dyDescent="0.35">
      <c r="A194">
        <v>6</v>
      </c>
      <c r="B194">
        <v>6.329558951779509E-4</v>
      </c>
    </row>
    <row r="195" spans="1:2" x14ac:dyDescent="0.35">
      <c r="A195">
        <v>8</v>
      </c>
      <c r="B195">
        <v>1.0886219327384905E-4</v>
      </c>
    </row>
    <row r="196" spans="1:2" x14ac:dyDescent="0.35">
      <c r="A196">
        <v>7</v>
      </c>
      <c r="B196">
        <v>3.5380212814000941E-4</v>
      </c>
    </row>
    <row r="197" spans="1:2" x14ac:dyDescent="0.35">
      <c r="A197">
        <v>6</v>
      </c>
      <c r="B197">
        <v>5.9874206300616982E-4</v>
      </c>
    </row>
    <row r="198" spans="1:2" x14ac:dyDescent="0.35">
      <c r="A198">
        <v>5</v>
      </c>
      <c r="B198">
        <v>1.0069752877831036E-3</v>
      </c>
    </row>
    <row r="199" spans="1:2" x14ac:dyDescent="0.35">
      <c r="A199">
        <v>13</v>
      </c>
      <c r="B199">
        <v>2.4062475373560362E-6</v>
      </c>
    </row>
    <row r="200" spans="1:2" x14ac:dyDescent="0.35">
      <c r="A200">
        <v>12</v>
      </c>
      <c r="B200">
        <v>7.8203044964071176E-6</v>
      </c>
    </row>
    <row r="201" spans="1:2" x14ac:dyDescent="0.35">
      <c r="A201">
        <v>11</v>
      </c>
      <c r="B201">
        <v>1.3234361455458199E-5</v>
      </c>
    </row>
    <row r="202" spans="1:2" x14ac:dyDescent="0.35">
      <c r="A202">
        <v>10</v>
      </c>
      <c r="B202">
        <v>2.2257789720543334E-5</v>
      </c>
    </row>
    <row r="203" spans="1:2" x14ac:dyDescent="0.35">
      <c r="A203">
        <v>12</v>
      </c>
      <c r="B203">
        <v>7.8203044964071176E-6</v>
      </c>
    </row>
    <row r="204" spans="1:2" x14ac:dyDescent="0.35">
      <c r="A204">
        <v>11</v>
      </c>
      <c r="B204">
        <v>2.5415989613323132E-5</v>
      </c>
    </row>
    <row r="205" spans="1:2" x14ac:dyDescent="0.35">
      <c r="A205">
        <v>10</v>
      </c>
      <c r="B205">
        <v>4.3011674730239148E-5</v>
      </c>
    </row>
    <row r="206" spans="1:2" x14ac:dyDescent="0.35">
      <c r="A206">
        <v>9</v>
      </c>
      <c r="B206">
        <v>7.2337816591765827E-5</v>
      </c>
    </row>
    <row r="207" spans="1:2" x14ac:dyDescent="0.35">
      <c r="A207">
        <v>11</v>
      </c>
      <c r="B207">
        <v>1.3234361455458198E-5</v>
      </c>
    </row>
    <row r="208" spans="1:2" x14ac:dyDescent="0.35">
      <c r="A208">
        <v>10</v>
      </c>
      <c r="B208">
        <v>4.3011674730239148E-5</v>
      </c>
    </row>
    <row r="209" spans="1:2" x14ac:dyDescent="0.35">
      <c r="A209">
        <v>9</v>
      </c>
      <c r="B209">
        <v>7.2788988005020091E-5</v>
      </c>
    </row>
    <row r="210" spans="1:2" x14ac:dyDescent="0.35">
      <c r="A210">
        <v>8</v>
      </c>
      <c r="B210">
        <v>1.2241784346298833E-4</v>
      </c>
    </row>
    <row r="211" spans="1:2" x14ac:dyDescent="0.35">
      <c r="A211">
        <v>10</v>
      </c>
      <c r="B211">
        <v>2.105466595186531E-5</v>
      </c>
    </row>
    <row r="212" spans="1:2" x14ac:dyDescent="0.35">
      <c r="A212">
        <v>9</v>
      </c>
      <c r="B212">
        <v>6.8427664343562273E-5</v>
      </c>
    </row>
    <row r="213" spans="1:2" x14ac:dyDescent="0.35">
      <c r="A213">
        <v>8</v>
      </c>
      <c r="B213">
        <v>1.1580066273525923E-4</v>
      </c>
    </row>
    <row r="214" spans="1:2" x14ac:dyDescent="0.35">
      <c r="A214">
        <v>7</v>
      </c>
      <c r="B214">
        <v>1.9475566005475414E-4</v>
      </c>
    </row>
    <row r="215" spans="1:2" x14ac:dyDescent="0.35">
      <c r="A215">
        <v>12</v>
      </c>
      <c r="B215">
        <v>7.8203044964071176E-6</v>
      </c>
    </row>
    <row r="216" spans="1:2" x14ac:dyDescent="0.35">
      <c r="A216">
        <v>11</v>
      </c>
      <c r="B216">
        <v>2.5415989613323132E-5</v>
      </c>
    </row>
    <row r="217" spans="1:2" x14ac:dyDescent="0.35">
      <c r="A217">
        <v>10</v>
      </c>
      <c r="B217">
        <v>4.3011674730239148E-5</v>
      </c>
    </row>
    <row r="218" spans="1:2" x14ac:dyDescent="0.35">
      <c r="A218">
        <v>9</v>
      </c>
      <c r="B218">
        <v>7.2337816591765827E-5</v>
      </c>
    </row>
    <row r="219" spans="1:2" x14ac:dyDescent="0.35">
      <c r="A219">
        <v>11</v>
      </c>
      <c r="B219">
        <v>2.5415989613323132E-5</v>
      </c>
    </row>
    <row r="220" spans="1:2" x14ac:dyDescent="0.35">
      <c r="A220">
        <v>10</v>
      </c>
      <c r="B220">
        <v>8.2601966243300178E-5</v>
      </c>
    </row>
    <row r="221" spans="1:2" x14ac:dyDescent="0.35">
      <c r="A221">
        <v>9</v>
      </c>
      <c r="B221">
        <v>1.3978794287327722E-4</v>
      </c>
    </row>
    <row r="222" spans="1:2" x14ac:dyDescent="0.35">
      <c r="A222">
        <v>8</v>
      </c>
      <c r="B222">
        <v>2.3509790392323894E-4</v>
      </c>
    </row>
    <row r="223" spans="1:2" x14ac:dyDescent="0.35">
      <c r="A223">
        <v>10</v>
      </c>
      <c r="B223">
        <v>4.3011674730239141E-5</v>
      </c>
    </row>
    <row r="224" spans="1:2" x14ac:dyDescent="0.35">
      <c r="A224">
        <v>9</v>
      </c>
      <c r="B224">
        <v>1.3978794287327722E-4</v>
      </c>
    </row>
    <row r="225" spans="1:2" x14ac:dyDescent="0.35">
      <c r="A225">
        <v>8</v>
      </c>
      <c r="B225">
        <v>2.365642110163153E-4</v>
      </c>
    </row>
    <row r="226" spans="1:2" x14ac:dyDescent="0.35">
      <c r="A226">
        <v>7</v>
      </c>
      <c r="B226">
        <v>3.9785799125471204E-4</v>
      </c>
    </row>
    <row r="227" spans="1:2" x14ac:dyDescent="0.35">
      <c r="A227">
        <v>9</v>
      </c>
      <c r="B227">
        <v>6.8427664343562259E-5</v>
      </c>
    </row>
    <row r="228" spans="1:2" x14ac:dyDescent="0.35">
      <c r="A228">
        <v>8</v>
      </c>
      <c r="B228">
        <v>2.2238990911657738E-4</v>
      </c>
    </row>
    <row r="229" spans="1:2" x14ac:dyDescent="0.35">
      <c r="A229">
        <v>7</v>
      </c>
      <c r="B229">
        <v>3.7635215388959252E-4</v>
      </c>
    </row>
    <row r="230" spans="1:2" x14ac:dyDescent="0.35">
      <c r="A230">
        <v>6</v>
      </c>
      <c r="B230">
        <v>6.329558951779509E-4</v>
      </c>
    </row>
    <row r="231" spans="1:2" x14ac:dyDescent="0.35">
      <c r="A231">
        <v>11</v>
      </c>
      <c r="B231">
        <v>1.3234361455458198E-5</v>
      </c>
    </row>
    <row r="232" spans="1:2" x14ac:dyDescent="0.35">
      <c r="A232">
        <v>10</v>
      </c>
      <c r="B232">
        <v>4.3011674730239148E-5</v>
      </c>
    </row>
    <row r="233" spans="1:2" x14ac:dyDescent="0.35">
      <c r="A233">
        <v>9</v>
      </c>
      <c r="B233">
        <v>7.2788988005020091E-5</v>
      </c>
    </row>
    <row r="234" spans="1:2" x14ac:dyDescent="0.35">
      <c r="A234">
        <v>8</v>
      </c>
      <c r="B234">
        <v>1.2241784346298833E-4</v>
      </c>
    </row>
    <row r="235" spans="1:2" x14ac:dyDescent="0.35">
      <c r="A235">
        <v>10</v>
      </c>
      <c r="B235">
        <v>4.3011674730239141E-5</v>
      </c>
    </row>
    <row r="236" spans="1:2" x14ac:dyDescent="0.35">
      <c r="A236">
        <v>9</v>
      </c>
      <c r="B236">
        <v>1.3978794287327722E-4</v>
      </c>
    </row>
    <row r="237" spans="1:2" x14ac:dyDescent="0.35">
      <c r="A237">
        <v>8</v>
      </c>
      <c r="B237">
        <v>2.365642110163153E-4</v>
      </c>
    </row>
    <row r="238" spans="1:2" x14ac:dyDescent="0.35">
      <c r="A238">
        <v>7</v>
      </c>
      <c r="B238">
        <v>3.9785799125471204E-4</v>
      </c>
    </row>
    <row r="239" spans="1:2" x14ac:dyDescent="0.35">
      <c r="A239">
        <v>9</v>
      </c>
      <c r="B239">
        <v>7.2788988005020091E-5</v>
      </c>
    </row>
    <row r="240" spans="1:2" x14ac:dyDescent="0.35">
      <c r="A240">
        <v>8</v>
      </c>
      <c r="B240">
        <v>2.365642110163153E-4</v>
      </c>
    </row>
    <row r="241" spans="1:2" x14ac:dyDescent="0.35">
      <c r="A241">
        <v>7</v>
      </c>
      <c r="B241">
        <v>4.003394340276105E-4</v>
      </c>
    </row>
    <row r="242" spans="1:2" x14ac:dyDescent="0.35">
      <c r="A242">
        <v>6</v>
      </c>
      <c r="B242">
        <v>6.7329813904643573E-4</v>
      </c>
    </row>
    <row r="243" spans="1:2" x14ac:dyDescent="0.35">
      <c r="A243">
        <v>8</v>
      </c>
      <c r="B243">
        <v>1.1580066273525922E-4</v>
      </c>
    </row>
    <row r="244" spans="1:2" x14ac:dyDescent="0.35">
      <c r="A244">
        <v>7</v>
      </c>
      <c r="B244">
        <v>3.7635215388959252E-4</v>
      </c>
    </row>
    <row r="245" spans="1:2" x14ac:dyDescent="0.35">
      <c r="A245">
        <v>6</v>
      </c>
      <c r="B245">
        <v>6.369036450439258E-4</v>
      </c>
    </row>
    <row r="246" spans="1:2" x14ac:dyDescent="0.35">
      <c r="A246">
        <v>5</v>
      </c>
      <c r="B246">
        <v>1.0711561303011477E-3</v>
      </c>
    </row>
    <row r="247" spans="1:2" x14ac:dyDescent="0.35">
      <c r="A247">
        <v>10</v>
      </c>
      <c r="B247">
        <v>2.105466595186531E-5</v>
      </c>
    </row>
    <row r="248" spans="1:2" x14ac:dyDescent="0.35">
      <c r="A248">
        <v>9</v>
      </c>
      <c r="B248">
        <v>6.8427664343562273E-5</v>
      </c>
    </row>
    <row r="249" spans="1:2" x14ac:dyDescent="0.35">
      <c r="A249">
        <v>8</v>
      </c>
      <c r="B249">
        <v>1.1580066273525923E-4</v>
      </c>
    </row>
    <row r="250" spans="1:2" x14ac:dyDescent="0.35">
      <c r="A250">
        <v>7</v>
      </c>
      <c r="B250">
        <v>1.9475566005475414E-4</v>
      </c>
    </row>
    <row r="251" spans="1:2" x14ac:dyDescent="0.35">
      <c r="A251">
        <v>9</v>
      </c>
      <c r="B251">
        <v>6.8427664343562259E-5</v>
      </c>
    </row>
    <row r="252" spans="1:2" x14ac:dyDescent="0.35">
      <c r="A252">
        <v>8</v>
      </c>
      <c r="B252">
        <v>2.2238990911657738E-4</v>
      </c>
    </row>
    <row r="253" spans="1:2" x14ac:dyDescent="0.35">
      <c r="A253">
        <v>7</v>
      </c>
      <c r="B253">
        <v>3.7635215388959252E-4</v>
      </c>
    </row>
    <row r="254" spans="1:2" x14ac:dyDescent="0.35">
      <c r="A254">
        <v>6</v>
      </c>
      <c r="B254">
        <v>6.329558951779509E-4</v>
      </c>
    </row>
    <row r="255" spans="1:2" x14ac:dyDescent="0.35">
      <c r="A255">
        <v>8</v>
      </c>
      <c r="B255">
        <v>1.1580066273525922E-4</v>
      </c>
    </row>
    <row r="256" spans="1:2" x14ac:dyDescent="0.35">
      <c r="A256">
        <v>7</v>
      </c>
      <c r="B256">
        <v>3.7635215388959252E-4</v>
      </c>
    </row>
    <row r="257" spans="1:2" x14ac:dyDescent="0.35">
      <c r="A257">
        <v>6</v>
      </c>
      <c r="B257">
        <v>6.369036450439258E-4</v>
      </c>
    </row>
    <row r="258" spans="1:2" x14ac:dyDescent="0.35">
      <c r="A258">
        <v>5</v>
      </c>
      <c r="B258">
        <v>1.0711561303011477E-3</v>
      </c>
    </row>
    <row r="259" spans="1:2" x14ac:dyDescent="0.35">
      <c r="A259">
        <v>7</v>
      </c>
      <c r="B259">
        <v>1.8422832707882145E-4</v>
      </c>
    </row>
    <row r="260" spans="1:2" x14ac:dyDescent="0.35">
      <c r="A260">
        <v>6</v>
      </c>
      <c r="B260">
        <v>5.9874206300616971E-4</v>
      </c>
    </row>
    <row r="261" spans="1:2" x14ac:dyDescent="0.35">
      <c r="A261">
        <v>5</v>
      </c>
      <c r="B261">
        <v>1.0132557989335181E-3</v>
      </c>
    </row>
    <row r="262" spans="1:2" x14ac:dyDescent="0.35">
      <c r="A262">
        <v>4</v>
      </c>
      <c r="B262">
        <v>1.7041120254790982E-3</v>
      </c>
    </row>
    <row r="263" spans="1:2" x14ac:dyDescent="0.35">
      <c r="A263">
        <v>12</v>
      </c>
      <c r="B263">
        <v>3.8281210821573303E-6</v>
      </c>
    </row>
    <row r="264" spans="1:2" x14ac:dyDescent="0.35">
      <c r="A264">
        <v>11</v>
      </c>
      <c r="B264">
        <v>1.2441393517011323E-5</v>
      </c>
    </row>
    <row r="265" spans="1:2" x14ac:dyDescent="0.35">
      <c r="A265">
        <v>10</v>
      </c>
      <c r="B265">
        <v>2.1054665951865317E-5</v>
      </c>
    </row>
    <row r="266" spans="1:2" x14ac:dyDescent="0.35">
      <c r="A266">
        <v>9</v>
      </c>
      <c r="B266">
        <v>3.5410120009955303E-5</v>
      </c>
    </row>
    <row r="267" spans="1:2" x14ac:dyDescent="0.35">
      <c r="A267">
        <v>11</v>
      </c>
      <c r="B267">
        <v>1.2441393517011322E-5</v>
      </c>
    </row>
    <row r="268" spans="1:2" x14ac:dyDescent="0.35">
      <c r="A268">
        <v>10</v>
      </c>
      <c r="B268">
        <v>4.0434528930286803E-5</v>
      </c>
    </row>
    <row r="269" spans="1:2" x14ac:dyDescent="0.35">
      <c r="A269">
        <v>9</v>
      </c>
      <c r="B269">
        <v>6.8427664343562273E-5</v>
      </c>
    </row>
    <row r="270" spans="1:2" x14ac:dyDescent="0.35">
      <c r="A270">
        <v>8</v>
      </c>
      <c r="B270">
        <v>1.1508289003235472E-4</v>
      </c>
    </row>
    <row r="271" spans="1:2" x14ac:dyDescent="0.35">
      <c r="A271">
        <v>10</v>
      </c>
      <c r="B271">
        <v>2.1054665951865314E-5</v>
      </c>
    </row>
    <row r="272" spans="1:2" x14ac:dyDescent="0.35">
      <c r="A272">
        <v>9</v>
      </c>
      <c r="B272">
        <v>6.8427664343562273E-5</v>
      </c>
    </row>
    <row r="273" spans="1:2" x14ac:dyDescent="0.35">
      <c r="A273">
        <v>8</v>
      </c>
      <c r="B273">
        <v>1.1580066273525925E-4</v>
      </c>
    </row>
    <row r="274" spans="1:2" x14ac:dyDescent="0.35">
      <c r="A274">
        <v>7</v>
      </c>
      <c r="B274">
        <v>1.9475566005475417E-4</v>
      </c>
    </row>
    <row r="275" spans="1:2" x14ac:dyDescent="0.35">
      <c r="A275">
        <v>9</v>
      </c>
      <c r="B275">
        <v>3.3496059468876633E-5</v>
      </c>
    </row>
    <row r="276" spans="1:2" x14ac:dyDescent="0.35">
      <c r="A276">
        <v>8</v>
      </c>
      <c r="B276">
        <v>1.0886219327384906E-4</v>
      </c>
    </row>
    <row r="277" spans="1:2" x14ac:dyDescent="0.35">
      <c r="A277">
        <v>7</v>
      </c>
      <c r="B277">
        <v>1.8422832707882148E-4</v>
      </c>
    </row>
    <row r="278" spans="1:2" x14ac:dyDescent="0.35">
      <c r="A278">
        <v>6</v>
      </c>
      <c r="B278">
        <v>3.0983855008710884E-4</v>
      </c>
    </row>
    <row r="279" spans="1:2" x14ac:dyDescent="0.35">
      <c r="A279">
        <v>11</v>
      </c>
      <c r="B279">
        <v>1.244139351701132E-5</v>
      </c>
    </row>
    <row r="280" spans="1:2" x14ac:dyDescent="0.35">
      <c r="A280">
        <v>10</v>
      </c>
      <c r="B280">
        <v>4.0434528930286796E-5</v>
      </c>
    </row>
    <row r="281" spans="1:2" x14ac:dyDescent="0.35">
      <c r="A281">
        <v>9</v>
      </c>
      <c r="B281">
        <v>6.8427664343562273E-5</v>
      </c>
    </row>
    <row r="282" spans="1:2" x14ac:dyDescent="0.35">
      <c r="A282">
        <v>8</v>
      </c>
      <c r="B282">
        <v>1.1508289003235471E-4</v>
      </c>
    </row>
    <row r="283" spans="1:2" x14ac:dyDescent="0.35">
      <c r="A283">
        <v>10</v>
      </c>
      <c r="B283">
        <v>4.0434528930286796E-5</v>
      </c>
    </row>
    <row r="284" spans="1:2" x14ac:dyDescent="0.35">
      <c r="A284">
        <v>9</v>
      </c>
      <c r="B284">
        <v>1.3141221902343209E-4</v>
      </c>
    </row>
    <row r="285" spans="1:2" x14ac:dyDescent="0.35">
      <c r="A285">
        <v>8</v>
      </c>
      <c r="B285">
        <v>2.2238990911657738E-4</v>
      </c>
    </row>
    <row r="286" spans="1:2" x14ac:dyDescent="0.35">
      <c r="A286">
        <v>7</v>
      </c>
      <c r="B286">
        <v>3.7401939260515283E-4</v>
      </c>
    </row>
    <row r="287" spans="1:2" x14ac:dyDescent="0.35">
      <c r="A287">
        <v>9</v>
      </c>
      <c r="B287">
        <v>6.8427664343562259E-5</v>
      </c>
    </row>
    <row r="288" spans="1:2" x14ac:dyDescent="0.35">
      <c r="A288">
        <v>8</v>
      </c>
      <c r="B288">
        <v>2.2238990911657738E-4</v>
      </c>
    </row>
    <row r="289" spans="1:2" x14ac:dyDescent="0.35">
      <c r="A289">
        <v>7</v>
      </c>
      <c r="B289">
        <v>3.7635215388959252E-4</v>
      </c>
    </row>
    <row r="290" spans="1:2" x14ac:dyDescent="0.35">
      <c r="A290">
        <v>6</v>
      </c>
      <c r="B290">
        <v>6.329558951779509E-4</v>
      </c>
    </row>
    <row r="291" spans="1:2" x14ac:dyDescent="0.35">
      <c r="A291">
        <v>8</v>
      </c>
      <c r="B291">
        <v>1.0886219327384905E-4</v>
      </c>
    </row>
    <row r="292" spans="1:2" x14ac:dyDescent="0.35">
      <c r="A292">
        <v>7</v>
      </c>
      <c r="B292">
        <v>3.5380212814000941E-4</v>
      </c>
    </row>
    <row r="293" spans="1:2" x14ac:dyDescent="0.35">
      <c r="A293">
        <v>6</v>
      </c>
      <c r="B293">
        <v>5.9874206300616982E-4</v>
      </c>
    </row>
    <row r="294" spans="1:2" x14ac:dyDescent="0.35">
      <c r="A294">
        <v>5</v>
      </c>
      <c r="B294">
        <v>1.0069752877831036E-3</v>
      </c>
    </row>
    <row r="295" spans="1:2" x14ac:dyDescent="0.35">
      <c r="A295">
        <v>10</v>
      </c>
      <c r="B295">
        <v>2.1054665951865314E-5</v>
      </c>
    </row>
    <row r="296" spans="1:2" x14ac:dyDescent="0.35">
      <c r="A296">
        <v>9</v>
      </c>
      <c r="B296">
        <v>6.8427664343562273E-5</v>
      </c>
    </row>
    <row r="297" spans="1:2" x14ac:dyDescent="0.35">
      <c r="A297">
        <v>8</v>
      </c>
      <c r="B297">
        <v>1.1580066273525925E-4</v>
      </c>
    </row>
    <row r="298" spans="1:2" x14ac:dyDescent="0.35">
      <c r="A298">
        <v>7</v>
      </c>
      <c r="B298">
        <v>1.9475566005475417E-4</v>
      </c>
    </row>
    <row r="299" spans="1:2" x14ac:dyDescent="0.35">
      <c r="A299">
        <v>9</v>
      </c>
      <c r="B299">
        <v>6.8427664343562259E-5</v>
      </c>
    </row>
    <row r="300" spans="1:2" x14ac:dyDescent="0.35">
      <c r="A300">
        <v>8</v>
      </c>
      <c r="B300">
        <v>2.2238990911657738E-4</v>
      </c>
    </row>
    <row r="301" spans="1:2" x14ac:dyDescent="0.35">
      <c r="A301">
        <v>7</v>
      </c>
      <c r="B301">
        <v>3.7635215388959252E-4</v>
      </c>
    </row>
    <row r="302" spans="1:2" x14ac:dyDescent="0.35">
      <c r="A302">
        <v>6</v>
      </c>
      <c r="B302">
        <v>6.329558951779509E-4</v>
      </c>
    </row>
    <row r="303" spans="1:2" x14ac:dyDescent="0.35">
      <c r="A303">
        <v>8</v>
      </c>
      <c r="B303">
        <v>1.1580066273525922E-4</v>
      </c>
    </row>
    <row r="304" spans="1:2" x14ac:dyDescent="0.35">
      <c r="A304">
        <v>7</v>
      </c>
      <c r="B304">
        <v>3.7635215388959252E-4</v>
      </c>
    </row>
    <row r="305" spans="1:2" x14ac:dyDescent="0.35">
      <c r="A305">
        <v>6</v>
      </c>
      <c r="B305">
        <v>6.369036450439258E-4</v>
      </c>
    </row>
    <row r="306" spans="1:2" x14ac:dyDescent="0.35">
      <c r="A306">
        <v>5</v>
      </c>
      <c r="B306">
        <v>1.0711561303011477E-3</v>
      </c>
    </row>
    <row r="307" spans="1:2" x14ac:dyDescent="0.35">
      <c r="A307">
        <v>7</v>
      </c>
      <c r="B307">
        <v>1.8422832707882148E-4</v>
      </c>
    </row>
    <row r="308" spans="1:2" x14ac:dyDescent="0.35">
      <c r="A308">
        <v>6</v>
      </c>
      <c r="B308">
        <v>5.9874206300616982E-4</v>
      </c>
    </row>
    <row r="309" spans="1:2" x14ac:dyDescent="0.35">
      <c r="A309">
        <v>5</v>
      </c>
      <c r="B309">
        <v>1.0132557989335181E-3</v>
      </c>
    </row>
    <row r="310" spans="1:2" x14ac:dyDescent="0.35">
      <c r="A310">
        <v>4</v>
      </c>
      <c r="B310">
        <v>1.7041120254790985E-3</v>
      </c>
    </row>
    <row r="311" spans="1:2" x14ac:dyDescent="0.35">
      <c r="A311">
        <v>9</v>
      </c>
      <c r="B311">
        <v>3.3496059468876633E-5</v>
      </c>
    </row>
    <row r="312" spans="1:2" x14ac:dyDescent="0.35">
      <c r="A312">
        <v>8</v>
      </c>
      <c r="B312">
        <v>1.0886219327384906E-4</v>
      </c>
    </row>
    <row r="313" spans="1:2" x14ac:dyDescent="0.35">
      <c r="A313">
        <v>7</v>
      </c>
      <c r="B313">
        <v>1.8422832707882148E-4</v>
      </c>
    </row>
    <row r="314" spans="1:2" x14ac:dyDescent="0.35">
      <c r="A314">
        <v>6</v>
      </c>
      <c r="B314">
        <v>3.0983855008710884E-4</v>
      </c>
    </row>
    <row r="315" spans="1:2" x14ac:dyDescent="0.35">
      <c r="A315">
        <v>8</v>
      </c>
      <c r="B315">
        <v>1.0886219327384905E-4</v>
      </c>
    </row>
    <row r="316" spans="1:2" x14ac:dyDescent="0.35">
      <c r="A316">
        <v>7</v>
      </c>
      <c r="B316">
        <v>3.5380212814000941E-4</v>
      </c>
    </row>
    <row r="317" spans="1:2" x14ac:dyDescent="0.35">
      <c r="A317">
        <v>6</v>
      </c>
      <c r="B317">
        <v>5.9874206300616982E-4</v>
      </c>
    </row>
    <row r="318" spans="1:2" x14ac:dyDescent="0.35">
      <c r="A318">
        <v>5</v>
      </c>
      <c r="B318">
        <v>1.0069752877831036E-3</v>
      </c>
    </row>
    <row r="319" spans="1:2" x14ac:dyDescent="0.35">
      <c r="A319">
        <v>7</v>
      </c>
      <c r="B319">
        <v>1.8422832707882148E-4</v>
      </c>
    </row>
    <row r="320" spans="1:2" x14ac:dyDescent="0.35">
      <c r="A320">
        <v>6</v>
      </c>
      <c r="B320">
        <v>5.9874206300616982E-4</v>
      </c>
    </row>
    <row r="321" spans="1:2" x14ac:dyDescent="0.35">
      <c r="A321">
        <v>5</v>
      </c>
      <c r="B321">
        <v>1.0132557989335181E-3</v>
      </c>
    </row>
    <row r="322" spans="1:2" x14ac:dyDescent="0.35">
      <c r="A322">
        <v>4</v>
      </c>
      <c r="B322">
        <v>1.7041120254790985E-3</v>
      </c>
    </row>
    <row r="323" spans="1:2" x14ac:dyDescent="0.35">
      <c r="A323">
        <v>6</v>
      </c>
      <c r="B323">
        <v>2.9309052035267043E-4</v>
      </c>
    </row>
    <row r="324" spans="1:2" x14ac:dyDescent="0.35">
      <c r="A324">
        <v>5</v>
      </c>
      <c r="B324">
        <v>9.5254419114617901E-4</v>
      </c>
    </row>
    <row r="325" spans="1:2" x14ac:dyDescent="0.35">
      <c r="A325">
        <v>4</v>
      </c>
      <c r="B325">
        <v>1.6119978619396876E-3</v>
      </c>
    </row>
    <row r="326" spans="1:2" x14ac:dyDescent="0.35">
      <c r="A326">
        <v>3</v>
      </c>
      <c r="B326">
        <v>2.7110873132622014E-3</v>
      </c>
    </row>
    <row r="327" spans="1:2" x14ac:dyDescent="0.35">
      <c r="A327">
        <v>14</v>
      </c>
      <c r="B327">
        <v>1.4218735448012941E-6</v>
      </c>
    </row>
    <row r="328" spans="1:2" x14ac:dyDescent="0.35">
      <c r="A328">
        <v>13</v>
      </c>
      <c r="B328">
        <v>4.6210890206042056E-6</v>
      </c>
    </row>
    <row r="329" spans="1:2" x14ac:dyDescent="0.35">
      <c r="A329">
        <v>12</v>
      </c>
      <c r="B329">
        <v>7.8203044964071176E-6</v>
      </c>
    </row>
    <row r="330" spans="1:2" x14ac:dyDescent="0.35">
      <c r="A330">
        <v>11</v>
      </c>
      <c r="B330">
        <v>1.3152330289411969E-5</v>
      </c>
    </row>
    <row r="331" spans="1:2" x14ac:dyDescent="0.35">
      <c r="A331">
        <v>13</v>
      </c>
      <c r="B331">
        <v>4.6210890206042056E-6</v>
      </c>
    </row>
    <row r="332" spans="1:2" x14ac:dyDescent="0.35">
      <c r="A332">
        <v>12</v>
      </c>
      <c r="B332">
        <v>1.501853931696367E-5</v>
      </c>
    </row>
    <row r="333" spans="1:2" x14ac:dyDescent="0.35">
      <c r="A333">
        <v>11</v>
      </c>
      <c r="B333">
        <v>2.5415989613323132E-5</v>
      </c>
    </row>
    <row r="334" spans="1:2" x14ac:dyDescent="0.35">
      <c r="A334">
        <v>10</v>
      </c>
      <c r="B334">
        <v>4.2745073440588902E-5</v>
      </c>
    </row>
    <row r="335" spans="1:2" x14ac:dyDescent="0.35">
      <c r="A335">
        <v>12</v>
      </c>
      <c r="B335">
        <v>7.8203044964071176E-6</v>
      </c>
    </row>
    <row r="336" spans="1:2" x14ac:dyDescent="0.35">
      <c r="A336">
        <v>11</v>
      </c>
      <c r="B336">
        <v>2.5415989613323132E-5</v>
      </c>
    </row>
    <row r="337" spans="1:2" x14ac:dyDescent="0.35">
      <c r="A337">
        <v>10</v>
      </c>
      <c r="B337">
        <v>4.3011674730239148E-5</v>
      </c>
    </row>
    <row r="338" spans="1:2" x14ac:dyDescent="0.35">
      <c r="A338">
        <v>9</v>
      </c>
      <c r="B338">
        <v>7.2337816591765827E-5</v>
      </c>
    </row>
    <row r="339" spans="1:2" x14ac:dyDescent="0.35">
      <c r="A339">
        <v>11</v>
      </c>
      <c r="B339">
        <v>1.244139351701132E-5</v>
      </c>
    </row>
    <row r="340" spans="1:2" x14ac:dyDescent="0.35">
      <c r="A340">
        <v>10</v>
      </c>
      <c r="B340">
        <v>4.0434528930286796E-5</v>
      </c>
    </row>
    <row r="341" spans="1:2" x14ac:dyDescent="0.35">
      <c r="A341">
        <v>9</v>
      </c>
      <c r="B341">
        <v>6.8427664343562273E-5</v>
      </c>
    </row>
    <row r="342" spans="1:2" x14ac:dyDescent="0.35">
      <c r="A342">
        <v>8</v>
      </c>
      <c r="B342">
        <v>1.1508289003235471E-4</v>
      </c>
    </row>
    <row r="343" spans="1:2" x14ac:dyDescent="0.35">
      <c r="A343">
        <v>13</v>
      </c>
      <c r="B343">
        <v>4.6210890206042065E-6</v>
      </c>
    </row>
    <row r="344" spans="1:2" x14ac:dyDescent="0.35">
      <c r="A344">
        <v>12</v>
      </c>
      <c r="B344">
        <v>1.5018539316963671E-5</v>
      </c>
    </row>
    <row r="345" spans="1:2" x14ac:dyDescent="0.35">
      <c r="A345">
        <v>11</v>
      </c>
      <c r="B345">
        <v>2.5415989613323135E-5</v>
      </c>
    </row>
    <row r="346" spans="1:2" x14ac:dyDescent="0.35">
      <c r="A346">
        <v>10</v>
      </c>
      <c r="B346">
        <v>4.2745073440588908E-5</v>
      </c>
    </row>
    <row r="347" spans="1:2" x14ac:dyDescent="0.35">
      <c r="A347">
        <v>12</v>
      </c>
      <c r="B347">
        <v>1.501853931696367E-5</v>
      </c>
    </row>
    <row r="348" spans="1:2" x14ac:dyDescent="0.35">
      <c r="A348">
        <v>11</v>
      </c>
      <c r="B348">
        <v>4.8810252780131932E-5</v>
      </c>
    </row>
    <row r="349" spans="1:2" x14ac:dyDescent="0.35">
      <c r="A349">
        <v>10</v>
      </c>
      <c r="B349">
        <v>8.2601966243300192E-5</v>
      </c>
    </row>
    <row r="350" spans="1:2" x14ac:dyDescent="0.35">
      <c r="A350">
        <v>9</v>
      </c>
      <c r="B350">
        <v>1.3892148868191394E-4</v>
      </c>
    </row>
    <row r="351" spans="1:2" x14ac:dyDescent="0.35">
      <c r="A351">
        <v>11</v>
      </c>
      <c r="B351">
        <v>2.5415989613323132E-5</v>
      </c>
    </row>
    <row r="352" spans="1:2" x14ac:dyDescent="0.35">
      <c r="A352">
        <v>10</v>
      </c>
      <c r="B352">
        <v>8.2601966243300192E-5</v>
      </c>
    </row>
    <row r="353" spans="1:2" x14ac:dyDescent="0.35">
      <c r="A353">
        <v>9</v>
      </c>
      <c r="B353">
        <v>1.3978794287327725E-4</v>
      </c>
    </row>
    <row r="354" spans="1:2" x14ac:dyDescent="0.35">
      <c r="A354">
        <v>8</v>
      </c>
      <c r="B354">
        <v>2.3509790392323897E-4</v>
      </c>
    </row>
    <row r="355" spans="1:2" x14ac:dyDescent="0.35">
      <c r="A355">
        <v>10</v>
      </c>
      <c r="B355">
        <v>4.0434528930286796E-5</v>
      </c>
    </row>
    <row r="356" spans="1:2" x14ac:dyDescent="0.35">
      <c r="A356">
        <v>9</v>
      </c>
      <c r="B356">
        <v>1.3141221902343209E-4</v>
      </c>
    </row>
    <row r="357" spans="1:2" x14ac:dyDescent="0.35">
      <c r="A357">
        <v>8</v>
      </c>
      <c r="B357">
        <v>2.2238990911657738E-4</v>
      </c>
    </row>
    <row r="358" spans="1:2" x14ac:dyDescent="0.35">
      <c r="A358">
        <v>7</v>
      </c>
      <c r="B358">
        <v>3.7401939260515283E-4</v>
      </c>
    </row>
    <row r="359" spans="1:2" x14ac:dyDescent="0.35">
      <c r="A359">
        <v>12</v>
      </c>
      <c r="B359">
        <v>7.8203044964071193E-6</v>
      </c>
    </row>
    <row r="360" spans="1:2" x14ac:dyDescent="0.35">
      <c r="A360">
        <v>11</v>
      </c>
      <c r="B360">
        <v>2.5415989613323139E-5</v>
      </c>
    </row>
    <row r="361" spans="1:2" x14ac:dyDescent="0.35">
      <c r="A361">
        <v>10</v>
      </c>
      <c r="B361">
        <v>4.3011674730239154E-5</v>
      </c>
    </row>
    <row r="362" spans="1:2" x14ac:dyDescent="0.35">
      <c r="A362">
        <v>9</v>
      </c>
      <c r="B362">
        <v>7.2337816591765841E-5</v>
      </c>
    </row>
    <row r="363" spans="1:2" x14ac:dyDescent="0.35">
      <c r="A363">
        <v>11</v>
      </c>
      <c r="B363">
        <v>2.5415989613323132E-5</v>
      </c>
    </row>
    <row r="364" spans="1:2" x14ac:dyDescent="0.35">
      <c r="A364">
        <v>10</v>
      </c>
      <c r="B364">
        <v>8.2601966243300192E-5</v>
      </c>
    </row>
    <row r="365" spans="1:2" x14ac:dyDescent="0.35">
      <c r="A365">
        <v>9</v>
      </c>
      <c r="B365">
        <v>1.3978794287327725E-4</v>
      </c>
    </row>
    <row r="366" spans="1:2" x14ac:dyDescent="0.35">
      <c r="A366">
        <v>8</v>
      </c>
      <c r="B366">
        <v>2.3509790392323897E-4</v>
      </c>
    </row>
    <row r="367" spans="1:2" x14ac:dyDescent="0.35">
      <c r="A367">
        <v>10</v>
      </c>
      <c r="B367">
        <v>4.3011674730239154E-5</v>
      </c>
    </row>
    <row r="368" spans="1:2" x14ac:dyDescent="0.35">
      <c r="A368">
        <v>9</v>
      </c>
      <c r="B368">
        <v>1.3978794287327725E-4</v>
      </c>
    </row>
    <row r="369" spans="1:2" x14ac:dyDescent="0.35">
      <c r="A369">
        <v>8</v>
      </c>
      <c r="B369">
        <v>2.3656421101631535E-4</v>
      </c>
    </row>
    <row r="370" spans="1:2" x14ac:dyDescent="0.35">
      <c r="A370">
        <v>7</v>
      </c>
      <c r="B370">
        <v>3.9785799125471215E-4</v>
      </c>
    </row>
    <row r="371" spans="1:2" x14ac:dyDescent="0.35">
      <c r="A371">
        <v>9</v>
      </c>
      <c r="B371">
        <v>6.8427664343562273E-5</v>
      </c>
    </row>
    <row r="372" spans="1:2" x14ac:dyDescent="0.35">
      <c r="A372">
        <v>8</v>
      </c>
      <c r="B372">
        <v>2.2238990911657743E-4</v>
      </c>
    </row>
    <row r="373" spans="1:2" x14ac:dyDescent="0.35">
      <c r="A373">
        <v>7</v>
      </c>
      <c r="B373">
        <v>3.7635215388959257E-4</v>
      </c>
    </row>
    <row r="374" spans="1:2" x14ac:dyDescent="0.35">
      <c r="A374">
        <v>6</v>
      </c>
      <c r="B374">
        <v>6.3295589517795101E-4</v>
      </c>
    </row>
    <row r="375" spans="1:2" x14ac:dyDescent="0.35">
      <c r="A375">
        <v>11</v>
      </c>
      <c r="B375">
        <v>1.244139351701132E-5</v>
      </c>
    </row>
    <row r="376" spans="1:2" x14ac:dyDescent="0.35">
      <c r="A376">
        <v>10</v>
      </c>
      <c r="B376">
        <v>4.0434528930286796E-5</v>
      </c>
    </row>
    <row r="377" spans="1:2" x14ac:dyDescent="0.35">
      <c r="A377">
        <v>9</v>
      </c>
      <c r="B377">
        <v>6.8427664343562273E-5</v>
      </c>
    </row>
    <row r="378" spans="1:2" x14ac:dyDescent="0.35">
      <c r="A378">
        <v>8</v>
      </c>
      <c r="B378">
        <v>1.1508289003235471E-4</v>
      </c>
    </row>
    <row r="379" spans="1:2" x14ac:dyDescent="0.35">
      <c r="A379">
        <v>10</v>
      </c>
      <c r="B379">
        <v>4.0434528930286796E-5</v>
      </c>
    </row>
    <row r="380" spans="1:2" x14ac:dyDescent="0.35">
      <c r="A380">
        <v>9</v>
      </c>
      <c r="B380">
        <v>1.3141221902343209E-4</v>
      </c>
    </row>
    <row r="381" spans="1:2" x14ac:dyDescent="0.35">
      <c r="A381">
        <v>8</v>
      </c>
      <c r="B381">
        <v>2.2238990911657738E-4</v>
      </c>
    </row>
    <row r="382" spans="1:2" x14ac:dyDescent="0.35">
      <c r="A382">
        <v>7</v>
      </c>
      <c r="B382">
        <v>3.7401939260515283E-4</v>
      </c>
    </row>
    <row r="383" spans="1:2" x14ac:dyDescent="0.35">
      <c r="A383">
        <v>9</v>
      </c>
      <c r="B383">
        <v>6.8427664343562259E-5</v>
      </c>
    </row>
    <row r="384" spans="1:2" x14ac:dyDescent="0.35">
      <c r="A384">
        <v>8</v>
      </c>
      <c r="B384">
        <v>2.2238990911657738E-4</v>
      </c>
    </row>
    <row r="385" spans="1:2" x14ac:dyDescent="0.35">
      <c r="A385">
        <v>7</v>
      </c>
      <c r="B385">
        <v>3.7635215388959252E-4</v>
      </c>
    </row>
    <row r="386" spans="1:2" x14ac:dyDescent="0.35">
      <c r="A386">
        <v>6</v>
      </c>
      <c r="B386">
        <v>6.329558951779509E-4</v>
      </c>
    </row>
    <row r="387" spans="1:2" x14ac:dyDescent="0.35">
      <c r="A387">
        <v>8</v>
      </c>
      <c r="B387">
        <v>1.0886219327384905E-4</v>
      </c>
    </row>
    <row r="388" spans="1:2" x14ac:dyDescent="0.35">
      <c r="A388">
        <v>7</v>
      </c>
      <c r="B388">
        <v>3.5380212814000941E-4</v>
      </c>
    </row>
    <row r="389" spans="1:2" x14ac:dyDescent="0.35">
      <c r="A389">
        <v>6</v>
      </c>
      <c r="B389">
        <v>5.9874206300616982E-4</v>
      </c>
    </row>
    <row r="390" spans="1:2" x14ac:dyDescent="0.35">
      <c r="A390">
        <v>5</v>
      </c>
      <c r="B390">
        <v>1.0069752877831036E-3</v>
      </c>
    </row>
    <row r="391" spans="1:2" x14ac:dyDescent="0.35">
      <c r="A391">
        <v>13</v>
      </c>
      <c r="B391">
        <v>4.6210890206042065E-6</v>
      </c>
    </row>
    <row r="392" spans="1:2" x14ac:dyDescent="0.35">
      <c r="A392">
        <v>12</v>
      </c>
      <c r="B392">
        <v>1.5018539316963671E-5</v>
      </c>
    </row>
    <row r="393" spans="1:2" x14ac:dyDescent="0.35">
      <c r="A393">
        <v>11</v>
      </c>
      <c r="B393">
        <v>2.5415989613323135E-5</v>
      </c>
    </row>
    <row r="394" spans="1:2" x14ac:dyDescent="0.35">
      <c r="A394">
        <v>10</v>
      </c>
      <c r="B394">
        <v>4.2745073440588908E-5</v>
      </c>
    </row>
    <row r="395" spans="1:2" x14ac:dyDescent="0.35">
      <c r="A395">
        <v>12</v>
      </c>
      <c r="B395">
        <v>1.501853931696367E-5</v>
      </c>
    </row>
    <row r="396" spans="1:2" x14ac:dyDescent="0.35">
      <c r="A396">
        <v>11</v>
      </c>
      <c r="B396">
        <v>4.8810252780131932E-5</v>
      </c>
    </row>
    <row r="397" spans="1:2" x14ac:dyDescent="0.35">
      <c r="A397">
        <v>10</v>
      </c>
      <c r="B397">
        <v>8.2601966243300192E-5</v>
      </c>
    </row>
    <row r="398" spans="1:2" x14ac:dyDescent="0.35">
      <c r="A398">
        <v>9</v>
      </c>
      <c r="B398">
        <v>1.3892148868191394E-4</v>
      </c>
    </row>
    <row r="399" spans="1:2" x14ac:dyDescent="0.35">
      <c r="A399">
        <v>11</v>
      </c>
      <c r="B399">
        <v>2.5415989613323132E-5</v>
      </c>
    </row>
    <row r="400" spans="1:2" x14ac:dyDescent="0.35">
      <c r="A400">
        <v>10</v>
      </c>
      <c r="B400">
        <v>8.2601966243300192E-5</v>
      </c>
    </row>
    <row r="401" spans="1:2" x14ac:dyDescent="0.35">
      <c r="A401">
        <v>9</v>
      </c>
      <c r="B401">
        <v>1.3978794287327725E-4</v>
      </c>
    </row>
    <row r="402" spans="1:2" x14ac:dyDescent="0.35">
      <c r="A402">
        <v>8</v>
      </c>
      <c r="B402">
        <v>2.3509790392323897E-4</v>
      </c>
    </row>
    <row r="403" spans="1:2" x14ac:dyDescent="0.35">
      <c r="A403">
        <v>10</v>
      </c>
      <c r="B403">
        <v>4.0434528930286796E-5</v>
      </c>
    </row>
    <row r="404" spans="1:2" x14ac:dyDescent="0.35">
      <c r="A404">
        <v>9</v>
      </c>
      <c r="B404">
        <v>1.3141221902343209E-4</v>
      </c>
    </row>
    <row r="405" spans="1:2" x14ac:dyDescent="0.35">
      <c r="A405">
        <v>8</v>
      </c>
      <c r="B405">
        <v>2.2238990911657738E-4</v>
      </c>
    </row>
    <row r="406" spans="1:2" x14ac:dyDescent="0.35">
      <c r="A406">
        <v>7</v>
      </c>
      <c r="B406">
        <v>3.7401939260515283E-4</v>
      </c>
    </row>
    <row r="407" spans="1:2" x14ac:dyDescent="0.35">
      <c r="A407">
        <v>12</v>
      </c>
      <c r="B407">
        <v>1.501853931696367E-5</v>
      </c>
    </row>
    <row r="408" spans="1:2" x14ac:dyDescent="0.35">
      <c r="A408">
        <v>11</v>
      </c>
      <c r="B408">
        <v>4.8810252780131932E-5</v>
      </c>
    </row>
    <row r="409" spans="1:2" x14ac:dyDescent="0.35">
      <c r="A409">
        <v>10</v>
      </c>
      <c r="B409">
        <v>8.2601966243300192E-5</v>
      </c>
    </row>
    <row r="410" spans="1:2" x14ac:dyDescent="0.35">
      <c r="A410">
        <v>9</v>
      </c>
      <c r="B410">
        <v>1.3892148868191394E-4</v>
      </c>
    </row>
    <row r="411" spans="1:2" x14ac:dyDescent="0.35">
      <c r="A411">
        <v>11</v>
      </c>
      <c r="B411">
        <v>4.8810252780131925E-5</v>
      </c>
    </row>
    <row r="412" spans="1:2" x14ac:dyDescent="0.35">
      <c r="A412">
        <v>10</v>
      </c>
      <c r="B412">
        <v>1.5863332153542877E-4</v>
      </c>
    </row>
    <row r="413" spans="1:2" x14ac:dyDescent="0.35">
      <c r="A413">
        <v>9</v>
      </c>
      <c r="B413">
        <v>2.6845639029072561E-4</v>
      </c>
    </row>
    <row r="414" spans="1:2" x14ac:dyDescent="0.35">
      <c r="A414">
        <v>8</v>
      </c>
      <c r="B414">
        <v>4.5149483821622027E-4</v>
      </c>
    </row>
    <row r="415" spans="1:2" x14ac:dyDescent="0.35">
      <c r="A415">
        <v>10</v>
      </c>
      <c r="B415">
        <v>8.2601966243300178E-5</v>
      </c>
    </row>
    <row r="416" spans="1:2" x14ac:dyDescent="0.35">
      <c r="A416">
        <v>9</v>
      </c>
      <c r="B416">
        <v>2.6845639029072561E-4</v>
      </c>
    </row>
    <row r="417" spans="1:2" x14ac:dyDescent="0.35">
      <c r="A417">
        <v>8</v>
      </c>
      <c r="B417">
        <v>4.5431081433815104E-4</v>
      </c>
    </row>
    <row r="418" spans="1:2" x14ac:dyDescent="0.35">
      <c r="A418">
        <v>7</v>
      </c>
      <c r="B418">
        <v>7.6406818775052662E-4</v>
      </c>
    </row>
    <row r="419" spans="1:2" x14ac:dyDescent="0.35">
      <c r="A419">
        <v>9</v>
      </c>
      <c r="B419">
        <v>1.3141221902343209E-4</v>
      </c>
    </row>
    <row r="420" spans="1:2" x14ac:dyDescent="0.35">
      <c r="A420">
        <v>8</v>
      </c>
      <c r="B420">
        <v>4.270897118261543E-4</v>
      </c>
    </row>
    <row r="421" spans="1:2" x14ac:dyDescent="0.35">
      <c r="A421">
        <v>7</v>
      </c>
      <c r="B421">
        <v>7.2276720462887648E-4</v>
      </c>
    </row>
    <row r="422" spans="1:2" x14ac:dyDescent="0.35">
      <c r="A422">
        <v>6</v>
      </c>
      <c r="B422">
        <v>1.2155630259667468E-3</v>
      </c>
    </row>
    <row r="423" spans="1:2" x14ac:dyDescent="0.35">
      <c r="A423">
        <v>11</v>
      </c>
      <c r="B423">
        <v>2.5415989613323132E-5</v>
      </c>
    </row>
    <row r="424" spans="1:2" x14ac:dyDescent="0.35">
      <c r="A424">
        <v>10</v>
      </c>
      <c r="B424">
        <v>8.2601966243300192E-5</v>
      </c>
    </row>
    <row r="425" spans="1:2" x14ac:dyDescent="0.35">
      <c r="A425">
        <v>9</v>
      </c>
      <c r="B425">
        <v>1.3978794287327725E-4</v>
      </c>
    </row>
    <row r="426" spans="1:2" x14ac:dyDescent="0.35">
      <c r="A426">
        <v>8</v>
      </c>
      <c r="B426">
        <v>2.3509790392323897E-4</v>
      </c>
    </row>
    <row r="427" spans="1:2" x14ac:dyDescent="0.35">
      <c r="A427">
        <v>10</v>
      </c>
      <c r="B427">
        <v>8.2601966243300178E-5</v>
      </c>
    </row>
    <row r="428" spans="1:2" x14ac:dyDescent="0.35">
      <c r="A428">
        <v>9</v>
      </c>
      <c r="B428">
        <v>2.6845639029072561E-4</v>
      </c>
    </row>
    <row r="429" spans="1:2" x14ac:dyDescent="0.35">
      <c r="A429">
        <v>8</v>
      </c>
      <c r="B429">
        <v>4.5431081433815104E-4</v>
      </c>
    </row>
    <row r="430" spans="1:2" x14ac:dyDescent="0.35">
      <c r="A430">
        <v>7</v>
      </c>
      <c r="B430">
        <v>7.6406818775052662E-4</v>
      </c>
    </row>
    <row r="431" spans="1:2" x14ac:dyDescent="0.35">
      <c r="A431">
        <v>9</v>
      </c>
      <c r="B431">
        <v>1.3978794287327722E-4</v>
      </c>
    </row>
    <row r="432" spans="1:2" x14ac:dyDescent="0.35">
      <c r="A432">
        <v>8</v>
      </c>
      <c r="B432">
        <v>4.5431081433815104E-4</v>
      </c>
    </row>
    <row r="433" spans="1:2" x14ac:dyDescent="0.35">
      <c r="A433">
        <v>7</v>
      </c>
      <c r="B433">
        <v>7.6883368580302485E-4</v>
      </c>
    </row>
    <row r="434" spans="1:2" x14ac:dyDescent="0.35">
      <c r="A434">
        <v>6</v>
      </c>
      <c r="B434">
        <v>1.2930384715778144E-3</v>
      </c>
    </row>
    <row r="435" spans="1:2" x14ac:dyDescent="0.35">
      <c r="A435">
        <v>8</v>
      </c>
      <c r="B435">
        <v>2.2238990911657738E-4</v>
      </c>
    </row>
    <row r="436" spans="1:2" x14ac:dyDescent="0.35">
      <c r="A436">
        <v>7</v>
      </c>
      <c r="B436">
        <v>7.2276720462887659E-4</v>
      </c>
    </row>
    <row r="437" spans="1:2" x14ac:dyDescent="0.35">
      <c r="A437">
        <v>6</v>
      </c>
      <c r="B437">
        <v>1.2231445001411757E-3</v>
      </c>
    </row>
    <row r="438" spans="1:2" x14ac:dyDescent="0.35">
      <c r="A438">
        <v>5</v>
      </c>
      <c r="B438">
        <v>2.0571066593283406E-3</v>
      </c>
    </row>
    <row r="439" spans="1:2" x14ac:dyDescent="0.35">
      <c r="A439">
        <v>10</v>
      </c>
      <c r="B439">
        <v>4.0434528930286796E-5</v>
      </c>
    </row>
    <row r="440" spans="1:2" x14ac:dyDescent="0.35">
      <c r="A440">
        <v>9</v>
      </c>
      <c r="B440">
        <v>1.3141221902343212E-4</v>
      </c>
    </row>
    <row r="441" spans="1:2" x14ac:dyDescent="0.35">
      <c r="A441">
        <v>8</v>
      </c>
      <c r="B441">
        <v>2.2238990911657743E-4</v>
      </c>
    </row>
    <row r="442" spans="1:2" x14ac:dyDescent="0.35">
      <c r="A442">
        <v>7</v>
      </c>
      <c r="B442">
        <v>3.7401939260515288E-4</v>
      </c>
    </row>
    <row r="443" spans="1:2" x14ac:dyDescent="0.35">
      <c r="A443">
        <v>9</v>
      </c>
      <c r="B443">
        <v>1.3141221902343212E-4</v>
      </c>
    </row>
    <row r="444" spans="1:2" x14ac:dyDescent="0.35">
      <c r="A444">
        <v>8</v>
      </c>
      <c r="B444">
        <v>4.2708971182615435E-4</v>
      </c>
    </row>
    <row r="445" spans="1:2" x14ac:dyDescent="0.35">
      <c r="A445">
        <v>7</v>
      </c>
      <c r="B445">
        <v>7.2276720462887659E-4</v>
      </c>
    </row>
    <row r="446" spans="1:2" x14ac:dyDescent="0.35">
      <c r="A446">
        <v>6</v>
      </c>
      <c r="B446">
        <v>1.215563025966747E-3</v>
      </c>
    </row>
    <row r="447" spans="1:2" x14ac:dyDescent="0.35">
      <c r="A447">
        <v>8</v>
      </c>
      <c r="B447">
        <v>2.2238990911657738E-4</v>
      </c>
    </row>
    <row r="448" spans="1:2" x14ac:dyDescent="0.35">
      <c r="A448">
        <v>7</v>
      </c>
      <c r="B448">
        <v>7.2276720462887659E-4</v>
      </c>
    </row>
    <row r="449" spans="1:2" x14ac:dyDescent="0.35">
      <c r="A449">
        <v>6</v>
      </c>
      <c r="B449">
        <v>1.2231445001411757E-3</v>
      </c>
    </row>
    <row r="450" spans="1:2" x14ac:dyDescent="0.35">
      <c r="A450">
        <v>5</v>
      </c>
      <c r="B450">
        <v>2.0571066593283406E-3</v>
      </c>
    </row>
    <row r="451" spans="1:2" x14ac:dyDescent="0.35">
      <c r="A451">
        <v>7</v>
      </c>
      <c r="B451">
        <v>3.5380212814000941E-4</v>
      </c>
    </row>
    <row r="452" spans="1:2" x14ac:dyDescent="0.35">
      <c r="A452">
        <v>6</v>
      </c>
      <c r="B452">
        <v>1.1498569164550307E-3</v>
      </c>
    </row>
    <row r="453" spans="1:2" x14ac:dyDescent="0.35">
      <c r="A453">
        <v>5</v>
      </c>
      <c r="B453">
        <v>1.945911704770052E-3</v>
      </c>
    </row>
    <row r="454" spans="1:2" x14ac:dyDescent="0.35">
      <c r="A454">
        <v>4</v>
      </c>
      <c r="B454">
        <v>3.2726696852950869E-3</v>
      </c>
    </row>
    <row r="455" spans="1:2" x14ac:dyDescent="0.35">
      <c r="A455">
        <v>12</v>
      </c>
      <c r="B455">
        <v>7.8203044964071193E-6</v>
      </c>
    </row>
    <row r="456" spans="1:2" x14ac:dyDescent="0.35">
      <c r="A456">
        <v>11</v>
      </c>
      <c r="B456">
        <v>2.5415989613323139E-5</v>
      </c>
    </row>
    <row r="457" spans="1:2" x14ac:dyDescent="0.35">
      <c r="A457">
        <v>10</v>
      </c>
      <c r="B457">
        <v>4.3011674730239154E-5</v>
      </c>
    </row>
    <row r="458" spans="1:2" x14ac:dyDescent="0.35">
      <c r="A458">
        <v>9</v>
      </c>
      <c r="B458">
        <v>7.2337816591765841E-5</v>
      </c>
    </row>
    <row r="459" spans="1:2" x14ac:dyDescent="0.35">
      <c r="A459">
        <v>11</v>
      </c>
      <c r="B459">
        <v>2.5415989613323132E-5</v>
      </c>
    </row>
    <row r="460" spans="1:2" x14ac:dyDescent="0.35">
      <c r="A460">
        <v>10</v>
      </c>
      <c r="B460">
        <v>8.2601966243300192E-5</v>
      </c>
    </row>
    <row r="461" spans="1:2" x14ac:dyDescent="0.35">
      <c r="A461">
        <v>9</v>
      </c>
      <c r="B461">
        <v>1.3978794287327725E-4</v>
      </c>
    </row>
    <row r="462" spans="1:2" x14ac:dyDescent="0.35">
      <c r="A462">
        <v>8</v>
      </c>
      <c r="B462">
        <v>2.3509790392323897E-4</v>
      </c>
    </row>
    <row r="463" spans="1:2" x14ac:dyDescent="0.35">
      <c r="A463">
        <v>10</v>
      </c>
      <c r="B463">
        <v>4.3011674730239154E-5</v>
      </c>
    </row>
    <row r="464" spans="1:2" x14ac:dyDescent="0.35">
      <c r="A464">
        <v>9</v>
      </c>
      <c r="B464">
        <v>1.3978794287327725E-4</v>
      </c>
    </row>
    <row r="465" spans="1:2" x14ac:dyDescent="0.35">
      <c r="A465">
        <v>8</v>
      </c>
      <c r="B465">
        <v>2.3656421101631535E-4</v>
      </c>
    </row>
    <row r="466" spans="1:2" x14ac:dyDescent="0.35">
      <c r="A466">
        <v>7</v>
      </c>
      <c r="B466">
        <v>3.9785799125471215E-4</v>
      </c>
    </row>
    <row r="467" spans="1:2" x14ac:dyDescent="0.35">
      <c r="A467">
        <v>9</v>
      </c>
      <c r="B467">
        <v>6.8427664343562273E-5</v>
      </c>
    </row>
    <row r="468" spans="1:2" x14ac:dyDescent="0.35">
      <c r="A468">
        <v>8</v>
      </c>
      <c r="B468">
        <v>2.2238990911657743E-4</v>
      </c>
    </row>
    <row r="469" spans="1:2" x14ac:dyDescent="0.35">
      <c r="A469">
        <v>7</v>
      </c>
      <c r="B469">
        <v>3.7635215388959257E-4</v>
      </c>
    </row>
    <row r="470" spans="1:2" x14ac:dyDescent="0.35">
      <c r="A470">
        <v>6</v>
      </c>
      <c r="B470">
        <v>6.3295589517795101E-4</v>
      </c>
    </row>
    <row r="471" spans="1:2" x14ac:dyDescent="0.35">
      <c r="A471">
        <v>11</v>
      </c>
      <c r="B471">
        <v>2.5415989613323132E-5</v>
      </c>
    </row>
    <row r="472" spans="1:2" x14ac:dyDescent="0.35">
      <c r="A472">
        <v>10</v>
      </c>
      <c r="B472">
        <v>8.2601966243300192E-5</v>
      </c>
    </row>
    <row r="473" spans="1:2" x14ac:dyDescent="0.35">
      <c r="A473">
        <v>9</v>
      </c>
      <c r="B473">
        <v>1.3978794287327725E-4</v>
      </c>
    </row>
    <row r="474" spans="1:2" x14ac:dyDescent="0.35">
      <c r="A474">
        <v>8</v>
      </c>
      <c r="B474">
        <v>2.3509790392323897E-4</v>
      </c>
    </row>
    <row r="475" spans="1:2" x14ac:dyDescent="0.35">
      <c r="A475">
        <v>10</v>
      </c>
      <c r="B475">
        <v>8.2601966243300178E-5</v>
      </c>
    </row>
    <row r="476" spans="1:2" x14ac:dyDescent="0.35">
      <c r="A476">
        <v>9</v>
      </c>
      <c r="B476">
        <v>2.6845639029072561E-4</v>
      </c>
    </row>
    <row r="477" spans="1:2" x14ac:dyDescent="0.35">
      <c r="A477">
        <v>8</v>
      </c>
      <c r="B477">
        <v>4.5431081433815104E-4</v>
      </c>
    </row>
    <row r="478" spans="1:2" x14ac:dyDescent="0.35">
      <c r="A478">
        <v>7</v>
      </c>
      <c r="B478">
        <v>7.6406818775052662E-4</v>
      </c>
    </row>
    <row r="479" spans="1:2" x14ac:dyDescent="0.35">
      <c r="A479">
        <v>9</v>
      </c>
      <c r="B479">
        <v>1.3978794287327722E-4</v>
      </c>
    </row>
    <row r="480" spans="1:2" x14ac:dyDescent="0.35">
      <c r="A480">
        <v>8</v>
      </c>
      <c r="B480">
        <v>4.5431081433815104E-4</v>
      </c>
    </row>
    <row r="481" spans="1:2" x14ac:dyDescent="0.35">
      <c r="A481">
        <v>7</v>
      </c>
      <c r="B481">
        <v>7.6883368580302485E-4</v>
      </c>
    </row>
    <row r="482" spans="1:2" x14ac:dyDescent="0.35">
      <c r="A482">
        <v>6</v>
      </c>
      <c r="B482">
        <v>1.2930384715778144E-3</v>
      </c>
    </row>
    <row r="483" spans="1:2" x14ac:dyDescent="0.35">
      <c r="A483">
        <v>8</v>
      </c>
      <c r="B483">
        <v>2.2238990911657738E-4</v>
      </c>
    </row>
    <row r="484" spans="1:2" x14ac:dyDescent="0.35">
      <c r="A484">
        <v>7</v>
      </c>
      <c r="B484">
        <v>7.2276720462887659E-4</v>
      </c>
    </row>
    <row r="485" spans="1:2" x14ac:dyDescent="0.35">
      <c r="A485">
        <v>6</v>
      </c>
      <c r="B485">
        <v>1.2231445001411757E-3</v>
      </c>
    </row>
    <row r="486" spans="1:2" x14ac:dyDescent="0.35">
      <c r="A486">
        <v>5</v>
      </c>
      <c r="B486">
        <v>2.0571066593283406E-3</v>
      </c>
    </row>
    <row r="487" spans="1:2" x14ac:dyDescent="0.35">
      <c r="A487">
        <v>10</v>
      </c>
      <c r="B487">
        <v>4.3011674730239148E-5</v>
      </c>
    </row>
    <row r="488" spans="1:2" x14ac:dyDescent="0.35">
      <c r="A488">
        <v>9</v>
      </c>
      <c r="B488">
        <v>1.3978794287327722E-4</v>
      </c>
    </row>
    <row r="489" spans="1:2" x14ac:dyDescent="0.35">
      <c r="A489">
        <v>8</v>
      </c>
      <c r="B489">
        <v>2.3656421101631532E-4</v>
      </c>
    </row>
    <row r="490" spans="1:2" x14ac:dyDescent="0.35">
      <c r="A490">
        <v>7</v>
      </c>
      <c r="B490">
        <v>3.978579912547121E-4</v>
      </c>
    </row>
    <row r="491" spans="1:2" x14ac:dyDescent="0.35">
      <c r="A491">
        <v>9</v>
      </c>
      <c r="B491">
        <v>1.3978794287327722E-4</v>
      </c>
    </row>
    <row r="492" spans="1:2" x14ac:dyDescent="0.35">
      <c r="A492">
        <v>8</v>
      </c>
      <c r="B492">
        <v>4.5431081433815104E-4</v>
      </c>
    </row>
    <row r="493" spans="1:2" x14ac:dyDescent="0.35">
      <c r="A493">
        <v>7</v>
      </c>
      <c r="B493">
        <v>7.6883368580302485E-4</v>
      </c>
    </row>
    <row r="494" spans="1:2" x14ac:dyDescent="0.35">
      <c r="A494">
        <v>6</v>
      </c>
      <c r="B494">
        <v>1.2930384715778144E-3</v>
      </c>
    </row>
    <row r="495" spans="1:2" x14ac:dyDescent="0.35">
      <c r="A495">
        <v>8</v>
      </c>
      <c r="B495">
        <v>2.365642110163153E-4</v>
      </c>
    </row>
    <row r="496" spans="1:2" x14ac:dyDescent="0.35">
      <c r="A496">
        <v>7</v>
      </c>
      <c r="B496">
        <v>7.6883368580302474E-4</v>
      </c>
    </row>
    <row r="497" spans="1:2" x14ac:dyDescent="0.35">
      <c r="A497">
        <v>6</v>
      </c>
      <c r="B497">
        <v>1.3011031605897343E-3</v>
      </c>
    </row>
    <row r="498" spans="1:2" x14ac:dyDescent="0.35">
      <c r="A498">
        <v>5</v>
      </c>
      <c r="B498">
        <v>2.1882189519009166E-3</v>
      </c>
    </row>
    <row r="499" spans="1:2" x14ac:dyDescent="0.35">
      <c r="A499">
        <v>7</v>
      </c>
      <c r="B499">
        <v>3.7635215388959252E-4</v>
      </c>
    </row>
    <row r="500" spans="1:2" x14ac:dyDescent="0.35">
      <c r="A500">
        <v>6</v>
      </c>
      <c r="B500">
        <v>1.2231445001411757E-3</v>
      </c>
    </row>
    <row r="501" spans="1:2" x14ac:dyDescent="0.35">
      <c r="A501">
        <v>5</v>
      </c>
      <c r="B501">
        <v>2.0699368463927589E-3</v>
      </c>
    </row>
    <row r="502" spans="1:2" x14ac:dyDescent="0.35">
      <c r="A502">
        <v>4</v>
      </c>
      <c r="B502">
        <v>3.4812574234787306E-3</v>
      </c>
    </row>
    <row r="503" spans="1:2" x14ac:dyDescent="0.35">
      <c r="A503">
        <v>9</v>
      </c>
      <c r="B503">
        <v>6.8427664343562259E-5</v>
      </c>
    </row>
    <row r="504" spans="1:2" x14ac:dyDescent="0.35">
      <c r="A504">
        <v>8</v>
      </c>
      <c r="B504">
        <v>2.2238990911657738E-4</v>
      </c>
    </row>
    <row r="505" spans="1:2" x14ac:dyDescent="0.35">
      <c r="A505">
        <v>7</v>
      </c>
      <c r="B505">
        <v>3.7635215388959252E-4</v>
      </c>
    </row>
    <row r="506" spans="1:2" x14ac:dyDescent="0.35">
      <c r="A506">
        <v>6</v>
      </c>
      <c r="B506">
        <v>6.329558951779509E-4</v>
      </c>
    </row>
    <row r="507" spans="1:2" x14ac:dyDescent="0.35">
      <c r="A507">
        <v>8</v>
      </c>
      <c r="B507">
        <v>2.2238990911657738E-4</v>
      </c>
    </row>
    <row r="508" spans="1:2" x14ac:dyDescent="0.35">
      <c r="A508">
        <v>7</v>
      </c>
      <c r="B508">
        <v>7.2276720462887659E-4</v>
      </c>
    </row>
    <row r="509" spans="1:2" x14ac:dyDescent="0.35">
      <c r="A509">
        <v>6</v>
      </c>
      <c r="B509">
        <v>1.2231445001411757E-3</v>
      </c>
    </row>
    <row r="510" spans="1:2" x14ac:dyDescent="0.35">
      <c r="A510">
        <v>5</v>
      </c>
      <c r="B510">
        <v>2.0571066593283406E-3</v>
      </c>
    </row>
    <row r="511" spans="1:2" x14ac:dyDescent="0.35">
      <c r="A511">
        <v>7</v>
      </c>
      <c r="B511">
        <v>3.7635215388959247E-4</v>
      </c>
    </row>
    <row r="512" spans="1:2" x14ac:dyDescent="0.35">
      <c r="A512">
        <v>6</v>
      </c>
      <c r="B512">
        <v>1.2231445001411757E-3</v>
      </c>
    </row>
    <row r="513" spans="1:2" x14ac:dyDescent="0.35">
      <c r="A513">
        <v>5</v>
      </c>
      <c r="B513">
        <v>2.0699368463927589E-3</v>
      </c>
    </row>
    <row r="514" spans="1:2" x14ac:dyDescent="0.35">
      <c r="A514">
        <v>4</v>
      </c>
      <c r="B514">
        <v>3.4812574234787301E-3</v>
      </c>
    </row>
    <row r="515" spans="1:2" x14ac:dyDescent="0.35">
      <c r="A515">
        <v>6</v>
      </c>
      <c r="B515">
        <v>5.9874206300616971E-4</v>
      </c>
    </row>
    <row r="516" spans="1:2" x14ac:dyDescent="0.35">
      <c r="A516">
        <v>5</v>
      </c>
      <c r="B516">
        <v>1.9459117047700518E-3</v>
      </c>
    </row>
    <row r="517" spans="1:2" x14ac:dyDescent="0.35">
      <c r="A517">
        <v>4</v>
      </c>
      <c r="B517">
        <v>3.2930813465339341E-3</v>
      </c>
    </row>
    <row r="518" spans="1:2" x14ac:dyDescent="0.35">
      <c r="A518">
        <v>3</v>
      </c>
      <c r="B518">
        <v>5.5383640828070698E-3</v>
      </c>
    </row>
    <row r="519" spans="1:2" x14ac:dyDescent="0.35">
      <c r="A519">
        <v>11</v>
      </c>
      <c r="B519">
        <v>1.2441393517011323E-5</v>
      </c>
    </row>
    <row r="520" spans="1:2" x14ac:dyDescent="0.35">
      <c r="A520">
        <v>10</v>
      </c>
      <c r="B520">
        <v>4.0434528930286803E-5</v>
      </c>
    </row>
    <row r="521" spans="1:2" x14ac:dyDescent="0.35">
      <c r="A521">
        <v>9</v>
      </c>
      <c r="B521">
        <v>6.8427664343562286E-5</v>
      </c>
    </row>
    <row r="522" spans="1:2" x14ac:dyDescent="0.35">
      <c r="A522">
        <v>8</v>
      </c>
      <c r="B522">
        <v>1.1508289003235474E-4</v>
      </c>
    </row>
    <row r="523" spans="1:2" x14ac:dyDescent="0.35">
      <c r="A523">
        <v>10</v>
      </c>
      <c r="B523">
        <v>4.0434528930286796E-5</v>
      </c>
    </row>
    <row r="524" spans="1:2" x14ac:dyDescent="0.35">
      <c r="A524">
        <v>9</v>
      </c>
      <c r="B524">
        <v>1.3141221902343212E-4</v>
      </c>
    </row>
    <row r="525" spans="1:2" x14ac:dyDescent="0.35">
      <c r="A525">
        <v>8</v>
      </c>
      <c r="B525">
        <v>2.2238990911657743E-4</v>
      </c>
    </row>
    <row r="526" spans="1:2" x14ac:dyDescent="0.35">
      <c r="A526">
        <v>7</v>
      </c>
      <c r="B526">
        <v>3.7401939260515288E-4</v>
      </c>
    </row>
    <row r="527" spans="1:2" x14ac:dyDescent="0.35">
      <c r="A527">
        <v>9</v>
      </c>
      <c r="B527">
        <v>6.8427664343562273E-5</v>
      </c>
    </row>
    <row r="528" spans="1:2" x14ac:dyDescent="0.35">
      <c r="A528">
        <v>8</v>
      </c>
      <c r="B528">
        <v>2.2238990911657743E-4</v>
      </c>
    </row>
    <row r="529" spans="1:2" x14ac:dyDescent="0.35">
      <c r="A529">
        <v>7</v>
      </c>
      <c r="B529">
        <v>3.7635215388959257E-4</v>
      </c>
    </row>
    <row r="530" spans="1:2" x14ac:dyDescent="0.35">
      <c r="A530">
        <v>6</v>
      </c>
      <c r="B530">
        <v>6.3295589517795101E-4</v>
      </c>
    </row>
    <row r="531" spans="1:2" x14ac:dyDescent="0.35">
      <c r="A531">
        <v>8</v>
      </c>
      <c r="B531">
        <v>1.0886219327384906E-4</v>
      </c>
    </row>
    <row r="532" spans="1:2" x14ac:dyDescent="0.35">
      <c r="A532">
        <v>7</v>
      </c>
      <c r="B532">
        <v>3.5380212814000947E-4</v>
      </c>
    </row>
    <row r="533" spans="1:2" x14ac:dyDescent="0.35">
      <c r="A533">
        <v>6</v>
      </c>
      <c r="B533">
        <v>5.9874206300616992E-4</v>
      </c>
    </row>
    <row r="534" spans="1:2" x14ac:dyDescent="0.35">
      <c r="A534">
        <v>5</v>
      </c>
      <c r="B534">
        <v>1.0069752877831038E-3</v>
      </c>
    </row>
    <row r="535" spans="1:2" x14ac:dyDescent="0.35">
      <c r="A535">
        <v>10</v>
      </c>
      <c r="B535">
        <v>4.0434528930286796E-5</v>
      </c>
    </row>
    <row r="536" spans="1:2" x14ac:dyDescent="0.35">
      <c r="A536">
        <v>9</v>
      </c>
      <c r="B536">
        <v>1.3141221902343212E-4</v>
      </c>
    </row>
    <row r="537" spans="1:2" x14ac:dyDescent="0.35">
      <c r="A537">
        <v>8</v>
      </c>
      <c r="B537">
        <v>2.2238990911657743E-4</v>
      </c>
    </row>
    <row r="538" spans="1:2" x14ac:dyDescent="0.35">
      <c r="A538">
        <v>7</v>
      </c>
      <c r="B538">
        <v>3.7401939260515288E-4</v>
      </c>
    </row>
    <row r="539" spans="1:2" x14ac:dyDescent="0.35">
      <c r="A539">
        <v>9</v>
      </c>
      <c r="B539">
        <v>1.3141221902343212E-4</v>
      </c>
    </row>
    <row r="540" spans="1:2" x14ac:dyDescent="0.35">
      <c r="A540">
        <v>8</v>
      </c>
      <c r="B540">
        <v>4.2708971182615435E-4</v>
      </c>
    </row>
    <row r="541" spans="1:2" x14ac:dyDescent="0.35">
      <c r="A541">
        <v>7</v>
      </c>
      <c r="B541">
        <v>7.2276720462887659E-4</v>
      </c>
    </row>
    <row r="542" spans="1:2" x14ac:dyDescent="0.35">
      <c r="A542">
        <v>6</v>
      </c>
      <c r="B542">
        <v>1.215563025966747E-3</v>
      </c>
    </row>
    <row r="543" spans="1:2" x14ac:dyDescent="0.35">
      <c r="A543">
        <v>8</v>
      </c>
      <c r="B543">
        <v>2.2238990911657738E-4</v>
      </c>
    </row>
    <row r="544" spans="1:2" x14ac:dyDescent="0.35">
      <c r="A544">
        <v>7</v>
      </c>
      <c r="B544">
        <v>7.2276720462887659E-4</v>
      </c>
    </row>
    <row r="545" spans="1:2" x14ac:dyDescent="0.35">
      <c r="A545">
        <v>6</v>
      </c>
      <c r="B545">
        <v>1.2231445001411757E-3</v>
      </c>
    </row>
    <row r="546" spans="1:2" x14ac:dyDescent="0.35">
      <c r="A546">
        <v>5</v>
      </c>
      <c r="B546">
        <v>2.0571066593283406E-3</v>
      </c>
    </row>
    <row r="547" spans="1:2" x14ac:dyDescent="0.35">
      <c r="A547">
        <v>7</v>
      </c>
      <c r="B547">
        <v>3.5380212814000941E-4</v>
      </c>
    </row>
    <row r="548" spans="1:2" x14ac:dyDescent="0.35">
      <c r="A548">
        <v>6</v>
      </c>
      <c r="B548">
        <v>1.1498569164550307E-3</v>
      </c>
    </row>
    <row r="549" spans="1:2" x14ac:dyDescent="0.35">
      <c r="A549">
        <v>5</v>
      </c>
      <c r="B549">
        <v>1.945911704770052E-3</v>
      </c>
    </row>
    <row r="550" spans="1:2" x14ac:dyDescent="0.35">
      <c r="A550">
        <v>4</v>
      </c>
      <c r="B550">
        <v>3.2726696852950869E-3</v>
      </c>
    </row>
    <row r="551" spans="1:2" x14ac:dyDescent="0.35">
      <c r="A551">
        <v>9</v>
      </c>
      <c r="B551">
        <v>6.8427664343562273E-5</v>
      </c>
    </row>
    <row r="552" spans="1:2" x14ac:dyDescent="0.35">
      <c r="A552">
        <v>8</v>
      </c>
      <c r="B552">
        <v>2.2238990911657743E-4</v>
      </c>
    </row>
    <row r="553" spans="1:2" x14ac:dyDescent="0.35">
      <c r="A553">
        <v>7</v>
      </c>
      <c r="B553">
        <v>3.7635215388959257E-4</v>
      </c>
    </row>
    <row r="554" spans="1:2" x14ac:dyDescent="0.35">
      <c r="A554">
        <v>6</v>
      </c>
      <c r="B554">
        <v>6.3295589517795101E-4</v>
      </c>
    </row>
    <row r="555" spans="1:2" x14ac:dyDescent="0.35">
      <c r="A555">
        <v>8</v>
      </c>
      <c r="B555">
        <v>2.2238990911657738E-4</v>
      </c>
    </row>
    <row r="556" spans="1:2" x14ac:dyDescent="0.35">
      <c r="A556">
        <v>7</v>
      </c>
      <c r="B556">
        <v>7.2276720462887659E-4</v>
      </c>
    </row>
    <row r="557" spans="1:2" x14ac:dyDescent="0.35">
      <c r="A557">
        <v>6</v>
      </c>
      <c r="B557">
        <v>1.2231445001411757E-3</v>
      </c>
    </row>
    <row r="558" spans="1:2" x14ac:dyDescent="0.35">
      <c r="A558">
        <v>5</v>
      </c>
      <c r="B558">
        <v>2.0571066593283406E-3</v>
      </c>
    </row>
    <row r="559" spans="1:2" x14ac:dyDescent="0.35">
      <c r="A559">
        <v>7</v>
      </c>
      <c r="B559">
        <v>3.7635215388959252E-4</v>
      </c>
    </row>
    <row r="560" spans="1:2" x14ac:dyDescent="0.35">
      <c r="A560">
        <v>6</v>
      </c>
      <c r="B560">
        <v>1.2231445001411757E-3</v>
      </c>
    </row>
    <row r="561" spans="1:2" x14ac:dyDescent="0.35">
      <c r="A561">
        <v>5</v>
      </c>
      <c r="B561">
        <v>2.0699368463927589E-3</v>
      </c>
    </row>
    <row r="562" spans="1:2" x14ac:dyDescent="0.35">
      <c r="A562">
        <v>4</v>
      </c>
      <c r="B562">
        <v>3.4812574234787306E-3</v>
      </c>
    </row>
    <row r="563" spans="1:2" x14ac:dyDescent="0.35">
      <c r="A563">
        <v>6</v>
      </c>
      <c r="B563">
        <v>5.9874206300616982E-4</v>
      </c>
    </row>
    <row r="564" spans="1:2" x14ac:dyDescent="0.35">
      <c r="A564">
        <v>5</v>
      </c>
      <c r="B564">
        <v>1.9459117047700523E-3</v>
      </c>
    </row>
    <row r="565" spans="1:2" x14ac:dyDescent="0.35">
      <c r="A565">
        <v>4</v>
      </c>
      <c r="B565">
        <v>3.2930813465339346E-3</v>
      </c>
    </row>
    <row r="566" spans="1:2" x14ac:dyDescent="0.35">
      <c r="A566">
        <v>3</v>
      </c>
      <c r="B566">
        <v>5.5383640828070707E-3</v>
      </c>
    </row>
    <row r="567" spans="1:2" x14ac:dyDescent="0.35">
      <c r="A567">
        <v>8</v>
      </c>
      <c r="B567">
        <v>1.0886219327384905E-4</v>
      </c>
    </row>
    <row r="568" spans="1:2" x14ac:dyDescent="0.35">
      <c r="A568">
        <v>7</v>
      </c>
      <c r="B568">
        <v>3.5380212814000941E-4</v>
      </c>
    </row>
    <row r="569" spans="1:2" x14ac:dyDescent="0.35">
      <c r="A569">
        <v>6</v>
      </c>
      <c r="B569">
        <v>5.9874206300616982E-4</v>
      </c>
    </row>
    <row r="570" spans="1:2" x14ac:dyDescent="0.35">
      <c r="A570">
        <v>5</v>
      </c>
      <c r="B570">
        <v>1.0069752877831036E-3</v>
      </c>
    </row>
    <row r="571" spans="1:2" x14ac:dyDescent="0.35">
      <c r="A571">
        <v>7</v>
      </c>
      <c r="B571">
        <v>3.5380212814000941E-4</v>
      </c>
    </row>
    <row r="572" spans="1:2" x14ac:dyDescent="0.35">
      <c r="A572">
        <v>6</v>
      </c>
      <c r="B572">
        <v>1.1498569164550307E-3</v>
      </c>
    </row>
    <row r="573" spans="1:2" x14ac:dyDescent="0.35">
      <c r="A573">
        <v>5</v>
      </c>
      <c r="B573">
        <v>1.945911704770052E-3</v>
      </c>
    </row>
    <row r="574" spans="1:2" x14ac:dyDescent="0.35">
      <c r="A574">
        <v>4</v>
      </c>
      <c r="B574">
        <v>3.2726696852950869E-3</v>
      </c>
    </row>
    <row r="575" spans="1:2" x14ac:dyDescent="0.35">
      <c r="A575">
        <v>6</v>
      </c>
      <c r="B575">
        <v>5.9874206300616971E-4</v>
      </c>
    </row>
    <row r="576" spans="1:2" x14ac:dyDescent="0.35">
      <c r="A576">
        <v>5</v>
      </c>
      <c r="B576">
        <v>1.9459117047700518E-3</v>
      </c>
    </row>
    <row r="577" spans="1:2" x14ac:dyDescent="0.35">
      <c r="A577">
        <v>4</v>
      </c>
      <c r="B577">
        <v>3.2930813465339341E-3</v>
      </c>
    </row>
    <row r="578" spans="1:2" x14ac:dyDescent="0.35">
      <c r="A578">
        <v>3</v>
      </c>
      <c r="B578">
        <v>5.5383640828070698E-3</v>
      </c>
    </row>
    <row r="579" spans="1:2" x14ac:dyDescent="0.35">
      <c r="A579">
        <v>5</v>
      </c>
      <c r="B579">
        <v>9.5254419114617901E-4</v>
      </c>
    </row>
    <row r="580" spans="1:2" x14ac:dyDescent="0.35">
      <c r="A580">
        <v>4</v>
      </c>
      <c r="B580">
        <v>3.0957686212250823E-3</v>
      </c>
    </row>
    <row r="581" spans="1:2" x14ac:dyDescent="0.35">
      <c r="A581">
        <v>3</v>
      </c>
      <c r="B581">
        <v>5.2389930513039853E-3</v>
      </c>
    </row>
    <row r="582" spans="1:2" x14ac:dyDescent="0.35">
      <c r="A582">
        <v>2</v>
      </c>
      <c r="B582">
        <v>8.8110337681021559E-3</v>
      </c>
    </row>
    <row r="583" spans="1:2" x14ac:dyDescent="0.35">
      <c r="A583">
        <v>13</v>
      </c>
      <c r="B583">
        <v>2.4062475373560366E-6</v>
      </c>
    </row>
    <row r="584" spans="1:2" x14ac:dyDescent="0.35">
      <c r="A584">
        <v>12</v>
      </c>
      <c r="B584">
        <v>7.8203044964071193E-6</v>
      </c>
    </row>
    <row r="585" spans="1:2" x14ac:dyDescent="0.35">
      <c r="A585">
        <v>11</v>
      </c>
      <c r="B585">
        <v>1.3234361455458201E-5</v>
      </c>
    </row>
    <row r="586" spans="1:2" x14ac:dyDescent="0.35">
      <c r="A586">
        <v>10</v>
      </c>
      <c r="B586">
        <v>2.2257789720543337E-5</v>
      </c>
    </row>
    <row r="587" spans="1:2" x14ac:dyDescent="0.35">
      <c r="A587">
        <v>12</v>
      </c>
      <c r="B587">
        <v>7.8203044964071193E-6</v>
      </c>
    </row>
    <row r="588" spans="1:2" x14ac:dyDescent="0.35">
      <c r="A588">
        <v>11</v>
      </c>
      <c r="B588">
        <v>2.5415989613323139E-5</v>
      </c>
    </row>
    <row r="589" spans="1:2" x14ac:dyDescent="0.35">
      <c r="A589">
        <v>10</v>
      </c>
      <c r="B589">
        <v>4.3011674730239154E-5</v>
      </c>
    </row>
    <row r="590" spans="1:2" x14ac:dyDescent="0.35">
      <c r="A590">
        <v>9</v>
      </c>
      <c r="B590">
        <v>7.2337816591765841E-5</v>
      </c>
    </row>
    <row r="591" spans="1:2" x14ac:dyDescent="0.35">
      <c r="A591">
        <v>11</v>
      </c>
      <c r="B591">
        <v>1.3234361455458199E-5</v>
      </c>
    </row>
    <row r="592" spans="1:2" x14ac:dyDescent="0.35">
      <c r="A592">
        <v>10</v>
      </c>
      <c r="B592">
        <v>4.3011674730239154E-5</v>
      </c>
    </row>
    <row r="593" spans="1:2" x14ac:dyDescent="0.35">
      <c r="A593">
        <v>9</v>
      </c>
      <c r="B593">
        <v>7.2788988005020104E-5</v>
      </c>
    </row>
    <row r="594" spans="1:2" x14ac:dyDescent="0.35">
      <c r="A594">
        <v>8</v>
      </c>
      <c r="B594">
        <v>1.2241784346298835E-4</v>
      </c>
    </row>
    <row r="595" spans="1:2" x14ac:dyDescent="0.35">
      <c r="A595">
        <v>10</v>
      </c>
      <c r="B595">
        <v>2.1054665951865317E-5</v>
      </c>
    </row>
    <row r="596" spans="1:2" x14ac:dyDescent="0.35">
      <c r="A596">
        <v>9</v>
      </c>
      <c r="B596">
        <v>6.8427664343562286E-5</v>
      </c>
    </row>
    <row r="597" spans="1:2" x14ac:dyDescent="0.35">
      <c r="A597">
        <v>8</v>
      </c>
      <c r="B597">
        <v>1.1580066273525926E-4</v>
      </c>
    </row>
    <row r="598" spans="1:2" x14ac:dyDescent="0.35">
      <c r="A598">
        <v>7</v>
      </c>
      <c r="B598">
        <v>1.9475566005475417E-4</v>
      </c>
    </row>
    <row r="599" spans="1:2" x14ac:dyDescent="0.35">
      <c r="A599">
        <v>12</v>
      </c>
      <c r="B599">
        <v>7.8203044964071193E-6</v>
      </c>
    </row>
    <row r="600" spans="1:2" x14ac:dyDescent="0.35">
      <c r="A600">
        <v>11</v>
      </c>
      <c r="B600">
        <v>2.5415989613323139E-5</v>
      </c>
    </row>
    <row r="601" spans="1:2" x14ac:dyDescent="0.35">
      <c r="A601">
        <v>10</v>
      </c>
      <c r="B601">
        <v>4.3011674730239154E-5</v>
      </c>
    </row>
    <row r="602" spans="1:2" x14ac:dyDescent="0.35">
      <c r="A602">
        <v>9</v>
      </c>
      <c r="B602">
        <v>7.2337816591765841E-5</v>
      </c>
    </row>
    <row r="603" spans="1:2" x14ac:dyDescent="0.35">
      <c r="A603">
        <v>11</v>
      </c>
      <c r="B603">
        <v>2.5415989613323132E-5</v>
      </c>
    </row>
    <row r="604" spans="1:2" x14ac:dyDescent="0.35">
      <c r="A604">
        <v>10</v>
      </c>
      <c r="B604">
        <v>8.2601966243300192E-5</v>
      </c>
    </row>
    <row r="605" spans="1:2" x14ac:dyDescent="0.35">
      <c r="A605">
        <v>9</v>
      </c>
      <c r="B605">
        <v>1.3978794287327725E-4</v>
      </c>
    </row>
    <row r="606" spans="1:2" x14ac:dyDescent="0.35">
      <c r="A606">
        <v>8</v>
      </c>
      <c r="B606">
        <v>2.3509790392323897E-4</v>
      </c>
    </row>
    <row r="607" spans="1:2" x14ac:dyDescent="0.35">
      <c r="A607">
        <v>10</v>
      </c>
      <c r="B607">
        <v>4.3011674730239154E-5</v>
      </c>
    </row>
    <row r="608" spans="1:2" x14ac:dyDescent="0.35">
      <c r="A608">
        <v>9</v>
      </c>
      <c r="B608">
        <v>1.3978794287327725E-4</v>
      </c>
    </row>
    <row r="609" spans="1:2" x14ac:dyDescent="0.35">
      <c r="A609">
        <v>8</v>
      </c>
      <c r="B609">
        <v>2.3656421101631535E-4</v>
      </c>
    </row>
    <row r="610" spans="1:2" x14ac:dyDescent="0.35">
      <c r="A610">
        <v>7</v>
      </c>
      <c r="B610">
        <v>3.9785799125471215E-4</v>
      </c>
    </row>
    <row r="611" spans="1:2" x14ac:dyDescent="0.35">
      <c r="A611">
        <v>9</v>
      </c>
      <c r="B611">
        <v>6.8427664343562273E-5</v>
      </c>
    </row>
    <row r="612" spans="1:2" x14ac:dyDescent="0.35">
      <c r="A612">
        <v>8</v>
      </c>
      <c r="B612">
        <v>2.2238990911657743E-4</v>
      </c>
    </row>
    <row r="613" spans="1:2" x14ac:dyDescent="0.35">
      <c r="A613">
        <v>7</v>
      </c>
      <c r="B613">
        <v>3.7635215388959257E-4</v>
      </c>
    </row>
    <row r="614" spans="1:2" x14ac:dyDescent="0.35">
      <c r="A614">
        <v>6</v>
      </c>
      <c r="B614">
        <v>6.3295589517795101E-4</v>
      </c>
    </row>
    <row r="615" spans="1:2" x14ac:dyDescent="0.35">
      <c r="A615">
        <v>11</v>
      </c>
      <c r="B615">
        <v>1.3234361455458199E-5</v>
      </c>
    </row>
    <row r="616" spans="1:2" x14ac:dyDescent="0.35">
      <c r="A616">
        <v>10</v>
      </c>
      <c r="B616">
        <v>4.3011674730239154E-5</v>
      </c>
    </row>
    <row r="617" spans="1:2" x14ac:dyDescent="0.35">
      <c r="A617">
        <v>9</v>
      </c>
      <c r="B617">
        <v>7.2788988005020104E-5</v>
      </c>
    </row>
    <row r="618" spans="1:2" x14ac:dyDescent="0.35">
      <c r="A618">
        <v>8</v>
      </c>
      <c r="B618">
        <v>1.2241784346298835E-4</v>
      </c>
    </row>
    <row r="619" spans="1:2" x14ac:dyDescent="0.35">
      <c r="A619">
        <v>10</v>
      </c>
      <c r="B619">
        <v>4.3011674730239154E-5</v>
      </c>
    </row>
    <row r="620" spans="1:2" x14ac:dyDescent="0.35">
      <c r="A620">
        <v>9</v>
      </c>
      <c r="B620">
        <v>1.3978794287327725E-4</v>
      </c>
    </row>
    <row r="621" spans="1:2" x14ac:dyDescent="0.35">
      <c r="A621">
        <v>8</v>
      </c>
      <c r="B621">
        <v>2.3656421101631535E-4</v>
      </c>
    </row>
    <row r="622" spans="1:2" x14ac:dyDescent="0.35">
      <c r="A622">
        <v>7</v>
      </c>
      <c r="B622">
        <v>3.9785799125471215E-4</v>
      </c>
    </row>
    <row r="623" spans="1:2" x14ac:dyDescent="0.35">
      <c r="A623">
        <v>9</v>
      </c>
      <c r="B623">
        <v>7.2788988005020104E-5</v>
      </c>
    </row>
    <row r="624" spans="1:2" x14ac:dyDescent="0.35">
      <c r="A624">
        <v>8</v>
      </c>
      <c r="B624">
        <v>2.3656421101631535E-4</v>
      </c>
    </row>
    <row r="625" spans="1:2" x14ac:dyDescent="0.35">
      <c r="A625">
        <v>7</v>
      </c>
      <c r="B625">
        <v>4.0033943402761055E-4</v>
      </c>
    </row>
    <row r="626" spans="1:2" x14ac:dyDescent="0.35">
      <c r="A626">
        <v>6</v>
      </c>
      <c r="B626">
        <v>6.7329813904643584E-4</v>
      </c>
    </row>
    <row r="627" spans="1:2" x14ac:dyDescent="0.35">
      <c r="A627">
        <v>8</v>
      </c>
      <c r="B627">
        <v>1.1580066273525925E-4</v>
      </c>
    </row>
    <row r="628" spans="1:2" x14ac:dyDescent="0.35">
      <c r="A628">
        <v>7</v>
      </c>
      <c r="B628">
        <v>3.7635215388959257E-4</v>
      </c>
    </row>
    <row r="629" spans="1:2" x14ac:dyDescent="0.35">
      <c r="A629">
        <v>6</v>
      </c>
      <c r="B629">
        <v>6.369036450439259E-4</v>
      </c>
    </row>
    <row r="630" spans="1:2" x14ac:dyDescent="0.35">
      <c r="A630">
        <v>5</v>
      </c>
      <c r="B630">
        <v>1.0711561303011479E-3</v>
      </c>
    </row>
    <row r="631" spans="1:2" x14ac:dyDescent="0.35">
      <c r="A631">
        <v>10</v>
      </c>
      <c r="B631">
        <v>2.1054665951865317E-5</v>
      </c>
    </row>
    <row r="632" spans="1:2" x14ac:dyDescent="0.35">
      <c r="A632">
        <v>9</v>
      </c>
      <c r="B632">
        <v>6.8427664343562286E-5</v>
      </c>
    </row>
    <row r="633" spans="1:2" x14ac:dyDescent="0.35">
      <c r="A633">
        <v>8</v>
      </c>
      <c r="B633">
        <v>1.1580066273525926E-4</v>
      </c>
    </row>
    <row r="634" spans="1:2" x14ac:dyDescent="0.35">
      <c r="A634">
        <v>7</v>
      </c>
      <c r="B634">
        <v>1.9475566005475417E-4</v>
      </c>
    </row>
    <row r="635" spans="1:2" x14ac:dyDescent="0.35">
      <c r="A635">
        <v>9</v>
      </c>
      <c r="B635">
        <v>6.8427664343562273E-5</v>
      </c>
    </row>
    <row r="636" spans="1:2" x14ac:dyDescent="0.35">
      <c r="A636">
        <v>8</v>
      </c>
      <c r="B636">
        <v>2.2238990911657743E-4</v>
      </c>
    </row>
    <row r="637" spans="1:2" x14ac:dyDescent="0.35">
      <c r="A637">
        <v>7</v>
      </c>
      <c r="B637">
        <v>3.7635215388959257E-4</v>
      </c>
    </row>
    <row r="638" spans="1:2" x14ac:dyDescent="0.35">
      <c r="A638">
        <v>6</v>
      </c>
      <c r="B638">
        <v>6.3295589517795101E-4</v>
      </c>
    </row>
    <row r="639" spans="1:2" x14ac:dyDescent="0.35">
      <c r="A639">
        <v>8</v>
      </c>
      <c r="B639">
        <v>1.1580066273525925E-4</v>
      </c>
    </row>
    <row r="640" spans="1:2" x14ac:dyDescent="0.35">
      <c r="A640">
        <v>7</v>
      </c>
      <c r="B640">
        <v>3.7635215388959257E-4</v>
      </c>
    </row>
    <row r="641" spans="1:2" x14ac:dyDescent="0.35">
      <c r="A641">
        <v>6</v>
      </c>
      <c r="B641">
        <v>6.369036450439259E-4</v>
      </c>
    </row>
    <row r="642" spans="1:2" x14ac:dyDescent="0.35">
      <c r="A642">
        <v>5</v>
      </c>
      <c r="B642">
        <v>1.0711561303011479E-3</v>
      </c>
    </row>
    <row r="643" spans="1:2" x14ac:dyDescent="0.35">
      <c r="A643">
        <v>7</v>
      </c>
      <c r="B643">
        <v>1.8422832707882148E-4</v>
      </c>
    </row>
    <row r="644" spans="1:2" x14ac:dyDescent="0.35">
      <c r="A644">
        <v>6</v>
      </c>
      <c r="B644">
        <v>5.9874206300616992E-4</v>
      </c>
    </row>
    <row r="645" spans="1:2" x14ac:dyDescent="0.35">
      <c r="A645">
        <v>5</v>
      </c>
      <c r="B645">
        <v>1.0132557989335183E-3</v>
      </c>
    </row>
    <row r="646" spans="1:2" x14ac:dyDescent="0.35">
      <c r="A646">
        <v>4</v>
      </c>
      <c r="B646">
        <v>1.7041120254790987E-3</v>
      </c>
    </row>
    <row r="647" spans="1:2" x14ac:dyDescent="0.35">
      <c r="A647">
        <v>12</v>
      </c>
      <c r="B647">
        <v>7.8203044964071193E-6</v>
      </c>
    </row>
    <row r="648" spans="1:2" x14ac:dyDescent="0.35">
      <c r="A648">
        <v>11</v>
      </c>
      <c r="B648">
        <v>2.5415989613323139E-5</v>
      </c>
    </row>
    <row r="649" spans="1:2" x14ac:dyDescent="0.35">
      <c r="A649">
        <v>10</v>
      </c>
      <c r="B649">
        <v>4.3011674730239154E-5</v>
      </c>
    </row>
    <row r="650" spans="1:2" x14ac:dyDescent="0.35">
      <c r="A650">
        <v>9</v>
      </c>
      <c r="B650">
        <v>7.2337816591765841E-5</v>
      </c>
    </row>
    <row r="651" spans="1:2" x14ac:dyDescent="0.35">
      <c r="A651">
        <v>11</v>
      </c>
      <c r="B651">
        <v>2.5415989613323132E-5</v>
      </c>
    </row>
    <row r="652" spans="1:2" x14ac:dyDescent="0.35">
      <c r="A652">
        <v>10</v>
      </c>
      <c r="B652">
        <v>8.2601966243300192E-5</v>
      </c>
    </row>
    <row r="653" spans="1:2" x14ac:dyDescent="0.35">
      <c r="A653">
        <v>9</v>
      </c>
      <c r="B653">
        <v>1.3978794287327725E-4</v>
      </c>
    </row>
    <row r="654" spans="1:2" x14ac:dyDescent="0.35">
      <c r="A654">
        <v>8</v>
      </c>
      <c r="B654">
        <v>2.3509790392323897E-4</v>
      </c>
    </row>
    <row r="655" spans="1:2" x14ac:dyDescent="0.35">
      <c r="A655">
        <v>10</v>
      </c>
      <c r="B655">
        <v>4.3011674730239154E-5</v>
      </c>
    </row>
    <row r="656" spans="1:2" x14ac:dyDescent="0.35">
      <c r="A656">
        <v>9</v>
      </c>
      <c r="B656">
        <v>1.3978794287327725E-4</v>
      </c>
    </row>
    <row r="657" spans="1:2" x14ac:dyDescent="0.35">
      <c r="A657">
        <v>8</v>
      </c>
      <c r="B657">
        <v>2.3656421101631535E-4</v>
      </c>
    </row>
    <row r="658" spans="1:2" x14ac:dyDescent="0.35">
      <c r="A658">
        <v>7</v>
      </c>
      <c r="B658">
        <v>3.9785799125471215E-4</v>
      </c>
    </row>
    <row r="659" spans="1:2" x14ac:dyDescent="0.35">
      <c r="A659">
        <v>9</v>
      </c>
      <c r="B659">
        <v>6.8427664343562273E-5</v>
      </c>
    </row>
    <row r="660" spans="1:2" x14ac:dyDescent="0.35">
      <c r="A660">
        <v>8</v>
      </c>
      <c r="B660">
        <v>2.2238990911657743E-4</v>
      </c>
    </row>
    <row r="661" spans="1:2" x14ac:dyDescent="0.35">
      <c r="A661">
        <v>7</v>
      </c>
      <c r="B661">
        <v>3.7635215388959257E-4</v>
      </c>
    </row>
    <row r="662" spans="1:2" x14ac:dyDescent="0.35">
      <c r="A662">
        <v>6</v>
      </c>
      <c r="B662">
        <v>6.3295589517795101E-4</v>
      </c>
    </row>
    <row r="663" spans="1:2" x14ac:dyDescent="0.35">
      <c r="A663">
        <v>11</v>
      </c>
      <c r="B663">
        <v>2.5415989613323132E-5</v>
      </c>
    </row>
    <row r="664" spans="1:2" x14ac:dyDescent="0.35">
      <c r="A664">
        <v>10</v>
      </c>
      <c r="B664">
        <v>8.2601966243300192E-5</v>
      </c>
    </row>
    <row r="665" spans="1:2" x14ac:dyDescent="0.35">
      <c r="A665">
        <v>9</v>
      </c>
      <c r="B665">
        <v>1.3978794287327725E-4</v>
      </c>
    </row>
    <row r="666" spans="1:2" x14ac:dyDescent="0.35">
      <c r="A666">
        <v>8</v>
      </c>
      <c r="B666">
        <v>2.3509790392323897E-4</v>
      </c>
    </row>
    <row r="667" spans="1:2" x14ac:dyDescent="0.35">
      <c r="A667">
        <v>10</v>
      </c>
      <c r="B667">
        <v>8.2601966243300178E-5</v>
      </c>
    </row>
    <row r="668" spans="1:2" x14ac:dyDescent="0.35">
      <c r="A668">
        <v>9</v>
      </c>
      <c r="B668">
        <v>2.6845639029072561E-4</v>
      </c>
    </row>
    <row r="669" spans="1:2" x14ac:dyDescent="0.35">
      <c r="A669">
        <v>8</v>
      </c>
      <c r="B669">
        <v>4.5431081433815104E-4</v>
      </c>
    </row>
    <row r="670" spans="1:2" x14ac:dyDescent="0.35">
      <c r="A670">
        <v>7</v>
      </c>
      <c r="B670">
        <v>7.6406818775052662E-4</v>
      </c>
    </row>
    <row r="671" spans="1:2" x14ac:dyDescent="0.35">
      <c r="A671">
        <v>9</v>
      </c>
      <c r="B671">
        <v>1.3978794287327722E-4</v>
      </c>
    </row>
    <row r="672" spans="1:2" x14ac:dyDescent="0.35">
      <c r="A672">
        <v>8</v>
      </c>
      <c r="B672">
        <v>4.5431081433815104E-4</v>
      </c>
    </row>
    <row r="673" spans="1:2" x14ac:dyDescent="0.35">
      <c r="A673">
        <v>7</v>
      </c>
      <c r="B673">
        <v>7.6883368580302485E-4</v>
      </c>
    </row>
    <row r="674" spans="1:2" x14ac:dyDescent="0.35">
      <c r="A674">
        <v>6</v>
      </c>
      <c r="B674">
        <v>1.2930384715778144E-3</v>
      </c>
    </row>
    <row r="675" spans="1:2" x14ac:dyDescent="0.35">
      <c r="A675">
        <v>8</v>
      </c>
      <c r="B675">
        <v>2.2238990911657738E-4</v>
      </c>
    </row>
    <row r="676" spans="1:2" x14ac:dyDescent="0.35">
      <c r="A676">
        <v>7</v>
      </c>
      <c r="B676">
        <v>7.2276720462887659E-4</v>
      </c>
    </row>
    <row r="677" spans="1:2" x14ac:dyDescent="0.35">
      <c r="A677">
        <v>6</v>
      </c>
      <c r="B677">
        <v>1.2231445001411757E-3</v>
      </c>
    </row>
    <row r="678" spans="1:2" x14ac:dyDescent="0.35">
      <c r="A678">
        <v>5</v>
      </c>
      <c r="B678">
        <v>2.0571066593283406E-3</v>
      </c>
    </row>
    <row r="679" spans="1:2" x14ac:dyDescent="0.35">
      <c r="A679">
        <v>10</v>
      </c>
      <c r="B679">
        <v>4.3011674730239148E-5</v>
      </c>
    </row>
    <row r="680" spans="1:2" x14ac:dyDescent="0.35">
      <c r="A680">
        <v>9</v>
      </c>
      <c r="B680">
        <v>1.3978794287327722E-4</v>
      </c>
    </row>
    <row r="681" spans="1:2" x14ac:dyDescent="0.35">
      <c r="A681">
        <v>8</v>
      </c>
      <c r="B681">
        <v>2.3656421101631532E-4</v>
      </c>
    </row>
    <row r="682" spans="1:2" x14ac:dyDescent="0.35">
      <c r="A682">
        <v>7</v>
      </c>
      <c r="B682">
        <v>3.978579912547121E-4</v>
      </c>
    </row>
    <row r="683" spans="1:2" x14ac:dyDescent="0.35">
      <c r="A683">
        <v>9</v>
      </c>
      <c r="B683">
        <v>1.3978794287327722E-4</v>
      </c>
    </row>
    <row r="684" spans="1:2" x14ac:dyDescent="0.35">
      <c r="A684">
        <v>8</v>
      </c>
      <c r="B684">
        <v>4.5431081433815104E-4</v>
      </c>
    </row>
    <row r="685" spans="1:2" x14ac:dyDescent="0.35">
      <c r="A685">
        <v>7</v>
      </c>
      <c r="B685">
        <v>7.6883368580302485E-4</v>
      </c>
    </row>
    <row r="686" spans="1:2" x14ac:dyDescent="0.35">
      <c r="A686">
        <v>6</v>
      </c>
      <c r="B686">
        <v>1.2930384715778144E-3</v>
      </c>
    </row>
    <row r="687" spans="1:2" x14ac:dyDescent="0.35">
      <c r="A687">
        <v>8</v>
      </c>
      <c r="B687">
        <v>2.365642110163153E-4</v>
      </c>
    </row>
    <row r="688" spans="1:2" x14ac:dyDescent="0.35">
      <c r="A688">
        <v>7</v>
      </c>
      <c r="B688">
        <v>7.6883368580302474E-4</v>
      </c>
    </row>
    <row r="689" spans="1:2" x14ac:dyDescent="0.35">
      <c r="A689">
        <v>6</v>
      </c>
      <c r="B689">
        <v>1.3011031605897343E-3</v>
      </c>
    </row>
    <row r="690" spans="1:2" x14ac:dyDescent="0.35">
      <c r="A690">
        <v>5</v>
      </c>
      <c r="B690">
        <v>2.1882189519009166E-3</v>
      </c>
    </row>
    <row r="691" spans="1:2" x14ac:dyDescent="0.35">
      <c r="A691">
        <v>7</v>
      </c>
      <c r="B691">
        <v>3.7635215388959252E-4</v>
      </c>
    </row>
    <row r="692" spans="1:2" x14ac:dyDescent="0.35">
      <c r="A692">
        <v>6</v>
      </c>
      <c r="B692">
        <v>1.2231445001411757E-3</v>
      </c>
    </row>
    <row r="693" spans="1:2" x14ac:dyDescent="0.35">
      <c r="A693">
        <v>5</v>
      </c>
      <c r="B693">
        <v>2.0699368463927589E-3</v>
      </c>
    </row>
    <row r="694" spans="1:2" x14ac:dyDescent="0.35">
      <c r="A694">
        <v>4</v>
      </c>
      <c r="B694">
        <v>3.4812574234787306E-3</v>
      </c>
    </row>
    <row r="695" spans="1:2" x14ac:dyDescent="0.35">
      <c r="A695">
        <v>9</v>
      </c>
      <c r="B695">
        <v>6.8427664343562259E-5</v>
      </c>
    </row>
    <row r="696" spans="1:2" x14ac:dyDescent="0.35">
      <c r="A696">
        <v>8</v>
      </c>
      <c r="B696">
        <v>2.2238990911657738E-4</v>
      </c>
    </row>
    <row r="697" spans="1:2" x14ac:dyDescent="0.35">
      <c r="A697">
        <v>7</v>
      </c>
      <c r="B697">
        <v>3.7635215388959252E-4</v>
      </c>
    </row>
    <row r="698" spans="1:2" x14ac:dyDescent="0.35">
      <c r="A698">
        <v>6</v>
      </c>
      <c r="B698">
        <v>6.329558951779509E-4</v>
      </c>
    </row>
    <row r="699" spans="1:2" x14ac:dyDescent="0.35">
      <c r="A699">
        <v>8</v>
      </c>
      <c r="B699">
        <v>2.2238990911657738E-4</v>
      </c>
    </row>
    <row r="700" spans="1:2" x14ac:dyDescent="0.35">
      <c r="A700">
        <v>7</v>
      </c>
      <c r="B700">
        <v>7.2276720462887659E-4</v>
      </c>
    </row>
    <row r="701" spans="1:2" x14ac:dyDescent="0.35">
      <c r="A701">
        <v>6</v>
      </c>
      <c r="B701">
        <v>1.2231445001411757E-3</v>
      </c>
    </row>
    <row r="702" spans="1:2" x14ac:dyDescent="0.35">
      <c r="A702">
        <v>5</v>
      </c>
      <c r="B702">
        <v>2.0571066593283406E-3</v>
      </c>
    </row>
    <row r="703" spans="1:2" x14ac:dyDescent="0.35">
      <c r="A703">
        <v>7</v>
      </c>
      <c r="B703">
        <v>3.7635215388959247E-4</v>
      </c>
    </row>
    <row r="704" spans="1:2" x14ac:dyDescent="0.35">
      <c r="A704">
        <v>6</v>
      </c>
      <c r="B704">
        <v>1.2231445001411757E-3</v>
      </c>
    </row>
    <row r="705" spans="1:2" x14ac:dyDescent="0.35">
      <c r="A705">
        <v>5</v>
      </c>
      <c r="B705">
        <v>2.0699368463927589E-3</v>
      </c>
    </row>
    <row r="706" spans="1:2" x14ac:dyDescent="0.35">
      <c r="A706">
        <v>4</v>
      </c>
      <c r="B706">
        <v>3.4812574234787301E-3</v>
      </c>
    </row>
    <row r="707" spans="1:2" x14ac:dyDescent="0.35">
      <c r="A707">
        <v>6</v>
      </c>
      <c r="B707">
        <v>5.9874206300616971E-4</v>
      </c>
    </row>
    <row r="708" spans="1:2" x14ac:dyDescent="0.35">
      <c r="A708">
        <v>5</v>
      </c>
      <c r="B708">
        <v>1.9459117047700518E-3</v>
      </c>
    </row>
    <row r="709" spans="1:2" x14ac:dyDescent="0.35">
      <c r="A709">
        <v>4</v>
      </c>
      <c r="B709">
        <v>3.2930813465339341E-3</v>
      </c>
    </row>
    <row r="710" spans="1:2" x14ac:dyDescent="0.35">
      <c r="A710">
        <v>3</v>
      </c>
      <c r="B710">
        <v>5.5383640828070698E-3</v>
      </c>
    </row>
    <row r="711" spans="1:2" x14ac:dyDescent="0.35">
      <c r="A711">
        <v>11</v>
      </c>
      <c r="B711">
        <v>1.3234361455458199E-5</v>
      </c>
    </row>
    <row r="712" spans="1:2" x14ac:dyDescent="0.35">
      <c r="A712">
        <v>10</v>
      </c>
      <c r="B712">
        <v>4.3011674730239154E-5</v>
      </c>
    </row>
    <row r="713" spans="1:2" x14ac:dyDescent="0.35">
      <c r="A713">
        <v>9</v>
      </c>
      <c r="B713">
        <v>7.2788988005020104E-5</v>
      </c>
    </row>
    <row r="714" spans="1:2" x14ac:dyDescent="0.35">
      <c r="A714">
        <v>8</v>
      </c>
      <c r="B714">
        <v>1.2241784346298835E-4</v>
      </c>
    </row>
    <row r="715" spans="1:2" x14ac:dyDescent="0.35">
      <c r="A715">
        <v>10</v>
      </c>
      <c r="B715">
        <v>4.3011674730239154E-5</v>
      </c>
    </row>
    <row r="716" spans="1:2" x14ac:dyDescent="0.35">
      <c r="A716">
        <v>9</v>
      </c>
      <c r="B716">
        <v>1.3978794287327725E-4</v>
      </c>
    </row>
    <row r="717" spans="1:2" x14ac:dyDescent="0.35">
      <c r="A717">
        <v>8</v>
      </c>
      <c r="B717">
        <v>2.3656421101631535E-4</v>
      </c>
    </row>
    <row r="718" spans="1:2" x14ac:dyDescent="0.35">
      <c r="A718">
        <v>7</v>
      </c>
      <c r="B718">
        <v>3.9785799125471215E-4</v>
      </c>
    </row>
    <row r="719" spans="1:2" x14ac:dyDescent="0.35">
      <c r="A719">
        <v>9</v>
      </c>
      <c r="B719">
        <v>7.2788988005020104E-5</v>
      </c>
    </row>
    <row r="720" spans="1:2" x14ac:dyDescent="0.35">
      <c r="A720">
        <v>8</v>
      </c>
      <c r="B720">
        <v>2.3656421101631535E-4</v>
      </c>
    </row>
    <row r="721" spans="1:2" x14ac:dyDescent="0.35">
      <c r="A721">
        <v>7</v>
      </c>
      <c r="B721">
        <v>4.0033943402761055E-4</v>
      </c>
    </row>
    <row r="722" spans="1:2" x14ac:dyDescent="0.35">
      <c r="A722">
        <v>6</v>
      </c>
      <c r="B722">
        <v>6.7329813904643584E-4</v>
      </c>
    </row>
    <row r="723" spans="1:2" x14ac:dyDescent="0.35">
      <c r="A723">
        <v>8</v>
      </c>
      <c r="B723">
        <v>1.1580066273525925E-4</v>
      </c>
    </row>
    <row r="724" spans="1:2" x14ac:dyDescent="0.35">
      <c r="A724">
        <v>7</v>
      </c>
      <c r="B724">
        <v>3.7635215388959257E-4</v>
      </c>
    </row>
    <row r="725" spans="1:2" x14ac:dyDescent="0.35">
      <c r="A725">
        <v>6</v>
      </c>
      <c r="B725">
        <v>6.369036450439259E-4</v>
      </c>
    </row>
    <row r="726" spans="1:2" x14ac:dyDescent="0.35">
      <c r="A726">
        <v>5</v>
      </c>
      <c r="B726">
        <v>1.0711561303011479E-3</v>
      </c>
    </row>
    <row r="727" spans="1:2" x14ac:dyDescent="0.35">
      <c r="A727">
        <v>10</v>
      </c>
      <c r="B727">
        <v>4.3011674730239148E-5</v>
      </c>
    </row>
    <row r="728" spans="1:2" x14ac:dyDescent="0.35">
      <c r="A728">
        <v>9</v>
      </c>
      <c r="B728">
        <v>1.3978794287327722E-4</v>
      </c>
    </row>
    <row r="729" spans="1:2" x14ac:dyDescent="0.35">
      <c r="A729">
        <v>8</v>
      </c>
      <c r="B729">
        <v>2.3656421101631532E-4</v>
      </c>
    </row>
    <row r="730" spans="1:2" x14ac:dyDescent="0.35">
      <c r="A730">
        <v>7</v>
      </c>
      <c r="B730">
        <v>3.978579912547121E-4</v>
      </c>
    </row>
    <row r="731" spans="1:2" x14ac:dyDescent="0.35">
      <c r="A731">
        <v>9</v>
      </c>
      <c r="B731">
        <v>1.3978794287327722E-4</v>
      </c>
    </row>
    <row r="732" spans="1:2" x14ac:dyDescent="0.35">
      <c r="A732">
        <v>8</v>
      </c>
      <c r="B732">
        <v>4.5431081433815104E-4</v>
      </c>
    </row>
    <row r="733" spans="1:2" x14ac:dyDescent="0.35">
      <c r="A733">
        <v>7</v>
      </c>
      <c r="B733">
        <v>7.6883368580302485E-4</v>
      </c>
    </row>
    <row r="734" spans="1:2" x14ac:dyDescent="0.35">
      <c r="A734">
        <v>6</v>
      </c>
      <c r="B734">
        <v>1.2930384715778144E-3</v>
      </c>
    </row>
    <row r="735" spans="1:2" x14ac:dyDescent="0.35">
      <c r="A735">
        <v>8</v>
      </c>
      <c r="B735">
        <v>2.365642110163153E-4</v>
      </c>
    </row>
    <row r="736" spans="1:2" x14ac:dyDescent="0.35">
      <c r="A736">
        <v>7</v>
      </c>
      <c r="B736">
        <v>7.6883368580302474E-4</v>
      </c>
    </row>
    <row r="737" spans="1:2" x14ac:dyDescent="0.35">
      <c r="A737">
        <v>6</v>
      </c>
      <c r="B737">
        <v>1.3011031605897343E-3</v>
      </c>
    </row>
    <row r="738" spans="1:2" x14ac:dyDescent="0.35">
      <c r="A738">
        <v>5</v>
      </c>
      <c r="B738">
        <v>2.1882189519009166E-3</v>
      </c>
    </row>
    <row r="739" spans="1:2" x14ac:dyDescent="0.35">
      <c r="A739">
        <v>7</v>
      </c>
      <c r="B739">
        <v>3.7635215388959252E-4</v>
      </c>
    </row>
    <row r="740" spans="1:2" x14ac:dyDescent="0.35">
      <c r="A740">
        <v>6</v>
      </c>
      <c r="B740">
        <v>1.2231445001411757E-3</v>
      </c>
    </row>
    <row r="741" spans="1:2" x14ac:dyDescent="0.35">
      <c r="A741">
        <v>5</v>
      </c>
      <c r="B741">
        <v>2.0699368463927589E-3</v>
      </c>
    </row>
    <row r="742" spans="1:2" x14ac:dyDescent="0.35">
      <c r="A742">
        <v>4</v>
      </c>
      <c r="B742">
        <v>3.4812574234787306E-3</v>
      </c>
    </row>
    <row r="743" spans="1:2" x14ac:dyDescent="0.35">
      <c r="A743">
        <v>9</v>
      </c>
      <c r="B743">
        <v>7.2788988005020104E-5</v>
      </c>
    </row>
    <row r="744" spans="1:2" x14ac:dyDescent="0.35">
      <c r="A744">
        <v>8</v>
      </c>
      <c r="B744">
        <v>2.3656421101631535E-4</v>
      </c>
    </row>
    <row r="745" spans="1:2" x14ac:dyDescent="0.35">
      <c r="A745">
        <v>7</v>
      </c>
      <c r="B745">
        <v>4.0033943402761055E-4</v>
      </c>
    </row>
    <row r="746" spans="1:2" x14ac:dyDescent="0.35">
      <c r="A746">
        <v>6</v>
      </c>
      <c r="B746">
        <v>6.7329813904643584E-4</v>
      </c>
    </row>
    <row r="747" spans="1:2" x14ac:dyDescent="0.35">
      <c r="A747">
        <v>8</v>
      </c>
      <c r="B747">
        <v>2.365642110163153E-4</v>
      </c>
    </row>
    <row r="748" spans="1:2" x14ac:dyDescent="0.35">
      <c r="A748">
        <v>7</v>
      </c>
      <c r="B748">
        <v>7.6883368580302474E-4</v>
      </c>
    </row>
    <row r="749" spans="1:2" x14ac:dyDescent="0.35">
      <c r="A749">
        <v>6</v>
      </c>
      <c r="B749">
        <v>1.3011031605897343E-3</v>
      </c>
    </row>
    <row r="750" spans="1:2" x14ac:dyDescent="0.35">
      <c r="A750">
        <v>5</v>
      </c>
      <c r="B750">
        <v>2.1882189519009166E-3</v>
      </c>
    </row>
    <row r="751" spans="1:2" x14ac:dyDescent="0.35">
      <c r="A751">
        <v>7</v>
      </c>
      <c r="B751">
        <v>4.0033943402761055E-4</v>
      </c>
    </row>
    <row r="752" spans="1:2" x14ac:dyDescent="0.35">
      <c r="A752">
        <v>6</v>
      </c>
      <c r="B752">
        <v>1.3011031605897343E-3</v>
      </c>
    </row>
    <row r="753" spans="1:2" x14ac:dyDescent="0.35">
      <c r="A753">
        <v>5</v>
      </c>
      <c r="B753">
        <v>2.2018668871518583E-3</v>
      </c>
    </row>
    <row r="754" spans="1:2" x14ac:dyDescent="0.35">
      <c r="A754">
        <v>4</v>
      </c>
      <c r="B754">
        <v>3.7031397647553973E-3</v>
      </c>
    </row>
    <row r="755" spans="1:2" x14ac:dyDescent="0.35">
      <c r="A755">
        <v>6</v>
      </c>
      <c r="B755">
        <v>6.369036450439258E-4</v>
      </c>
    </row>
    <row r="756" spans="1:2" x14ac:dyDescent="0.35">
      <c r="A756">
        <v>5</v>
      </c>
      <c r="B756">
        <v>2.0699368463927589E-3</v>
      </c>
    </row>
    <row r="757" spans="1:2" x14ac:dyDescent="0.35">
      <c r="A757">
        <v>4</v>
      </c>
      <c r="B757">
        <v>3.5029700477415917E-3</v>
      </c>
    </row>
    <row r="758" spans="1:2" x14ac:dyDescent="0.35">
      <c r="A758">
        <v>3</v>
      </c>
      <c r="B758">
        <v>5.8913587166563126E-3</v>
      </c>
    </row>
    <row r="759" spans="1:2" x14ac:dyDescent="0.35">
      <c r="A759">
        <v>8</v>
      </c>
      <c r="B759">
        <v>1.1580066273525925E-4</v>
      </c>
    </row>
    <row r="760" spans="1:2" x14ac:dyDescent="0.35">
      <c r="A760">
        <v>7</v>
      </c>
      <c r="B760">
        <v>3.7635215388959257E-4</v>
      </c>
    </row>
    <row r="761" spans="1:2" x14ac:dyDescent="0.35">
      <c r="A761">
        <v>6</v>
      </c>
      <c r="B761">
        <v>6.369036450439259E-4</v>
      </c>
    </row>
    <row r="762" spans="1:2" x14ac:dyDescent="0.35">
      <c r="A762">
        <v>5</v>
      </c>
      <c r="B762">
        <v>1.0711561303011479E-3</v>
      </c>
    </row>
    <row r="763" spans="1:2" x14ac:dyDescent="0.35">
      <c r="A763">
        <v>7</v>
      </c>
      <c r="B763">
        <v>3.7635215388959257E-4</v>
      </c>
    </row>
    <row r="764" spans="1:2" x14ac:dyDescent="0.35">
      <c r="A764">
        <v>6</v>
      </c>
      <c r="B764">
        <v>1.2231445001411759E-3</v>
      </c>
    </row>
    <row r="765" spans="1:2" x14ac:dyDescent="0.35">
      <c r="A765">
        <v>5</v>
      </c>
      <c r="B765">
        <v>2.0699368463927593E-3</v>
      </c>
    </row>
    <row r="766" spans="1:2" x14ac:dyDescent="0.35">
      <c r="A766">
        <v>4</v>
      </c>
      <c r="B766">
        <v>3.481257423478731E-3</v>
      </c>
    </row>
    <row r="767" spans="1:2" x14ac:dyDescent="0.35">
      <c r="A767">
        <v>6</v>
      </c>
      <c r="B767">
        <v>6.369036450439258E-4</v>
      </c>
    </row>
    <row r="768" spans="1:2" x14ac:dyDescent="0.35">
      <c r="A768">
        <v>5</v>
      </c>
      <c r="B768">
        <v>2.0699368463927589E-3</v>
      </c>
    </row>
    <row r="769" spans="1:2" x14ac:dyDescent="0.35">
      <c r="A769">
        <v>4</v>
      </c>
      <c r="B769">
        <v>3.5029700477415926E-3</v>
      </c>
    </row>
    <row r="770" spans="1:2" x14ac:dyDescent="0.35">
      <c r="A770">
        <v>3</v>
      </c>
      <c r="B770">
        <v>5.8913587166563135E-3</v>
      </c>
    </row>
    <row r="771" spans="1:2" x14ac:dyDescent="0.35">
      <c r="A771">
        <v>5</v>
      </c>
      <c r="B771">
        <v>1.0132557989335181E-3</v>
      </c>
    </row>
    <row r="772" spans="1:2" x14ac:dyDescent="0.35">
      <c r="A772">
        <v>4</v>
      </c>
      <c r="B772">
        <v>3.2930813465339341E-3</v>
      </c>
    </row>
    <row r="773" spans="1:2" x14ac:dyDescent="0.35">
      <c r="A773">
        <v>3</v>
      </c>
      <c r="B773">
        <v>5.5729068941343506E-3</v>
      </c>
    </row>
    <row r="774" spans="1:2" x14ac:dyDescent="0.35">
      <c r="A774">
        <v>2</v>
      </c>
      <c r="B774">
        <v>9.3726161401350427E-3</v>
      </c>
    </row>
    <row r="775" spans="1:2" x14ac:dyDescent="0.35">
      <c r="A775">
        <v>10</v>
      </c>
      <c r="B775">
        <v>2.1054665951865317E-5</v>
      </c>
    </row>
    <row r="776" spans="1:2" x14ac:dyDescent="0.35">
      <c r="A776">
        <v>9</v>
      </c>
      <c r="B776">
        <v>6.8427664343562286E-5</v>
      </c>
    </row>
    <row r="777" spans="1:2" x14ac:dyDescent="0.35">
      <c r="A777">
        <v>8</v>
      </c>
      <c r="B777">
        <v>1.1580066273525926E-4</v>
      </c>
    </row>
    <row r="778" spans="1:2" x14ac:dyDescent="0.35">
      <c r="A778">
        <v>7</v>
      </c>
      <c r="B778">
        <v>1.9475566005475417E-4</v>
      </c>
    </row>
    <row r="779" spans="1:2" x14ac:dyDescent="0.35">
      <c r="A779">
        <v>9</v>
      </c>
      <c r="B779">
        <v>6.8427664343562273E-5</v>
      </c>
    </row>
    <row r="780" spans="1:2" x14ac:dyDescent="0.35">
      <c r="A780">
        <v>8</v>
      </c>
      <c r="B780">
        <v>2.2238990911657743E-4</v>
      </c>
    </row>
    <row r="781" spans="1:2" x14ac:dyDescent="0.35">
      <c r="A781">
        <v>7</v>
      </c>
      <c r="B781">
        <v>3.7635215388959257E-4</v>
      </c>
    </row>
    <row r="782" spans="1:2" x14ac:dyDescent="0.35">
      <c r="A782">
        <v>6</v>
      </c>
      <c r="B782">
        <v>6.3295589517795101E-4</v>
      </c>
    </row>
    <row r="783" spans="1:2" x14ac:dyDescent="0.35">
      <c r="A783">
        <v>8</v>
      </c>
      <c r="B783">
        <v>1.1580066273525925E-4</v>
      </c>
    </row>
    <row r="784" spans="1:2" x14ac:dyDescent="0.35">
      <c r="A784">
        <v>7</v>
      </c>
      <c r="B784">
        <v>3.7635215388959257E-4</v>
      </c>
    </row>
    <row r="785" spans="1:2" x14ac:dyDescent="0.35">
      <c r="A785">
        <v>6</v>
      </c>
      <c r="B785">
        <v>6.369036450439259E-4</v>
      </c>
    </row>
    <row r="786" spans="1:2" x14ac:dyDescent="0.35">
      <c r="A786">
        <v>5</v>
      </c>
      <c r="B786">
        <v>1.0711561303011479E-3</v>
      </c>
    </row>
    <row r="787" spans="1:2" x14ac:dyDescent="0.35">
      <c r="A787">
        <v>7</v>
      </c>
      <c r="B787">
        <v>1.8422832707882148E-4</v>
      </c>
    </row>
    <row r="788" spans="1:2" x14ac:dyDescent="0.35">
      <c r="A788">
        <v>6</v>
      </c>
      <c r="B788">
        <v>5.9874206300616992E-4</v>
      </c>
    </row>
    <row r="789" spans="1:2" x14ac:dyDescent="0.35">
      <c r="A789">
        <v>5</v>
      </c>
      <c r="B789">
        <v>1.0132557989335183E-3</v>
      </c>
    </row>
    <row r="790" spans="1:2" x14ac:dyDescent="0.35">
      <c r="A790">
        <v>4</v>
      </c>
      <c r="B790">
        <v>1.7041120254790987E-3</v>
      </c>
    </row>
    <row r="791" spans="1:2" x14ac:dyDescent="0.35">
      <c r="A791">
        <v>9</v>
      </c>
      <c r="B791">
        <v>6.8427664343562273E-5</v>
      </c>
    </row>
    <row r="792" spans="1:2" x14ac:dyDescent="0.35">
      <c r="A792">
        <v>8</v>
      </c>
      <c r="B792">
        <v>2.2238990911657743E-4</v>
      </c>
    </row>
    <row r="793" spans="1:2" x14ac:dyDescent="0.35">
      <c r="A793">
        <v>7</v>
      </c>
      <c r="B793">
        <v>3.7635215388959257E-4</v>
      </c>
    </row>
    <row r="794" spans="1:2" x14ac:dyDescent="0.35">
      <c r="A794">
        <v>6</v>
      </c>
      <c r="B794">
        <v>6.3295589517795101E-4</v>
      </c>
    </row>
    <row r="795" spans="1:2" x14ac:dyDescent="0.35">
      <c r="A795">
        <v>8</v>
      </c>
      <c r="B795">
        <v>2.2238990911657738E-4</v>
      </c>
    </row>
    <row r="796" spans="1:2" x14ac:dyDescent="0.35">
      <c r="A796">
        <v>7</v>
      </c>
      <c r="B796">
        <v>7.2276720462887659E-4</v>
      </c>
    </row>
    <row r="797" spans="1:2" x14ac:dyDescent="0.35">
      <c r="A797">
        <v>6</v>
      </c>
      <c r="B797">
        <v>1.2231445001411757E-3</v>
      </c>
    </row>
    <row r="798" spans="1:2" x14ac:dyDescent="0.35">
      <c r="A798">
        <v>5</v>
      </c>
      <c r="B798">
        <v>2.0571066593283406E-3</v>
      </c>
    </row>
    <row r="799" spans="1:2" x14ac:dyDescent="0.35">
      <c r="A799">
        <v>7</v>
      </c>
      <c r="B799">
        <v>3.7635215388959252E-4</v>
      </c>
    </row>
    <row r="800" spans="1:2" x14ac:dyDescent="0.35">
      <c r="A800">
        <v>6</v>
      </c>
      <c r="B800">
        <v>1.2231445001411757E-3</v>
      </c>
    </row>
    <row r="801" spans="1:2" x14ac:dyDescent="0.35">
      <c r="A801">
        <v>5</v>
      </c>
      <c r="B801">
        <v>2.0699368463927589E-3</v>
      </c>
    </row>
    <row r="802" spans="1:2" x14ac:dyDescent="0.35">
      <c r="A802">
        <v>4</v>
      </c>
      <c r="B802">
        <v>3.4812574234787306E-3</v>
      </c>
    </row>
    <row r="803" spans="1:2" x14ac:dyDescent="0.35">
      <c r="A803">
        <v>6</v>
      </c>
      <c r="B803">
        <v>5.9874206300616982E-4</v>
      </c>
    </row>
    <row r="804" spans="1:2" x14ac:dyDescent="0.35">
      <c r="A804">
        <v>5</v>
      </c>
      <c r="B804">
        <v>1.9459117047700523E-3</v>
      </c>
    </row>
    <row r="805" spans="1:2" x14ac:dyDescent="0.35">
      <c r="A805">
        <v>4</v>
      </c>
      <c r="B805">
        <v>3.2930813465339346E-3</v>
      </c>
    </row>
    <row r="806" spans="1:2" x14ac:dyDescent="0.35">
      <c r="A806">
        <v>3</v>
      </c>
      <c r="B806">
        <v>5.5383640828070707E-3</v>
      </c>
    </row>
    <row r="807" spans="1:2" x14ac:dyDescent="0.35">
      <c r="A807">
        <v>8</v>
      </c>
      <c r="B807">
        <v>1.1580066273525925E-4</v>
      </c>
    </row>
    <row r="808" spans="1:2" x14ac:dyDescent="0.35">
      <c r="A808">
        <v>7</v>
      </c>
      <c r="B808">
        <v>3.7635215388959257E-4</v>
      </c>
    </row>
    <row r="809" spans="1:2" x14ac:dyDescent="0.35">
      <c r="A809">
        <v>6</v>
      </c>
      <c r="B809">
        <v>6.369036450439259E-4</v>
      </c>
    </row>
    <row r="810" spans="1:2" x14ac:dyDescent="0.35">
      <c r="A810">
        <v>5</v>
      </c>
      <c r="B810">
        <v>1.0711561303011479E-3</v>
      </c>
    </row>
    <row r="811" spans="1:2" x14ac:dyDescent="0.35">
      <c r="A811">
        <v>7</v>
      </c>
      <c r="B811">
        <v>3.7635215388959257E-4</v>
      </c>
    </row>
    <row r="812" spans="1:2" x14ac:dyDescent="0.35">
      <c r="A812">
        <v>6</v>
      </c>
      <c r="B812">
        <v>1.2231445001411759E-3</v>
      </c>
    </row>
    <row r="813" spans="1:2" x14ac:dyDescent="0.35">
      <c r="A813">
        <v>5</v>
      </c>
      <c r="B813">
        <v>2.0699368463927593E-3</v>
      </c>
    </row>
    <row r="814" spans="1:2" x14ac:dyDescent="0.35">
      <c r="A814">
        <v>4</v>
      </c>
      <c r="B814">
        <v>3.481257423478731E-3</v>
      </c>
    </row>
    <row r="815" spans="1:2" x14ac:dyDescent="0.35">
      <c r="A815">
        <v>6</v>
      </c>
      <c r="B815">
        <v>6.369036450439258E-4</v>
      </c>
    </row>
    <row r="816" spans="1:2" x14ac:dyDescent="0.35">
      <c r="A816">
        <v>5</v>
      </c>
      <c r="B816">
        <v>2.0699368463927589E-3</v>
      </c>
    </row>
    <row r="817" spans="1:2" x14ac:dyDescent="0.35">
      <c r="A817">
        <v>4</v>
      </c>
      <c r="B817">
        <v>3.5029700477415926E-3</v>
      </c>
    </row>
    <row r="818" spans="1:2" x14ac:dyDescent="0.35">
      <c r="A818">
        <v>3</v>
      </c>
      <c r="B818">
        <v>5.8913587166563135E-3</v>
      </c>
    </row>
    <row r="819" spans="1:2" x14ac:dyDescent="0.35">
      <c r="A819">
        <v>5</v>
      </c>
      <c r="B819">
        <v>1.0132557989335181E-3</v>
      </c>
    </row>
    <row r="820" spans="1:2" x14ac:dyDescent="0.35">
      <c r="A820">
        <v>4</v>
      </c>
      <c r="B820">
        <v>3.2930813465339341E-3</v>
      </c>
    </row>
    <row r="821" spans="1:2" x14ac:dyDescent="0.35">
      <c r="A821">
        <v>3</v>
      </c>
      <c r="B821">
        <v>5.5729068941343506E-3</v>
      </c>
    </row>
    <row r="822" spans="1:2" x14ac:dyDescent="0.35">
      <c r="A822">
        <v>2</v>
      </c>
      <c r="B822">
        <v>9.3726161401350427E-3</v>
      </c>
    </row>
    <row r="823" spans="1:2" x14ac:dyDescent="0.35">
      <c r="A823">
        <v>7</v>
      </c>
      <c r="B823">
        <v>1.8422832707882148E-4</v>
      </c>
    </row>
    <row r="824" spans="1:2" x14ac:dyDescent="0.35">
      <c r="A824">
        <v>6</v>
      </c>
      <c r="B824">
        <v>5.9874206300616992E-4</v>
      </c>
    </row>
    <row r="825" spans="1:2" x14ac:dyDescent="0.35">
      <c r="A825">
        <v>5</v>
      </c>
      <c r="B825">
        <v>1.0132557989335183E-3</v>
      </c>
    </row>
    <row r="826" spans="1:2" x14ac:dyDescent="0.35">
      <c r="A826">
        <v>4</v>
      </c>
      <c r="B826">
        <v>1.7041120254790987E-3</v>
      </c>
    </row>
    <row r="827" spans="1:2" x14ac:dyDescent="0.35">
      <c r="A827">
        <v>6</v>
      </c>
      <c r="B827">
        <v>5.9874206300616982E-4</v>
      </c>
    </row>
    <row r="828" spans="1:2" x14ac:dyDescent="0.35">
      <c r="A828">
        <v>5</v>
      </c>
      <c r="B828">
        <v>1.9459117047700523E-3</v>
      </c>
    </row>
    <row r="829" spans="1:2" x14ac:dyDescent="0.35">
      <c r="A829">
        <v>4</v>
      </c>
      <c r="B829">
        <v>3.2930813465339346E-3</v>
      </c>
    </row>
    <row r="830" spans="1:2" x14ac:dyDescent="0.35">
      <c r="A830">
        <v>3</v>
      </c>
      <c r="B830">
        <v>5.5383640828070707E-3</v>
      </c>
    </row>
    <row r="831" spans="1:2" x14ac:dyDescent="0.35">
      <c r="A831">
        <v>5</v>
      </c>
      <c r="B831">
        <v>1.0132557989335181E-3</v>
      </c>
    </row>
    <row r="832" spans="1:2" x14ac:dyDescent="0.35">
      <c r="A832">
        <v>4</v>
      </c>
      <c r="B832">
        <v>3.2930813465339341E-3</v>
      </c>
    </row>
    <row r="833" spans="1:2" x14ac:dyDescent="0.35">
      <c r="A833">
        <v>3</v>
      </c>
      <c r="B833">
        <v>5.5729068941343506E-3</v>
      </c>
    </row>
    <row r="834" spans="1:2" x14ac:dyDescent="0.35">
      <c r="A834">
        <v>2</v>
      </c>
      <c r="B834">
        <v>9.3726161401350427E-3</v>
      </c>
    </row>
    <row r="835" spans="1:2" x14ac:dyDescent="0.35">
      <c r="A835">
        <v>4</v>
      </c>
      <c r="B835">
        <v>1.6119978619396878E-3</v>
      </c>
    </row>
    <row r="836" spans="1:2" x14ac:dyDescent="0.35">
      <c r="A836">
        <v>3</v>
      </c>
      <c r="B836">
        <v>5.2389930513039853E-3</v>
      </c>
    </row>
    <row r="837" spans="1:2" x14ac:dyDescent="0.35">
      <c r="A837">
        <v>2</v>
      </c>
      <c r="B837">
        <v>8.8659882406682839E-3</v>
      </c>
    </row>
    <row r="838" spans="1:2" x14ac:dyDescent="0.35">
      <c r="A838">
        <v>1</v>
      </c>
      <c r="B838">
        <v>1.4910980222942112E-2</v>
      </c>
    </row>
    <row r="839" spans="1:2" x14ac:dyDescent="0.35">
      <c r="A839">
        <v>12</v>
      </c>
      <c r="B839">
        <v>4.046870858280606E-6</v>
      </c>
    </row>
    <row r="840" spans="1:2" x14ac:dyDescent="0.35">
      <c r="A840">
        <v>11</v>
      </c>
      <c r="B840">
        <v>1.3152330289411971E-5</v>
      </c>
    </row>
    <row r="841" spans="1:2" x14ac:dyDescent="0.35">
      <c r="A841">
        <v>10</v>
      </c>
      <c r="B841">
        <v>2.2257789720543334E-5</v>
      </c>
    </row>
    <row r="842" spans="1:2" x14ac:dyDescent="0.35">
      <c r="A842">
        <v>9</v>
      </c>
      <c r="B842">
        <v>3.7433555439095602E-5</v>
      </c>
    </row>
    <row r="843" spans="1:2" x14ac:dyDescent="0.35">
      <c r="A843">
        <v>11</v>
      </c>
      <c r="B843">
        <v>1.3152330289411969E-5</v>
      </c>
    </row>
    <row r="844" spans="1:2" x14ac:dyDescent="0.35">
      <c r="A844">
        <v>10</v>
      </c>
      <c r="B844">
        <v>4.2745073440588902E-5</v>
      </c>
    </row>
    <row r="845" spans="1:2" x14ac:dyDescent="0.35">
      <c r="A845">
        <v>9</v>
      </c>
      <c r="B845">
        <v>7.2337816591765841E-5</v>
      </c>
    </row>
    <row r="846" spans="1:2" x14ac:dyDescent="0.35">
      <c r="A846">
        <v>8</v>
      </c>
      <c r="B846">
        <v>1.2165905517706071E-4</v>
      </c>
    </row>
    <row r="847" spans="1:2" x14ac:dyDescent="0.35">
      <c r="A847">
        <v>10</v>
      </c>
      <c r="B847">
        <v>2.2257789720543334E-5</v>
      </c>
    </row>
    <row r="848" spans="1:2" x14ac:dyDescent="0.35">
      <c r="A848">
        <v>9</v>
      </c>
      <c r="B848">
        <v>7.2337816591765841E-5</v>
      </c>
    </row>
    <row r="849" spans="1:2" x14ac:dyDescent="0.35">
      <c r="A849">
        <v>8</v>
      </c>
      <c r="B849">
        <v>1.2241784346298835E-4</v>
      </c>
    </row>
    <row r="850" spans="1:2" x14ac:dyDescent="0.35">
      <c r="A850">
        <v>7</v>
      </c>
      <c r="B850">
        <v>2.0588455491502583E-4</v>
      </c>
    </row>
    <row r="851" spans="1:2" x14ac:dyDescent="0.35">
      <c r="A851">
        <v>9</v>
      </c>
      <c r="B851">
        <v>3.5410120009955297E-5</v>
      </c>
    </row>
    <row r="852" spans="1:2" x14ac:dyDescent="0.35">
      <c r="A852">
        <v>8</v>
      </c>
      <c r="B852">
        <v>1.1508289003235474E-4</v>
      </c>
    </row>
    <row r="853" spans="1:2" x14ac:dyDescent="0.35">
      <c r="A853">
        <v>7</v>
      </c>
      <c r="B853">
        <v>1.9475566005475417E-4</v>
      </c>
    </row>
    <row r="854" spans="1:2" x14ac:dyDescent="0.35">
      <c r="A854">
        <v>6</v>
      </c>
      <c r="B854">
        <v>3.2754361009208651E-4</v>
      </c>
    </row>
    <row r="855" spans="1:2" x14ac:dyDescent="0.35">
      <c r="A855">
        <v>11</v>
      </c>
      <c r="B855">
        <v>1.3152330289411969E-5</v>
      </c>
    </row>
    <row r="856" spans="1:2" x14ac:dyDescent="0.35">
      <c r="A856">
        <v>10</v>
      </c>
      <c r="B856">
        <v>4.2745073440588902E-5</v>
      </c>
    </row>
    <row r="857" spans="1:2" x14ac:dyDescent="0.35">
      <c r="A857">
        <v>9</v>
      </c>
      <c r="B857">
        <v>7.2337816591765841E-5</v>
      </c>
    </row>
    <row r="858" spans="1:2" x14ac:dyDescent="0.35">
      <c r="A858">
        <v>8</v>
      </c>
      <c r="B858">
        <v>1.2165905517706071E-4</v>
      </c>
    </row>
    <row r="859" spans="1:2" x14ac:dyDescent="0.35">
      <c r="A859">
        <v>10</v>
      </c>
      <c r="B859">
        <v>4.2745073440588902E-5</v>
      </c>
    </row>
    <row r="860" spans="1:2" x14ac:dyDescent="0.35">
      <c r="A860">
        <v>9</v>
      </c>
      <c r="B860">
        <v>1.3892148868191394E-4</v>
      </c>
    </row>
    <row r="861" spans="1:2" x14ac:dyDescent="0.35">
      <c r="A861">
        <v>8</v>
      </c>
      <c r="B861">
        <v>2.35097903923239E-4</v>
      </c>
    </row>
    <row r="862" spans="1:2" x14ac:dyDescent="0.35">
      <c r="A862">
        <v>7</v>
      </c>
      <c r="B862">
        <v>3.9539192932544736E-4</v>
      </c>
    </row>
    <row r="863" spans="1:2" x14ac:dyDescent="0.35">
      <c r="A863">
        <v>9</v>
      </c>
      <c r="B863">
        <v>7.2337816591765841E-5</v>
      </c>
    </row>
    <row r="864" spans="1:2" x14ac:dyDescent="0.35">
      <c r="A864">
        <v>8</v>
      </c>
      <c r="B864">
        <v>2.35097903923239E-4</v>
      </c>
    </row>
    <row r="865" spans="1:2" x14ac:dyDescent="0.35">
      <c r="A865">
        <v>7</v>
      </c>
      <c r="B865">
        <v>3.9785799125471215E-4</v>
      </c>
    </row>
    <row r="866" spans="1:2" x14ac:dyDescent="0.35">
      <c r="A866">
        <v>6</v>
      </c>
      <c r="B866">
        <v>6.6912480347383401E-4</v>
      </c>
    </row>
    <row r="867" spans="1:2" x14ac:dyDescent="0.35">
      <c r="A867">
        <v>8</v>
      </c>
      <c r="B867">
        <v>1.1508289003235471E-4</v>
      </c>
    </row>
    <row r="868" spans="1:2" x14ac:dyDescent="0.35">
      <c r="A868">
        <v>7</v>
      </c>
      <c r="B868">
        <v>3.7401939260515283E-4</v>
      </c>
    </row>
    <row r="869" spans="1:2" x14ac:dyDescent="0.35">
      <c r="A869">
        <v>6</v>
      </c>
      <c r="B869">
        <v>6.329558951779509E-4</v>
      </c>
    </row>
    <row r="870" spans="1:2" x14ac:dyDescent="0.35">
      <c r="A870">
        <v>5</v>
      </c>
      <c r="B870">
        <v>1.0645167327992811E-3</v>
      </c>
    </row>
    <row r="871" spans="1:2" x14ac:dyDescent="0.35">
      <c r="A871">
        <v>10</v>
      </c>
      <c r="B871">
        <v>2.2257789720543331E-5</v>
      </c>
    </row>
    <row r="872" spans="1:2" x14ac:dyDescent="0.35">
      <c r="A872">
        <v>9</v>
      </c>
      <c r="B872">
        <v>7.2337816591765841E-5</v>
      </c>
    </row>
    <row r="873" spans="1:2" x14ac:dyDescent="0.35">
      <c r="A873">
        <v>8</v>
      </c>
      <c r="B873">
        <v>1.2241784346298833E-4</v>
      </c>
    </row>
    <row r="874" spans="1:2" x14ac:dyDescent="0.35">
      <c r="A874">
        <v>7</v>
      </c>
      <c r="B874">
        <v>2.058845549150258E-4</v>
      </c>
    </row>
    <row r="875" spans="1:2" x14ac:dyDescent="0.35">
      <c r="A875">
        <v>9</v>
      </c>
      <c r="B875">
        <v>7.2337816591765827E-5</v>
      </c>
    </row>
    <row r="876" spans="1:2" x14ac:dyDescent="0.35">
      <c r="A876">
        <v>8</v>
      </c>
      <c r="B876">
        <v>2.3509790392323897E-4</v>
      </c>
    </row>
    <row r="877" spans="1:2" x14ac:dyDescent="0.35">
      <c r="A877">
        <v>7</v>
      </c>
      <c r="B877">
        <v>3.978579912547121E-4</v>
      </c>
    </row>
    <row r="878" spans="1:2" x14ac:dyDescent="0.35">
      <c r="A878">
        <v>6</v>
      </c>
      <c r="B878">
        <v>6.6912480347383391E-4</v>
      </c>
    </row>
    <row r="879" spans="1:2" x14ac:dyDescent="0.35">
      <c r="A879">
        <v>8</v>
      </c>
      <c r="B879">
        <v>1.2241784346298833E-4</v>
      </c>
    </row>
    <row r="880" spans="1:2" x14ac:dyDescent="0.35">
      <c r="A880">
        <v>7</v>
      </c>
      <c r="B880">
        <v>3.978579912547121E-4</v>
      </c>
    </row>
    <row r="881" spans="1:2" x14ac:dyDescent="0.35">
      <c r="A881">
        <v>6</v>
      </c>
      <c r="B881">
        <v>6.7329813904643584E-4</v>
      </c>
    </row>
    <row r="882" spans="1:2" x14ac:dyDescent="0.35">
      <c r="A882">
        <v>5</v>
      </c>
      <c r="B882">
        <v>1.1323650520326421E-3</v>
      </c>
    </row>
    <row r="883" spans="1:2" x14ac:dyDescent="0.35">
      <c r="A883">
        <v>7</v>
      </c>
      <c r="B883">
        <v>1.9475566005475411E-4</v>
      </c>
    </row>
    <row r="884" spans="1:2" x14ac:dyDescent="0.35">
      <c r="A884">
        <v>6</v>
      </c>
      <c r="B884">
        <v>6.329558951779509E-4</v>
      </c>
    </row>
    <row r="885" spans="1:2" x14ac:dyDescent="0.35">
      <c r="A885">
        <v>5</v>
      </c>
      <c r="B885">
        <v>1.0711561303011477E-3</v>
      </c>
    </row>
    <row r="886" spans="1:2" x14ac:dyDescent="0.35">
      <c r="A886">
        <v>4</v>
      </c>
      <c r="B886">
        <v>1.8014898555064756E-3</v>
      </c>
    </row>
    <row r="887" spans="1:2" x14ac:dyDescent="0.35">
      <c r="A887">
        <v>9</v>
      </c>
      <c r="B887">
        <v>3.5410120009955297E-5</v>
      </c>
    </row>
    <row r="888" spans="1:2" x14ac:dyDescent="0.35">
      <c r="A888">
        <v>8</v>
      </c>
      <c r="B888">
        <v>1.1508289003235474E-4</v>
      </c>
    </row>
    <row r="889" spans="1:2" x14ac:dyDescent="0.35">
      <c r="A889">
        <v>7</v>
      </c>
      <c r="B889">
        <v>1.9475566005475417E-4</v>
      </c>
    </row>
    <row r="890" spans="1:2" x14ac:dyDescent="0.35">
      <c r="A890">
        <v>6</v>
      </c>
      <c r="B890">
        <v>3.2754361009208651E-4</v>
      </c>
    </row>
    <row r="891" spans="1:2" x14ac:dyDescent="0.35">
      <c r="A891">
        <v>8</v>
      </c>
      <c r="B891">
        <v>1.1508289003235471E-4</v>
      </c>
    </row>
    <row r="892" spans="1:2" x14ac:dyDescent="0.35">
      <c r="A892">
        <v>7</v>
      </c>
      <c r="B892">
        <v>3.7401939260515283E-4</v>
      </c>
    </row>
    <row r="893" spans="1:2" x14ac:dyDescent="0.35">
      <c r="A893">
        <v>6</v>
      </c>
      <c r="B893">
        <v>6.329558951779509E-4</v>
      </c>
    </row>
    <row r="894" spans="1:2" x14ac:dyDescent="0.35">
      <c r="A894">
        <v>5</v>
      </c>
      <c r="B894">
        <v>1.0645167327992811E-3</v>
      </c>
    </row>
    <row r="895" spans="1:2" x14ac:dyDescent="0.35">
      <c r="A895">
        <v>7</v>
      </c>
      <c r="B895">
        <v>1.9475566005475414E-4</v>
      </c>
    </row>
    <row r="896" spans="1:2" x14ac:dyDescent="0.35">
      <c r="A896">
        <v>6</v>
      </c>
      <c r="B896">
        <v>6.3295589517795101E-4</v>
      </c>
    </row>
    <row r="897" spans="1:2" x14ac:dyDescent="0.35">
      <c r="A897">
        <v>5</v>
      </c>
      <c r="B897">
        <v>1.0711561303011479E-3</v>
      </c>
    </row>
    <row r="898" spans="1:2" x14ac:dyDescent="0.35">
      <c r="A898">
        <v>4</v>
      </c>
      <c r="B898">
        <v>1.8014898555064759E-3</v>
      </c>
    </row>
    <row r="899" spans="1:2" x14ac:dyDescent="0.35">
      <c r="A899">
        <v>6</v>
      </c>
      <c r="B899">
        <v>3.0983855008710878E-4</v>
      </c>
    </row>
    <row r="900" spans="1:2" x14ac:dyDescent="0.35">
      <c r="A900">
        <v>5</v>
      </c>
      <c r="B900">
        <v>1.0069752877831038E-3</v>
      </c>
    </row>
    <row r="901" spans="1:2" x14ac:dyDescent="0.35">
      <c r="A901">
        <v>4</v>
      </c>
      <c r="B901">
        <v>1.7041120254790987E-3</v>
      </c>
    </row>
    <row r="902" spans="1:2" x14ac:dyDescent="0.35">
      <c r="A902">
        <v>3</v>
      </c>
      <c r="B902">
        <v>2.8660065883057565E-3</v>
      </c>
    </row>
    <row r="903" spans="1:2" x14ac:dyDescent="0.35">
      <c r="A903">
        <v>11</v>
      </c>
      <c r="B903">
        <v>1.3152330289411969E-5</v>
      </c>
    </row>
    <row r="904" spans="1:2" x14ac:dyDescent="0.35">
      <c r="A904">
        <v>10</v>
      </c>
      <c r="B904">
        <v>4.2745073440588902E-5</v>
      </c>
    </row>
    <row r="905" spans="1:2" x14ac:dyDescent="0.35">
      <c r="A905">
        <v>9</v>
      </c>
      <c r="B905">
        <v>7.2337816591765841E-5</v>
      </c>
    </row>
    <row r="906" spans="1:2" x14ac:dyDescent="0.35">
      <c r="A906">
        <v>8</v>
      </c>
      <c r="B906">
        <v>1.2165905517706071E-4</v>
      </c>
    </row>
    <row r="907" spans="1:2" x14ac:dyDescent="0.35">
      <c r="A907">
        <v>10</v>
      </c>
      <c r="B907">
        <v>4.2745073440588902E-5</v>
      </c>
    </row>
    <row r="908" spans="1:2" x14ac:dyDescent="0.35">
      <c r="A908">
        <v>9</v>
      </c>
      <c r="B908">
        <v>1.3892148868191394E-4</v>
      </c>
    </row>
    <row r="909" spans="1:2" x14ac:dyDescent="0.35">
      <c r="A909">
        <v>8</v>
      </c>
      <c r="B909">
        <v>2.35097903923239E-4</v>
      </c>
    </row>
    <row r="910" spans="1:2" x14ac:dyDescent="0.35">
      <c r="A910">
        <v>7</v>
      </c>
      <c r="B910">
        <v>3.9539192932544736E-4</v>
      </c>
    </row>
    <row r="911" spans="1:2" x14ac:dyDescent="0.35">
      <c r="A911">
        <v>9</v>
      </c>
      <c r="B911">
        <v>7.2337816591765841E-5</v>
      </c>
    </row>
    <row r="912" spans="1:2" x14ac:dyDescent="0.35">
      <c r="A912">
        <v>8</v>
      </c>
      <c r="B912">
        <v>2.35097903923239E-4</v>
      </c>
    </row>
    <row r="913" spans="1:2" x14ac:dyDescent="0.35">
      <c r="A913">
        <v>7</v>
      </c>
      <c r="B913">
        <v>3.9785799125471215E-4</v>
      </c>
    </row>
    <row r="914" spans="1:2" x14ac:dyDescent="0.35">
      <c r="A914">
        <v>6</v>
      </c>
      <c r="B914">
        <v>6.6912480347383401E-4</v>
      </c>
    </row>
    <row r="915" spans="1:2" x14ac:dyDescent="0.35">
      <c r="A915">
        <v>8</v>
      </c>
      <c r="B915">
        <v>1.1508289003235471E-4</v>
      </c>
    </row>
    <row r="916" spans="1:2" x14ac:dyDescent="0.35">
      <c r="A916">
        <v>7</v>
      </c>
      <c r="B916">
        <v>3.7401939260515283E-4</v>
      </c>
    </row>
    <row r="917" spans="1:2" x14ac:dyDescent="0.35">
      <c r="A917">
        <v>6</v>
      </c>
      <c r="B917">
        <v>6.329558951779509E-4</v>
      </c>
    </row>
    <row r="918" spans="1:2" x14ac:dyDescent="0.35">
      <c r="A918">
        <v>5</v>
      </c>
      <c r="B918">
        <v>1.0645167327992811E-3</v>
      </c>
    </row>
    <row r="919" spans="1:2" x14ac:dyDescent="0.35">
      <c r="A919">
        <v>10</v>
      </c>
      <c r="B919">
        <v>4.2745073440588902E-5</v>
      </c>
    </row>
    <row r="920" spans="1:2" x14ac:dyDescent="0.35">
      <c r="A920">
        <v>9</v>
      </c>
      <c r="B920">
        <v>1.3892148868191394E-4</v>
      </c>
    </row>
    <row r="921" spans="1:2" x14ac:dyDescent="0.35">
      <c r="A921">
        <v>8</v>
      </c>
      <c r="B921">
        <v>2.35097903923239E-4</v>
      </c>
    </row>
    <row r="922" spans="1:2" x14ac:dyDescent="0.35">
      <c r="A922">
        <v>7</v>
      </c>
      <c r="B922">
        <v>3.9539192932544736E-4</v>
      </c>
    </row>
    <row r="923" spans="1:2" x14ac:dyDescent="0.35">
      <c r="A923">
        <v>9</v>
      </c>
      <c r="B923">
        <v>1.3892148868191394E-4</v>
      </c>
    </row>
    <row r="924" spans="1:2" x14ac:dyDescent="0.35">
      <c r="A924">
        <v>8</v>
      </c>
      <c r="B924">
        <v>4.5149483821622032E-4</v>
      </c>
    </row>
    <row r="925" spans="1:2" x14ac:dyDescent="0.35">
      <c r="A925">
        <v>7</v>
      </c>
      <c r="B925">
        <v>7.6406818775052673E-4</v>
      </c>
    </row>
    <row r="926" spans="1:2" x14ac:dyDescent="0.35">
      <c r="A926">
        <v>6</v>
      </c>
      <c r="B926">
        <v>1.2850237703077038E-3</v>
      </c>
    </row>
    <row r="927" spans="1:2" x14ac:dyDescent="0.35">
      <c r="A927">
        <v>8</v>
      </c>
      <c r="B927">
        <v>2.3509790392323897E-4</v>
      </c>
    </row>
    <row r="928" spans="1:2" x14ac:dyDescent="0.35">
      <c r="A928">
        <v>7</v>
      </c>
      <c r="B928">
        <v>7.6406818775052673E-4</v>
      </c>
    </row>
    <row r="929" spans="1:2" x14ac:dyDescent="0.35">
      <c r="A929">
        <v>6</v>
      </c>
      <c r="B929">
        <v>1.2930384715778144E-3</v>
      </c>
    </row>
    <row r="930" spans="1:2" x14ac:dyDescent="0.35">
      <c r="A930">
        <v>5</v>
      </c>
      <c r="B930">
        <v>2.1746556112899602E-3</v>
      </c>
    </row>
    <row r="931" spans="1:2" x14ac:dyDescent="0.35">
      <c r="A931">
        <v>7</v>
      </c>
      <c r="B931">
        <v>3.7401939260515288E-4</v>
      </c>
    </row>
    <row r="932" spans="1:2" x14ac:dyDescent="0.35">
      <c r="A932">
        <v>6</v>
      </c>
      <c r="B932">
        <v>1.215563025966747E-3</v>
      </c>
    </row>
    <row r="933" spans="1:2" x14ac:dyDescent="0.35">
      <c r="A933">
        <v>5</v>
      </c>
      <c r="B933">
        <v>2.057106659328341E-3</v>
      </c>
    </row>
    <row r="934" spans="1:2" x14ac:dyDescent="0.35">
      <c r="A934">
        <v>4</v>
      </c>
      <c r="B934">
        <v>3.4596793815976639E-3</v>
      </c>
    </row>
    <row r="935" spans="1:2" x14ac:dyDescent="0.35">
      <c r="A935">
        <v>9</v>
      </c>
      <c r="B935">
        <v>7.2337816591765841E-5</v>
      </c>
    </row>
    <row r="936" spans="1:2" x14ac:dyDescent="0.35">
      <c r="A936">
        <v>8</v>
      </c>
      <c r="B936">
        <v>2.35097903923239E-4</v>
      </c>
    </row>
    <row r="937" spans="1:2" x14ac:dyDescent="0.35">
      <c r="A937">
        <v>7</v>
      </c>
      <c r="B937">
        <v>3.9785799125471215E-4</v>
      </c>
    </row>
    <row r="938" spans="1:2" x14ac:dyDescent="0.35">
      <c r="A938">
        <v>6</v>
      </c>
      <c r="B938">
        <v>6.6912480347383401E-4</v>
      </c>
    </row>
    <row r="939" spans="1:2" x14ac:dyDescent="0.35">
      <c r="A939">
        <v>8</v>
      </c>
      <c r="B939">
        <v>2.3509790392323897E-4</v>
      </c>
    </row>
    <row r="940" spans="1:2" x14ac:dyDescent="0.35">
      <c r="A940">
        <v>7</v>
      </c>
      <c r="B940">
        <v>7.6406818775052673E-4</v>
      </c>
    </row>
    <row r="941" spans="1:2" x14ac:dyDescent="0.35">
      <c r="A941">
        <v>6</v>
      </c>
      <c r="B941">
        <v>1.2930384715778144E-3</v>
      </c>
    </row>
    <row r="942" spans="1:2" x14ac:dyDescent="0.35">
      <c r="A942">
        <v>5</v>
      </c>
      <c r="B942">
        <v>2.1746556112899602E-3</v>
      </c>
    </row>
    <row r="943" spans="1:2" x14ac:dyDescent="0.35">
      <c r="A943">
        <v>7</v>
      </c>
      <c r="B943">
        <v>3.978579912547121E-4</v>
      </c>
    </row>
    <row r="944" spans="1:2" x14ac:dyDescent="0.35">
      <c r="A944">
        <v>6</v>
      </c>
      <c r="B944">
        <v>1.2930384715778144E-3</v>
      </c>
    </row>
    <row r="945" spans="1:2" x14ac:dyDescent="0.35">
      <c r="A945">
        <v>5</v>
      </c>
      <c r="B945">
        <v>2.1882189519009166E-3</v>
      </c>
    </row>
    <row r="946" spans="1:2" x14ac:dyDescent="0.35">
      <c r="A946">
        <v>4</v>
      </c>
      <c r="B946">
        <v>3.6801864191060869E-3</v>
      </c>
    </row>
    <row r="947" spans="1:2" x14ac:dyDescent="0.35">
      <c r="A947">
        <v>6</v>
      </c>
      <c r="B947">
        <v>6.329558951779509E-4</v>
      </c>
    </row>
    <row r="948" spans="1:2" x14ac:dyDescent="0.35">
      <c r="A948">
        <v>5</v>
      </c>
      <c r="B948">
        <v>2.0571066593283406E-3</v>
      </c>
    </row>
    <row r="949" spans="1:2" x14ac:dyDescent="0.35">
      <c r="A949">
        <v>4</v>
      </c>
      <c r="B949">
        <v>3.4812574234787306E-3</v>
      </c>
    </row>
    <row r="950" spans="1:2" x14ac:dyDescent="0.35">
      <c r="A950">
        <v>3</v>
      </c>
      <c r="B950">
        <v>5.8548420303960458E-3</v>
      </c>
    </row>
    <row r="951" spans="1:2" x14ac:dyDescent="0.35">
      <c r="A951">
        <v>8</v>
      </c>
      <c r="B951">
        <v>1.1508289003235474E-4</v>
      </c>
    </row>
    <row r="952" spans="1:2" x14ac:dyDescent="0.35">
      <c r="A952">
        <v>7</v>
      </c>
      <c r="B952">
        <v>3.7401939260515288E-4</v>
      </c>
    </row>
    <row r="953" spans="1:2" x14ac:dyDescent="0.35">
      <c r="A953">
        <v>6</v>
      </c>
      <c r="B953">
        <v>6.3295589517795112E-4</v>
      </c>
    </row>
    <row r="954" spans="1:2" x14ac:dyDescent="0.35">
      <c r="A954">
        <v>5</v>
      </c>
      <c r="B954">
        <v>1.0645167327992813E-3</v>
      </c>
    </row>
    <row r="955" spans="1:2" x14ac:dyDescent="0.35">
      <c r="A955">
        <v>7</v>
      </c>
      <c r="B955">
        <v>3.7401939260515288E-4</v>
      </c>
    </row>
    <row r="956" spans="1:2" x14ac:dyDescent="0.35">
      <c r="A956">
        <v>6</v>
      </c>
      <c r="B956">
        <v>1.215563025966747E-3</v>
      </c>
    </row>
    <row r="957" spans="1:2" x14ac:dyDescent="0.35">
      <c r="A957">
        <v>5</v>
      </c>
      <c r="B957">
        <v>2.057106659328341E-3</v>
      </c>
    </row>
    <row r="958" spans="1:2" x14ac:dyDescent="0.35">
      <c r="A958">
        <v>4</v>
      </c>
      <c r="B958">
        <v>3.4596793815976639E-3</v>
      </c>
    </row>
    <row r="959" spans="1:2" x14ac:dyDescent="0.35">
      <c r="A959">
        <v>6</v>
      </c>
      <c r="B959">
        <v>6.3295589517795101E-4</v>
      </c>
    </row>
    <row r="960" spans="1:2" x14ac:dyDescent="0.35">
      <c r="A960">
        <v>5</v>
      </c>
      <c r="B960">
        <v>2.057106659328341E-3</v>
      </c>
    </row>
    <row r="961" spans="1:2" x14ac:dyDescent="0.35">
      <c r="A961">
        <v>4</v>
      </c>
      <c r="B961">
        <v>3.481257423478731E-3</v>
      </c>
    </row>
    <row r="962" spans="1:2" x14ac:dyDescent="0.35">
      <c r="A962">
        <v>3</v>
      </c>
      <c r="B962">
        <v>5.8548420303960466E-3</v>
      </c>
    </row>
    <row r="963" spans="1:2" x14ac:dyDescent="0.35">
      <c r="A963">
        <v>5</v>
      </c>
      <c r="B963">
        <v>1.0069752877831036E-3</v>
      </c>
    </row>
    <row r="964" spans="1:2" x14ac:dyDescent="0.35">
      <c r="A964">
        <v>4</v>
      </c>
      <c r="B964">
        <v>3.2726696852950869E-3</v>
      </c>
    </row>
    <row r="965" spans="1:2" x14ac:dyDescent="0.35">
      <c r="A965">
        <v>3</v>
      </c>
      <c r="B965">
        <v>5.5383640828070707E-3</v>
      </c>
    </row>
    <row r="966" spans="1:2" x14ac:dyDescent="0.35">
      <c r="A966">
        <v>2</v>
      </c>
      <c r="B966">
        <v>9.3145214119937075E-3</v>
      </c>
    </row>
    <row r="967" spans="1:2" x14ac:dyDescent="0.35">
      <c r="A967">
        <v>10</v>
      </c>
      <c r="B967">
        <v>2.2257789720543337E-5</v>
      </c>
    </row>
    <row r="968" spans="1:2" x14ac:dyDescent="0.35">
      <c r="A968">
        <v>9</v>
      </c>
      <c r="B968">
        <v>7.2337816591765854E-5</v>
      </c>
    </row>
    <row r="969" spans="1:2" x14ac:dyDescent="0.35">
      <c r="A969">
        <v>8</v>
      </c>
      <c r="B969">
        <v>1.2241784346298835E-4</v>
      </c>
    </row>
    <row r="970" spans="1:2" x14ac:dyDescent="0.35">
      <c r="A970">
        <v>7</v>
      </c>
      <c r="B970">
        <v>2.0588455491502586E-4</v>
      </c>
    </row>
    <row r="971" spans="1:2" x14ac:dyDescent="0.35">
      <c r="A971">
        <v>9</v>
      </c>
      <c r="B971">
        <v>7.2337816591765841E-5</v>
      </c>
    </row>
    <row r="972" spans="1:2" x14ac:dyDescent="0.35">
      <c r="A972">
        <v>8</v>
      </c>
      <c r="B972">
        <v>2.35097903923239E-4</v>
      </c>
    </row>
    <row r="973" spans="1:2" x14ac:dyDescent="0.35">
      <c r="A973">
        <v>7</v>
      </c>
      <c r="B973">
        <v>3.9785799125471215E-4</v>
      </c>
    </row>
    <row r="974" spans="1:2" x14ac:dyDescent="0.35">
      <c r="A974">
        <v>6</v>
      </c>
      <c r="B974">
        <v>6.6912480347383401E-4</v>
      </c>
    </row>
    <row r="975" spans="1:2" x14ac:dyDescent="0.35">
      <c r="A975">
        <v>8</v>
      </c>
      <c r="B975">
        <v>1.2241784346298835E-4</v>
      </c>
    </row>
    <row r="976" spans="1:2" x14ac:dyDescent="0.35">
      <c r="A976">
        <v>7</v>
      </c>
      <c r="B976">
        <v>3.9785799125471215E-4</v>
      </c>
    </row>
    <row r="977" spans="1:2" x14ac:dyDescent="0.35">
      <c r="A977">
        <v>6</v>
      </c>
      <c r="B977">
        <v>6.7329813904643595E-4</v>
      </c>
    </row>
    <row r="978" spans="1:2" x14ac:dyDescent="0.35">
      <c r="A978">
        <v>5</v>
      </c>
      <c r="B978">
        <v>1.1323650520326423E-3</v>
      </c>
    </row>
    <row r="979" spans="1:2" x14ac:dyDescent="0.35">
      <c r="A979">
        <v>7</v>
      </c>
      <c r="B979">
        <v>1.9475566005475417E-4</v>
      </c>
    </row>
    <row r="980" spans="1:2" x14ac:dyDescent="0.35">
      <c r="A980">
        <v>6</v>
      </c>
      <c r="B980">
        <v>6.3295589517795112E-4</v>
      </c>
    </row>
    <row r="981" spans="1:2" x14ac:dyDescent="0.35">
      <c r="A981">
        <v>5</v>
      </c>
      <c r="B981">
        <v>1.0711561303011481E-3</v>
      </c>
    </row>
    <row r="982" spans="1:2" x14ac:dyDescent="0.35">
      <c r="A982">
        <v>4</v>
      </c>
      <c r="B982">
        <v>1.8014898555064761E-3</v>
      </c>
    </row>
    <row r="983" spans="1:2" x14ac:dyDescent="0.35">
      <c r="A983">
        <v>9</v>
      </c>
      <c r="B983">
        <v>7.2337816591765841E-5</v>
      </c>
    </row>
    <row r="984" spans="1:2" x14ac:dyDescent="0.35">
      <c r="A984">
        <v>8</v>
      </c>
      <c r="B984">
        <v>2.35097903923239E-4</v>
      </c>
    </row>
    <row r="985" spans="1:2" x14ac:dyDescent="0.35">
      <c r="A985">
        <v>7</v>
      </c>
      <c r="B985">
        <v>3.9785799125471215E-4</v>
      </c>
    </row>
    <row r="986" spans="1:2" x14ac:dyDescent="0.35">
      <c r="A986">
        <v>6</v>
      </c>
      <c r="B986">
        <v>6.6912480347383401E-4</v>
      </c>
    </row>
    <row r="987" spans="1:2" x14ac:dyDescent="0.35">
      <c r="A987">
        <v>8</v>
      </c>
      <c r="B987">
        <v>2.3509790392323897E-4</v>
      </c>
    </row>
    <row r="988" spans="1:2" x14ac:dyDescent="0.35">
      <c r="A988">
        <v>7</v>
      </c>
      <c r="B988">
        <v>7.6406818775052673E-4</v>
      </c>
    </row>
    <row r="989" spans="1:2" x14ac:dyDescent="0.35">
      <c r="A989">
        <v>6</v>
      </c>
      <c r="B989">
        <v>1.2930384715778144E-3</v>
      </c>
    </row>
    <row r="990" spans="1:2" x14ac:dyDescent="0.35">
      <c r="A990">
        <v>5</v>
      </c>
      <c r="B990">
        <v>2.1746556112899602E-3</v>
      </c>
    </row>
    <row r="991" spans="1:2" x14ac:dyDescent="0.35">
      <c r="A991">
        <v>7</v>
      </c>
      <c r="B991">
        <v>3.978579912547121E-4</v>
      </c>
    </row>
    <row r="992" spans="1:2" x14ac:dyDescent="0.35">
      <c r="A992">
        <v>6</v>
      </c>
      <c r="B992">
        <v>1.2930384715778144E-3</v>
      </c>
    </row>
    <row r="993" spans="1:2" x14ac:dyDescent="0.35">
      <c r="A993">
        <v>5</v>
      </c>
      <c r="B993">
        <v>2.1882189519009166E-3</v>
      </c>
    </row>
    <row r="994" spans="1:2" x14ac:dyDescent="0.35">
      <c r="A994">
        <v>4</v>
      </c>
      <c r="B994">
        <v>3.6801864191060869E-3</v>
      </c>
    </row>
    <row r="995" spans="1:2" x14ac:dyDescent="0.35">
      <c r="A995">
        <v>6</v>
      </c>
      <c r="B995">
        <v>6.329558951779509E-4</v>
      </c>
    </row>
    <row r="996" spans="1:2" x14ac:dyDescent="0.35">
      <c r="A996">
        <v>5</v>
      </c>
      <c r="B996">
        <v>2.0571066593283406E-3</v>
      </c>
    </row>
    <row r="997" spans="1:2" x14ac:dyDescent="0.35">
      <c r="A997">
        <v>4</v>
      </c>
      <c r="B997">
        <v>3.4812574234787306E-3</v>
      </c>
    </row>
    <row r="998" spans="1:2" x14ac:dyDescent="0.35">
      <c r="A998">
        <v>3</v>
      </c>
      <c r="B998">
        <v>5.8548420303960458E-3</v>
      </c>
    </row>
    <row r="999" spans="1:2" x14ac:dyDescent="0.35">
      <c r="A999">
        <v>8</v>
      </c>
      <c r="B999">
        <v>1.2241784346298835E-4</v>
      </c>
    </row>
    <row r="1000" spans="1:2" x14ac:dyDescent="0.35">
      <c r="A1000">
        <v>7</v>
      </c>
      <c r="B1000">
        <v>3.9785799125471215E-4</v>
      </c>
    </row>
    <row r="1001" spans="1:2" x14ac:dyDescent="0.35">
      <c r="A1001">
        <v>6</v>
      </c>
      <c r="B1001">
        <v>6.7329813904643595E-4</v>
      </c>
    </row>
    <row r="1002" spans="1:2" x14ac:dyDescent="0.35">
      <c r="A1002">
        <v>5</v>
      </c>
      <c r="B1002">
        <v>1.1323650520326423E-3</v>
      </c>
    </row>
    <row r="1003" spans="1:2" x14ac:dyDescent="0.35">
      <c r="A1003">
        <v>7</v>
      </c>
      <c r="B1003">
        <v>3.978579912547121E-4</v>
      </c>
    </row>
    <row r="1004" spans="1:2" x14ac:dyDescent="0.35">
      <c r="A1004">
        <v>6</v>
      </c>
      <c r="B1004">
        <v>1.2930384715778144E-3</v>
      </c>
    </row>
    <row r="1005" spans="1:2" x14ac:dyDescent="0.35">
      <c r="A1005">
        <v>5</v>
      </c>
      <c r="B1005">
        <v>2.1882189519009166E-3</v>
      </c>
    </row>
    <row r="1006" spans="1:2" x14ac:dyDescent="0.35">
      <c r="A1006">
        <v>4</v>
      </c>
      <c r="B1006">
        <v>3.6801864191060869E-3</v>
      </c>
    </row>
    <row r="1007" spans="1:2" x14ac:dyDescent="0.35">
      <c r="A1007">
        <v>6</v>
      </c>
      <c r="B1007">
        <v>6.7329813904643584E-4</v>
      </c>
    </row>
    <row r="1008" spans="1:2" x14ac:dyDescent="0.35">
      <c r="A1008">
        <v>5</v>
      </c>
      <c r="B1008">
        <v>2.1882189519009166E-3</v>
      </c>
    </row>
    <row r="1009" spans="1:2" x14ac:dyDescent="0.35">
      <c r="A1009">
        <v>4</v>
      </c>
      <c r="B1009">
        <v>3.7031397647553977E-3</v>
      </c>
    </row>
    <row r="1010" spans="1:2" x14ac:dyDescent="0.35">
      <c r="A1010">
        <v>3</v>
      </c>
      <c r="B1010">
        <v>6.2280077861795319E-3</v>
      </c>
    </row>
    <row r="1011" spans="1:2" x14ac:dyDescent="0.35">
      <c r="A1011">
        <v>5</v>
      </c>
      <c r="B1011">
        <v>1.0711561303011479E-3</v>
      </c>
    </row>
    <row r="1012" spans="1:2" x14ac:dyDescent="0.35">
      <c r="A1012">
        <v>4</v>
      </c>
      <c r="B1012">
        <v>3.481257423478731E-3</v>
      </c>
    </row>
    <row r="1013" spans="1:2" x14ac:dyDescent="0.35">
      <c r="A1013">
        <v>3</v>
      </c>
      <c r="B1013">
        <v>5.8913587166563143E-3</v>
      </c>
    </row>
    <row r="1014" spans="1:2" x14ac:dyDescent="0.35">
      <c r="A1014">
        <v>2</v>
      </c>
      <c r="B1014">
        <v>9.9081942052856187E-3</v>
      </c>
    </row>
    <row r="1015" spans="1:2" x14ac:dyDescent="0.35">
      <c r="A1015">
        <v>7</v>
      </c>
      <c r="B1015">
        <v>1.9475566005475417E-4</v>
      </c>
    </row>
    <row r="1016" spans="1:2" x14ac:dyDescent="0.35">
      <c r="A1016">
        <v>6</v>
      </c>
      <c r="B1016">
        <v>6.3295589517795112E-4</v>
      </c>
    </row>
    <row r="1017" spans="1:2" x14ac:dyDescent="0.35">
      <c r="A1017">
        <v>5</v>
      </c>
      <c r="B1017">
        <v>1.0711561303011481E-3</v>
      </c>
    </row>
    <row r="1018" spans="1:2" x14ac:dyDescent="0.35">
      <c r="A1018">
        <v>4</v>
      </c>
      <c r="B1018">
        <v>1.8014898555064761E-3</v>
      </c>
    </row>
    <row r="1019" spans="1:2" x14ac:dyDescent="0.35">
      <c r="A1019">
        <v>6</v>
      </c>
      <c r="B1019">
        <v>6.3295589517795101E-4</v>
      </c>
    </row>
    <row r="1020" spans="1:2" x14ac:dyDescent="0.35">
      <c r="A1020">
        <v>5</v>
      </c>
      <c r="B1020">
        <v>2.057106659328341E-3</v>
      </c>
    </row>
    <row r="1021" spans="1:2" x14ac:dyDescent="0.35">
      <c r="A1021">
        <v>4</v>
      </c>
      <c r="B1021">
        <v>3.481257423478731E-3</v>
      </c>
    </row>
    <row r="1022" spans="1:2" x14ac:dyDescent="0.35">
      <c r="A1022">
        <v>3</v>
      </c>
      <c r="B1022">
        <v>5.8548420303960466E-3</v>
      </c>
    </row>
    <row r="1023" spans="1:2" x14ac:dyDescent="0.35">
      <c r="A1023">
        <v>5</v>
      </c>
      <c r="B1023">
        <v>1.0711561303011479E-3</v>
      </c>
    </row>
    <row r="1024" spans="1:2" x14ac:dyDescent="0.35">
      <c r="A1024">
        <v>4</v>
      </c>
      <c r="B1024">
        <v>3.481257423478731E-3</v>
      </c>
    </row>
    <row r="1025" spans="1:2" x14ac:dyDescent="0.35">
      <c r="A1025">
        <v>3</v>
      </c>
      <c r="B1025">
        <v>5.8913587166563143E-3</v>
      </c>
    </row>
    <row r="1026" spans="1:2" x14ac:dyDescent="0.35">
      <c r="A1026">
        <v>2</v>
      </c>
      <c r="B1026">
        <v>9.9081942052856187E-3</v>
      </c>
    </row>
    <row r="1027" spans="1:2" x14ac:dyDescent="0.35">
      <c r="A1027">
        <v>4</v>
      </c>
      <c r="B1027">
        <v>1.7041120254790987E-3</v>
      </c>
    </row>
    <row r="1028" spans="1:2" x14ac:dyDescent="0.35">
      <c r="A1028">
        <v>3</v>
      </c>
      <c r="B1028">
        <v>5.5383640828070707E-3</v>
      </c>
    </row>
    <row r="1029" spans="1:2" x14ac:dyDescent="0.35">
      <c r="A1029">
        <v>2</v>
      </c>
      <c r="B1029">
        <v>9.3726161401350427E-3</v>
      </c>
    </row>
    <row r="1030" spans="1:2" x14ac:dyDescent="0.35">
      <c r="A1030">
        <v>1</v>
      </c>
      <c r="B1030">
        <v>1.5763036235681663E-2</v>
      </c>
    </row>
    <row r="1031" spans="1:2" x14ac:dyDescent="0.35">
      <c r="A1031">
        <v>9</v>
      </c>
      <c r="B1031">
        <v>3.5410120009955297E-5</v>
      </c>
    </row>
    <row r="1032" spans="1:2" x14ac:dyDescent="0.35">
      <c r="A1032">
        <v>8</v>
      </c>
      <c r="B1032">
        <v>1.1508289003235474E-4</v>
      </c>
    </row>
    <row r="1033" spans="1:2" x14ac:dyDescent="0.35">
      <c r="A1033">
        <v>7</v>
      </c>
      <c r="B1033">
        <v>1.9475566005475417E-4</v>
      </c>
    </row>
    <row r="1034" spans="1:2" x14ac:dyDescent="0.35">
      <c r="A1034">
        <v>6</v>
      </c>
      <c r="B1034">
        <v>3.2754361009208651E-4</v>
      </c>
    </row>
    <row r="1035" spans="1:2" x14ac:dyDescent="0.35">
      <c r="A1035">
        <v>8</v>
      </c>
      <c r="B1035">
        <v>1.1508289003235471E-4</v>
      </c>
    </row>
    <row r="1036" spans="1:2" x14ac:dyDescent="0.35">
      <c r="A1036">
        <v>7</v>
      </c>
      <c r="B1036">
        <v>3.7401939260515283E-4</v>
      </c>
    </row>
    <row r="1037" spans="1:2" x14ac:dyDescent="0.35">
      <c r="A1037">
        <v>6</v>
      </c>
      <c r="B1037">
        <v>6.329558951779509E-4</v>
      </c>
    </row>
    <row r="1038" spans="1:2" x14ac:dyDescent="0.35">
      <c r="A1038">
        <v>5</v>
      </c>
      <c r="B1038">
        <v>1.0645167327992811E-3</v>
      </c>
    </row>
    <row r="1039" spans="1:2" x14ac:dyDescent="0.35">
      <c r="A1039">
        <v>7</v>
      </c>
      <c r="B1039">
        <v>1.9475566005475414E-4</v>
      </c>
    </row>
    <row r="1040" spans="1:2" x14ac:dyDescent="0.35">
      <c r="A1040">
        <v>6</v>
      </c>
      <c r="B1040">
        <v>6.3295589517795101E-4</v>
      </c>
    </row>
    <row r="1041" spans="1:2" x14ac:dyDescent="0.35">
      <c r="A1041">
        <v>5</v>
      </c>
      <c r="B1041">
        <v>1.0711561303011479E-3</v>
      </c>
    </row>
    <row r="1042" spans="1:2" x14ac:dyDescent="0.35">
      <c r="A1042">
        <v>4</v>
      </c>
      <c r="B1042">
        <v>1.8014898555064759E-3</v>
      </c>
    </row>
    <row r="1043" spans="1:2" x14ac:dyDescent="0.35">
      <c r="A1043">
        <v>6</v>
      </c>
      <c r="B1043">
        <v>3.0983855008710878E-4</v>
      </c>
    </row>
    <row r="1044" spans="1:2" x14ac:dyDescent="0.35">
      <c r="A1044">
        <v>5</v>
      </c>
      <c r="B1044">
        <v>1.0069752877831038E-3</v>
      </c>
    </row>
    <row r="1045" spans="1:2" x14ac:dyDescent="0.35">
      <c r="A1045">
        <v>4</v>
      </c>
      <c r="B1045">
        <v>1.7041120254790987E-3</v>
      </c>
    </row>
    <row r="1046" spans="1:2" x14ac:dyDescent="0.35">
      <c r="A1046">
        <v>3</v>
      </c>
      <c r="B1046">
        <v>2.8660065883057565E-3</v>
      </c>
    </row>
    <row r="1047" spans="1:2" x14ac:dyDescent="0.35">
      <c r="A1047">
        <v>8</v>
      </c>
      <c r="B1047">
        <v>1.1508289003235474E-4</v>
      </c>
    </row>
    <row r="1048" spans="1:2" x14ac:dyDescent="0.35">
      <c r="A1048">
        <v>7</v>
      </c>
      <c r="B1048">
        <v>3.7401939260515288E-4</v>
      </c>
    </row>
    <row r="1049" spans="1:2" x14ac:dyDescent="0.35">
      <c r="A1049">
        <v>6</v>
      </c>
      <c r="B1049">
        <v>6.3295589517795112E-4</v>
      </c>
    </row>
    <row r="1050" spans="1:2" x14ac:dyDescent="0.35">
      <c r="A1050">
        <v>5</v>
      </c>
      <c r="B1050">
        <v>1.0645167327992813E-3</v>
      </c>
    </row>
    <row r="1051" spans="1:2" x14ac:dyDescent="0.35">
      <c r="A1051">
        <v>7</v>
      </c>
      <c r="B1051">
        <v>3.7401939260515288E-4</v>
      </c>
    </row>
    <row r="1052" spans="1:2" x14ac:dyDescent="0.35">
      <c r="A1052">
        <v>6</v>
      </c>
      <c r="B1052">
        <v>1.215563025966747E-3</v>
      </c>
    </row>
    <row r="1053" spans="1:2" x14ac:dyDescent="0.35">
      <c r="A1053">
        <v>5</v>
      </c>
      <c r="B1053">
        <v>2.057106659328341E-3</v>
      </c>
    </row>
    <row r="1054" spans="1:2" x14ac:dyDescent="0.35">
      <c r="A1054">
        <v>4</v>
      </c>
      <c r="B1054">
        <v>3.4596793815976639E-3</v>
      </c>
    </row>
    <row r="1055" spans="1:2" x14ac:dyDescent="0.35">
      <c r="A1055">
        <v>6</v>
      </c>
      <c r="B1055">
        <v>6.3295589517795101E-4</v>
      </c>
    </row>
    <row r="1056" spans="1:2" x14ac:dyDescent="0.35">
      <c r="A1056">
        <v>5</v>
      </c>
      <c r="B1056">
        <v>2.057106659328341E-3</v>
      </c>
    </row>
    <row r="1057" spans="1:2" x14ac:dyDescent="0.35">
      <c r="A1057">
        <v>4</v>
      </c>
      <c r="B1057">
        <v>3.481257423478731E-3</v>
      </c>
    </row>
    <row r="1058" spans="1:2" x14ac:dyDescent="0.35">
      <c r="A1058">
        <v>3</v>
      </c>
      <c r="B1058">
        <v>5.8548420303960466E-3</v>
      </c>
    </row>
    <row r="1059" spans="1:2" x14ac:dyDescent="0.35">
      <c r="A1059">
        <v>5</v>
      </c>
      <c r="B1059">
        <v>1.0069752877831036E-3</v>
      </c>
    </row>
    <row r="1060" spans="1:2" x14ac:dyDescent="0.35">
      <c r="A1060">
        <v>4</v>
      </c>
      <c r="B1060">
        <v>3.2726696852950869E-3</v>
      </c>
    </row>
    <row r="1061" spans="1:2" x14ac:dyDescent="0.35">
      <c r="A1061">
        <v>3</v>
      </c>
      <c r="B1061">
        <v>5.5383640828070707E-3</v>
      </c>
    </row>
    <row r="1062" spans="1:2" x14ac:dyDescent="0.35">
      <c r="A1062">
        <v>2</v>
      </c>
      <c r="B1062">
        <v>9.3145214119937075E-3</v>
      </c>
    </row>
    <row r="1063" spans="1:2" x14ac:dyDescent="0.35">
      <c r="A1063">
        <v>7</v>
      </c>
      <c r="B1063">
        <v>1.9475566005475417E-4</v>
      </c>
    </row>
    <row r="1064" spans="1:2" x14ac:dyDescent="0.35">
      <c r="A1064">
        <v>6</v>
      </c>
      <c r="B1064">
        <v>6.3295589517795112E-4</v>
      </c>
    </row>
    <row r="1065" spans="1:2" x14ac:dyDescent="0.35">
      <c r="A1065">
        <v>5</v>
      </c>
      <c r="B1065">
        <v>1.0711561303011481E-3</v>
      </c>
    </row>
    <row r="1066" spans="1:2" x14ac:dyDescent="0.35">
      <c r="A1066">
        <v>4</v>
      </c>
      <c r="B1066">
        <v>1.8014898555064761E-3</v>
      </c>
    </row>
    <row r="1067" spans="1:2" x14ac:dyDescent="0.35">
      <c r="A1067">
        <v>6</v>
      </c>
      <c r="B1067">
        <v>6.3295589517795101E-4</v>
      </c>
    </row>
    <row r="1068" spans="1:2" x14ac:dyDescent="0.35">
      <c r="A1068">
        <v>5</v>
      </c>
      <c r="B1068">
        <v>2.057106659328341E-3</v>
      </c>
    </row>
    <row r="1069" spans="1:2" x14ac:dyDescent="0.35">
      <c r="A1069">
        <v>4</v>
      </c>
      <c r="B1069">
        <v>3.481257423478731E-3</v>
      </c>
    </row>
    <row r="1070" spans="1:2" x14ac:dyDescent="0.35">
      <c r="A1070">
        <v>3</v>
      </c>
      <c r="B1070">
        <v>5.8548420303960466E-3</v>
      </c>
    </row>
    <row r="1071" spans="1:2" x14ac:dyDescent="0.35">
      <c r="A1071">
        <v>5</v>
      </c>
      <c r="B1071">
        <v>1.0711561303011479E-3</v>
      </c>
    </row>
    <row r="1072" spans="1:2" x14ac:dyDescent="0.35">
      <c r="A1072">
        <v>4</v>
      </c>
      <c r="B1072">
        <v>3.481257423478731E-3</v>
      </c>
    </row>
    <row r="1073" spans="1:2" x14ac:dyDescent="0.35">
      <c r="A1073">
        <v>3</v>
      </c>
      <c r="B1073">
        <v>5.8913587166563143E-3</v>
      </c>
    </row>
    <row r="1074" spans="1:2" x14ac:dyDescent="0.35">
      <c r="A1074">
        <v>2</v>
      </c>
      <c r="B1074">
        <v>9.9081942052856187E-3</v>
      </c>
    </row>
    <row r="1075" spans="1:2" x14ac:dyDescent="0.35">
      <c r="A1075">
        <v>4</v>
      </c>
      <c r="B1075">
        <v>1.7041120254790987E-3</v>
      </c>
    </row>
    <row r="1076" spans="1:2" x14ac:dyDescent="0.35">
      <c r="A1076">
        <v>3</v>
      </c>
      <c r="B1076">
        <v>5.5383640828070707E-3</v>
      </c>
    </row>
    <row r="1077" spans="1:2" x14ac:dyDescent="0.35">
      <c r="A1077">
        <v>2</v>
      </c>
      <c r="B1077">
        <v>9.3726161401350427E-3</v>
      </c>
    </row>
    <row r="1078" spans="1:2" x14ac:dyDescent="0.35">
      <c r="A1078">
        <v>1</v>
      </c>
      <c r="B1078">
        <v>1.5763036235681663E-2</v>
      </c>
    </row>
    <row r="1079" spans="1:2" x14ac:dyDescent="0.35">
      <c r="A1079">
        <v>6</v>
      </c>
      <c r="B1079">
        <v>3.0983855008710878E-4</v>
      </c>
    </row>
    <row r="1080" spans="1:2" x14ac:dyDescent="0.35">
      <c r="A1080">
        <v>5</v>
      </c>
      <c r="B1080">
        <v>1.0069752877831038E-3</v>
      </c>
    </row>
    <row r="1081" spans="1:2" x14ac:dyDescent="0.35">
      <c r="A1081">
        <v>4</v>
      </c>
      <c r="B1081">
        <v>1.7041120254790987E-3</v>
      </c>
    </row>
    <row r="1082" spans="1:2" x14ac:dyDescent="0.35">
      <c r="A1082">
        <v>3</v>
      </c>
      <c r="B1082">
        <v>2.8660065883057565E-3</v>
      </c>
    </row>
    <row r="1083" spans="1:2" x14ac:dyDescent="0.35">
      <c r="A1083">
        <v>5</v>
      </c>
      <c r="B1083">
        <v>1.0069752877831036E-3</v>
      </c>
    </row>
    <row r="1084" spans="1:2" x14ac:dyDescent="0.35">
      <c r="A1084">
        <v>4</v>
      </c>
      <c r="B1084">
        <v>3.2726696852950869E-3</v>
      </c>
    </row>
    <row r="1085" spans="1:2" x14ac:dyDescent="0.35">
      <c r="A1085">
        <v>3</v>
      </c>
      <c r="B1085">
        <v>5.5383640828070707E-3</v>
      </c>
    </row>
    <row r="1086" spans="1:2" x14ac:dyDescent="0.35">
      <c r="A1086">
        <v>2</v>
      </c>
      <c r="B1086">
        <v>9.3145214119937075E-3</v>
      </c>
    </row>
    <row r="1087" spans="1:2" x14ac:dyDescent="0.35">
      <c r="A1087">
        <v>4</v>
      </c>
      <c r="B1087">
        <v>1.7041120254790982E-3</v>
      </c>
    </row>
    <row r="1088" spans="1:2" x14ac:dyDescent="0.35">
      <c r="A1088">
        <v>3</v>
      </c>
      <c r="B1088">
        <v>5.5383640828070698E-3</v>
      </c>
    </row>
    <row r="1089" spans="1:2" x14ac:dyDescent="0.35">
      <c r="A1089">
        <v>2</v>
      </c>
      <c r="B1089">
        <v>9.372616140135041E-3</v>
      </c>
    </row>
    <row r="1090" spans="1:2" x14ac:dyDescent="0.35">
      <c r="A1090">
        <v>1</v>
      </c>
      <c r="B1090">
        <v>1.5763036235681659E-2</v>
      </c>
    </row>
    <row r="1091" spans="1:2" x14ac:dyDescent="0.35">
      <c r="A1091">
        <v>3</v>
      </c>
      <c r="B1091">
        <v>2.7110873132622014E-3</v>
      </c>
    </row>
    <row r="1092" spans="1:2" x14ac:dyDescent="0.35">
      <c r="A1092">
        <v>2</v>
      </c>
      <c r="B1092">
        <v>8.8110337681021542E-3</v>
      </c>
    </row>
    <row r="1093" spans="1:2" x14ac:dyDescent="0.35">
      <c r="A1093">
        <v>1</v>
      </c>
      <c r="B1093">
        <v>1.4910980222942108E-2</v>
      </c>
    </row>
    <row r="1094" spans="1:2" x14ac:dyDescent="0.35">
      <c r="A1094">
        <v>0</v>
      </c>
      <c r="B1094">
        <v>2.5077557647675362E-2</v>
      </c>
    </row>
  </sheetData>
  <phoneticPr fontId="10" type="noConversion"/>
  <pageMargins left="0.7" right="0.7" top="0.75" bottom="0.75" header="0.3" footer="0.3"/>
  <pageSetup orientation="portrait" r:id="rId1"/>
  <drawing r:id="rId2"/>
  <legacyDrawing r:id="rId3"/>
  <controls>
    <mc:AlternateContent xmlns:mc="http://schemas.openxmlformats.org/markup-compatibility/2006">
      <mc:Choice Requires="x14">
        <control shapeId="228353" r:id="rId4" name="CommandButton1">
          <controlPr defaultSize="0" autoLine="0" r:id="rId5">
            <anchor moveWithCells="1">
              <from>
                <xdr:col>6</xdr:col>
                <xdr:colOff>781050</xdr:colOff>
                <xdr:row>17</xdr:row>
                <xdr:rowOff>19050</xdr:rowOff>
              </from>
              <to>
                <xdr:col>8</xdr:col>
                <xdr:colOff>0</xdr:colOff>
                <xdr:row>20</xdr:row>
                <xdr:rowOff>69850</xdr:rowOff>
              </to>
            </anchor>
          </controlPr>
        </control>
      </mc:Choice>
      <mc:Fallback>
        <control shapeId="228353" r:id="rId4" name="CommandButton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12DB-208E-468D-9A1D-C310CD68DAD4}">
  <sheetPr codeName="Sheet11"/>
  <dimension ref="A1:G648"/>
  <sheetViews>
    <sheetView workbookViewId="0">
      <selection activeCell="I31" sqref="I31"/>
    </sheetView>
  </sheetViews>
  <sheetFormatPr defaultRowHeight="14.5" x14ac:dyDescent="0.35"/>
  <cols>
    <col min="1" max="6" width="8.81640625"/>
  </cols>
  <sheetData>
    <row r="1" spans="1:7" x14ac:dyDescent="0.35">
      <c r="A1" s="4" t="s">
        <v>51</v>
      </c>
      <c r="B1" s="4" t="s">
        <v>50</v>
      </c>
      <c r="C1" s="4" t="s">
        <v>174</v>
      </c>
      <c r="D1" s="4" t="s">
        <v>174</v>
      </c>
      <c r="E1" s="4" t="s">
        <v>49</v>
      </c>
      <c r="F1" s="4"/>
      <c r="G1" s="4"/>
    </row>
    <row r="2" spans="1:7" x14ac:dyDescent="0.35">
      <c r="A2" s="4" t="s">
        <v>50</v>
      </c>
      <c r="B2" s="4" t="s">
        <v>51</v>
      </c>
      <c r="C2" s="4" t="s">
        <v>52</v>
      </c>
      <c r="D2" s="4" t="s">
        <v>54</v>
      </c>
      <c r="E2" s="4" t="s">
        <v>52</v>
      </c>
      <c r="F2" s="4"/>
    </row>
    <row r="3" spans="1:7" x14ac:dyDescent="0.35">
      <c r="A3" s="4" t="s">
        <v>50</v>
      </c>
      <c r="B3" s="4" t="s">
        <v>53</v>
      </c>
      <c r="C3" s="4" t="s">
        <v>49</v>
      </c>
      <c r="D3" s="4" t="s">
        <v>56</v>
      </c>
      <c r="E3" s="4" t="s">
        <v>52</v>
      </c>
      <c r="F3" s="4"/>
    </row>
    <row r="4" spans="1:7" x14ac:dyDescent="0.35">
      <c r="A4" s="128" t="s">
        <v>60</v>
      </c>
      <c r="B4" s="128" t="s">
        <v>60</v>
      </c>
      <c r="C4" s="128" t="s">
        <v>60</v>
      </c>
      <c r="D4" s="128" t="s">
        <v>60</v>
      </c>
      <c r="E4" s="128" t="s">
        <v>60</v>
      </c>
      <c r="F4" s="4"/>
    </row>
    <row r="5" spans="1:7" x14ac:dyDescent="0.35">
      <c r="A5" s="128" t="s">
        <v>60</v>
      </c>
      <c r="B5" s="128" t="s">
        <v>60</v>
      </c>
      <c r="C5" s="128" t="s">
        <v>60</v>
      </c>
      <c r="D5" s="128" t="s">
        <v>60</v>
      </c>
      <c r="E5" s="128" t="s">
        <v>60</v>
      </c>
      <c r="F5" s="4"/>
    </row>
    <row r="6" spans="1:7" x14ac:dyDescent="0.35">
      <c r="A6" s="128" t="s">
        <v>60</v>
      </c>
      <c r="B6" s="128" t="s">
        <v>60</v>
      </c>
      <c r="C6" s="128" t="s">
        <v>60</v>
      </c>
      <c r="D6" s="128" t="s">
        <v>60</v>
      </c>
      <c r="E6" s="128" t="s">
        <v>60</v>
      </c>
      <c r="F6" s="4"/>
      <c r="G6" s="4"/>
    </row>
    <row r="7" spans="1:7" x14ac:dyDescent="0.35">
      <c r="A7" s="4" t="s">
        <v>52</v>
      </c>
      <c r="B7" s="4" t="s">
        <v>49</v>
      </c>
      <c r="C7" s="4" t="s">
        <v>50</v>
      </c>
      <c r="D7" s="4" t="s">
        <v>52</v>
      </c>
      <c r="E7" s="4" t="s">
        <v>51</v>
      </c>
      <c r="F7" s="4"/>
      <c r="G7" s="4"/>
    </row>
    <row r="8" spans="1:7" x14ac:dyDescent="0.35">
      <c r="A8" s="4" t="s">
        <v>53</v>
      </c>
      <c r="B8" s="4" t="s">
        <v>174</v>
      </c>
      <c r="C8" s="4" t="s">
        <v>52</v>
      </c>
      <c r="D8" s="4" t="s">
        <v>55</v>
      </c>
      <c r="E8" s="4" t="s">
        <v>50</v>
      </c>
      <c r="F8" s="4"/>
      <c r="G8" s="4" t="s">
        <v>60</v>
      </c>
    </row>
    <row r="9" spans="1:7" x14ac:dyDescent="0.35">
      <c r="A9" s="4" t="s">
        <v>174</v>
      </c>
      <c r="B9" s="4" t="s">
        <v>54</v>
      </c>
      <c r="C9" s="4" t="s">
        <v>54</v>
      </c>
      <c r="D9" s="4" t="s">
        <v>53</v>
      </c>
      <c r="E9" s="4" t="s">
        <v>174</v>
      </c>
      <c r="F9" s="4"/>
      <c r="G9" s="4" t="s">
        <v>107</v>
      </c>
    </row>
    <row r="10" spans="1:7" x14ac:dyDescent="0.35">
      <c r="A10" s="4" t="s">
        <v>52</v>
      </c>
      <c r="B10" s="4" t="s">
        <v>174</v>
      </c>
      <c r="C10" s="4" t="s">
        <v>51</v>
      </c>
      <c r="D10" s="4" t="s">
        <v>50</v>
      </c>
      <c r="E10" s="4" t="s">
        <v>49</v>
      </c>
      <c r="F10" s="4"/>
      <c r="G10" s="4"/>
    </row>
    <row r="11" spans="1:7" x14ac:dyDescent="0.35">
      <c r="A11" s="302" t="s">
        <v>107</v>
      </c>
      <c r="B11" s="4" t="s">
        <v>52</v>
      </c>
      <c r="C11" s="4" t="s">
        <v>174</v>
      </c>
      <c r="D11" s="4" t="s">
        <v>51</v>
      </c>
      <c r="E11" s="302" t="s">
        <v>107</v>
      </c>
      <c r="F11" s="4"/>
      <c r="G11" s="4"/>
    </row>
    <row r="12" spans="1:7" x14ac:dyDescent="0.35">
      <c r="A12" s="4" t="s">
        <v>50</v>
      </c>
      <c r="B12" s="4" t="s">
        <v>53</v>
      </c>
      <c r="C12" s="4" t="s">
        <v>52</v>
      </c>
      <c r="D12" s="4" t="s">
        <v>53</v>
      </c>
      <c r="E12" s="4" t="s">
        <v>56</v>
      </c>
      <c r="F12" s="4"/>
      <c r="G12" s="4"/>
    </row>
    <row r="13" spans="1:7" x14ac:dyDescent="0.35">
      <c r="A13" s="4" t="s">
        <v>53</v>
      </c>
      <c r="B13" s="4" t="s">
        <v>52</v>
      </c>
      <c r="C13" s="4" t="s">
        <v>50</v>
      </c>
      <c r="D13" s="4" t="s">
        <v>174</v>
      </c>
      <c r="E13" s="4" t="s">
        <v>53</v>
      </c>
      <c r="F13" s="4"/>
    </row>
    <row r="14" spans="1:7" x14ac:dyDescent="0.35">
      <c r="A14" s="4" t="s">
        <v>53</v>
      </c>
      <c r="B14" s="4" t="s">
        <v>52</v>
      </c>
      <c r="C14" s="4" t="s">
        <v>53</v>
      </c>
      <c r="D14" s="4" t="s">
        <v>49</v>
      </c>
      <c r="E14" s="4" t="s">
        <v>53</v>
      </c>
      <c r="F14" s="4"/>
    </row>
    <row r="15" spans="1:7" x14ac:dyDescent="0.35">
      <c r="A15" s="4" t="s">
        <v>49</v>
      </c>
      <c r="B15" s="4" t="s">
        <v>55</v>
      </c>
      <c r="C15" s="4" t="s">
        <v>53</v>
      </c>
      <c r="D15" s="4" t="s">
        <v>52</v>
      </c>
      <c r="E15" s="4" t="s">
        <v>174</v>
      </c>
      <c r="F15" s="4"/>
    </row>
    <row r="16" spans="1:7" x14ac:dyDescent="0.35">
      <c r="A16" s="128" t="s">
        <v>60</v>
      </c>
      <c r="B16" s="128" t="s">
        <v>60</v>
      </c>
      <c r="C16" s="128" t="s">
        <v>60</v>
      </c>
      <c r="D16" s="128" t="s">
        <v>60</v>
      </c>
      <c r="E16" s="128" t="s">
        <v>60</v>
      </c>
      <c r="F16" s="4"/>
    </row>
    <row r="17" spans="1:6" x14ac:dyDescent="0.35">
      <c r="A17" s="4" t="s">
        <v>49</v>
      </c>
      <c r="B17" s="4" t="s">
        <v>174</v>
      </c>
      <c r="C17" s="4" t="s">
        <v>50</v>
      </c>
      <c r="D17" s="4" t="s">
        <v>52</v>
      </c>
      <c r="E17" s="4" t="s">
        <v>50</v>
      </c>
      <c r="F17" s="4"/>
    </row>
    <row r="18" spans="1:6" x14ac:dyDescent="0.35">
      <c r="A18" s="4" t="s">
        <v>54</v>
      </c>
      <c r="B18" s="4" t="s">
        <v>49</v>
      </c>
      <c r="C18" s="4" t="s">
        <v>54</v>
      </c>
      <c r="D18" s="4" t="s">
        <v>52</v>
      </c>
      <c r="E18" s="4" t="s">
        <v>54</v>
      </c>
      <c r="F18" s="4"/>
    </row>
    <row r="19" spans="1:6" x14ac:dyDescent="0.35">
      <c r="A19" s="4" t="s">
        <v>51</v>
      </c>
      <c r="B19" s="4" t="s">
        <v>52</v>
      </c>
      <c r="C19" s="4" t="s">
        <v>52</v>
      </c>
      <c r="D19" s="4" t="s">
        <v>174</v>
      </c>
      <c r="E19" s="4" t="s">
        <v>174</v>
      </c>
      <c r="F19" s="4"/>
    </row>
    <row r="20" spans="1:6" x14ac:dyDescent="0.35">
      <c r="A20" s="4" t="s">
        <v>53</v>
      </c>
      <c r="B20" s="4" t="s">
        <v>56</v>
      </c>
      <c r="C20" s="4" t="s">
        <v>49</v>
      </c>
      <c r="D20" s="4" t="s">
        <v>49</v>
      </c>
      <c r="E20" s="4" t="s">
        <v>49</v>
      </c>
      <c r="F20" s="4"/>
    </row>
    <row r="21" spans="1:6" x14ac:dyDescent="0.35">
      <c r="A21" s="4" t="s">
        <v>55</v>
      </c>
      <c r="B21" s="4" t="s">
        <v>55</v>
      </c>
      <c r="C21" s="4" t="s">
        <v>52</v>
      </c>
      <c r="D21" s="4" t="s">
        <v>51</v>
      </c>
      <c r="E21" s="4" t="s">
        <v>51</v>
      </c>
      <c r="F21" s="4"/>
    </row>
    <row r="22" spans="1:6" x14ac:dyDescent="0.35">
      <c r="A22" s="4" t="s">
        <v>174</v>
      </c>
      <c r="B22" s="4" t="s">
        <v>53</v>
      </c>
      <c r="C22" s="4" t="s">
        <v>54</v>
      </c>
      <c r="D22" s="4" t="s">
        <v>50</v>
      </c>
      <c r="E22" s="4" t="s">
        <v>174</v>
      </c>
      <c r="F22" s="4"/>
    </row>
    <row r="23" spans="1:6" x14ac:dyDescent="0.35">
      <c r="A23" s="128" t="s">
        <v>60</v>
      </c>
      <c r="B23" s="128" t="s">
        <v>60</v>
      </c>
      <c r="C23" s="128" t="s">
        <v>60</v>
      </c>
      <c r="D23" s="128" t="s">
        <v>60</v>
      </c>
      <c r="E23" s="128" t="s">
        <v>60</v>
      </c>
      <c r="F23" s="4"/>
    </row>
    <row r="24" spans="1:6" x14ac:dyDescent="0.35">
      <c r="A24" s="128" t="s">
        <v>60</v>
      </c>
      <c r="B24" s="128" t="s">
        <v>60</v>
      </c>
      <c r="C24" s="128" t="s">
        <v>60</v>
      </c>
      <c r="D24" s="128" t="s">
        <v>60</v>
      </c>
      <c r="E24" s="128" t="s">
        <v>60</v>
      </c>
      <c r="F24" s="4"/>
    </row>
    <row r="25" spans="1:6" x14ac:dyDescent="0.35">
      <c r="A25" s="4" t="s">
        <v>54</v>
      </c>
      <c r="B25" s="4" t="s">
        <v>51</v>
      </c>
      <c r="C25" s="4" t="s">
        <v>52</v>
      </c>
      <c r="D25" s="4" t="s">
        <v>174</v>
      </c>
      <c r="E25" s="4" t="s">
        <v>53</v>
      </c>
      <c r="F25" s="4"/>
    </row>
    <row r="26" spans="1:6" x14ac:dyDescent="0.35">
      <c r="A26" s="4" t="s">
        <v>54</v>
      </c>
      <c r="B26" s="4" t="s">
        <v>174</v>
      </c>
      <c r="C26" s="4" t="s">
        <v>54</v>
      </c>
      <c r="D26" s="4" t="s">
        <v>55</v>
      </c>
      <c r="E26" s="4" t="s">
        <v>51</v>
      </c>
      <c r="F26" s="4"/>
    </row>
    <row r="27" spans="1:6" x14ac:dyDescent="0.35">
      <c r="A27" s="4" t="s">
        <v>56</v>
      </c>
      <c r="B27" s="4" t="s">
        <v>52</v>
      </c>
      <c r="C27" s="4" t="s">
        <v>174</v>
      </c>
      <c r="D27" s="4" t="s">
        <v>50</v>
      </c>
      <c r="E27" s="4" t="s">
        <v>51</v>
      </c>
      <c r="F27" s="4"/>
    </row>
    <row r="28" spans="1:6" x14ac:dyDescent="0.35">
      <c r="A28" s="302" t="s">
        <v>107</v>
      </c>
      <c r="B28" s="4" t="s">
        <v>54</v>
      </c>
      <c r="C28" s="4" t="s">
        <v>174</v>
      </c>
      <c r="D28" s="4" t="s">
        <v>52</v>
      </c>
      <c r="E28" s="302" t="s">
        <v>107</v>
      </c>
      <c r="F28" s="4"/>
    </row>
    <row r="29" spans="1:6" x14ac:dyDescent="0.35">
      <c r="A29" s="4" t="s">
        <v>50</v>
      </c>
      <c r="B29" s="4" t="s">
        <v>174</v>
      </c>
      <c r="C29" s="4" t="s">
        <v>51</v>
      </c>
      <c r="D29" s="4" t="s">
        <v>51</v>
      </c>
      <c r="E29" s="4" t="s">
        <v>54</v>
      </c>
      <c r="F29" s="4"/>
    </row>
    <row r="30" spans="1:6" x14ac:dyDescent="0.35">
      <c r="A30" s="4" t="s">
        <v>51</v>
      </c>
      <c r="B30" s="4" t="s">
        <v>49</v>
      </c>
      <c r="C30" s="4" t="s">
        <v>51</v>
      </c>
      <c r="D30" s="4" t="s">
        <v>53</v>
      </c>
      <c r="E30" s="4" t="s">
        <v>52</v>
      </c>
      <c r="F30" s="4"/>
    </row>
    <row r="31" spans="1:6" x14ac:dyDescent="0.35">
      <c r="A31" s="4" t="s">
        <v>49</v>
      </c>
      <c r="B31" s="4" t="s">
        <v>51</v>
      </c>
      <c r="C31" s="4" t="s">
        <v>174</v>
      </c>
      <c r="D31" s="4" t="s">
        <v>49</v>
      </c>
      <c r="E31" s="4" t="s">
        <v>52</v>
      </c>
      <c r="F31" s="4"/>
    </row>
    <row r="32" spans="1:6" x14ac:dyDescent="0.35">
      <c r="A32" s="4" t="s">
        <v>49</v>
      </c>
      <c r="B32" s="4" t="s">
        <v>49</v>
      </c>
      <c r="C32" s="4" t="s">
        <v>53</v>
      </c>
      <c r="D32" s="4" t="s">
        <v>49</v>
      </c>
      <c r="E32" s="4" t="s">
        <v>53</v>
      </c>
      <c r="F32" s="4"/>
    </row>
    <row r="33" spans="1:6" x14ac:dyDescent="0.35">
      <c r="A33" s="4" t="s">
        <v>174</v>
      </c>
      <c r="B33" s="4" t="s">
        <v>52</v>
      </c>
      <c r="C33" s="4" t="s">
        <v>49</v>
      </c>
      <c r="D33" s="4" t="s">
        <v>53</v>
      </c>
      <c r="E33" s="4" t="s">
        <v>56</v>
      </c>
      <c r="F33" s="4"/>
    </row>
    <row r="34" spans="1:6" x14ac:dyDescent="0.35">
      <c r="A34" s="128" t="s">
        <v>60</v>
      </c>
      <c r="B34" s="128" t="s">
        <v>60</v>
      </c>
      <c r="C34" s="128" t="s">
        <v>60</v>
      </c>
      <c r="D34" s="128" t="s">
        <v>60</v>
      </c>
      <c r="E34" s="128" t="s">
        <v>60</v>
      </c>
      <c r="F34" s="4"/>
    </row>
    <row r="35" spans="1:6" x14ac:dyDescent="0.35">
      <c r="A35" s="128" t="s">
        <v>60</v>
      </c>
      <c r="B35" s="128" t="s">
        <v>60</v>
      </c>
      <c r="C35" s="128" t="s">
        <v>60</v>
      </c>
      <c r="D35" s="128" t="s">
        <v>60</v>
      </c>
      <c r="E35" s="128" t="s">
        <v>60</v>
      </c>
      <c r="F35" s="4"/>
    </row>
    <row r="36" spans="1:6" x14ac:dyDescent="0.35">
      <c r="A36" s="128" t="s">
        <v>60</v>
      </c>
      <c r="B36" s="128" t="s">
        <v>60</v>
      </c>
      <c r="C36" s="128" t="s">
        <v>60</v>
      </c>
      <c r="D36" s="128" t="s">
        <v>60</v>
      </c>
      <c r="E36" s="128" t="s">
        <v>60</v>
      </c>
      <c r="F36" s="4"/>
    </row>
    <row r="37" spans="1:6" x14ac:dyDescent="0.35">
      <c r="A37" s="4" t="s">
        <v>49</v>
      </c>
      <c r="B37" s="4" t="s">
        <v>49</v>
      </c>
      <c r="C37" s="4" t="s">
        <v>174</v>
      </c>
      <c r="D37" s="4" t="s">
        <v>51</v>
      </c>
      <c r="E37" s="4" t="s">
        <v>55</v>
      </c>
      <c r="F37" s="4"/>
    </row>
    <row r="38" spans="1:6" x14ac:dyDescent="0.35">
      <c r="A38" s="4" t="s">
        <v>56</v>
      </c>
      <c r="B38" s="4" t="s">
        <v>51</v>
      </c>
      <c r="C38" s="4" t="s">
        <v>53</v>
      </c>
      <c r="D38" s="4" t="s">
        <v>49</v>
      </c>
      <c r="E38" s="4" t="s">
        <v>50</v>
      </c>
      <c r="F38" s="4"/>
    </row>
    <row r="39" spans="1:6" x14ac:dyDescent="0.35">
      <c r="A39" s="4" t="s">
        <v>51</v>
      </c>
      <c r="B39" s="4" t="s">
        <v>51</v>
      </c>
      <c r="C39" s="4" t="s">
        <v>51</v>
      </c>
      <c r="D39" s="4" t="s">
        <v>174</v>
      </c>
      <c r="E39" s="4" t="s">
        <v>51</v>
      </c>
      <c r="F39" s="4"/>
    </row>
    <row r="40" spans="1:6" x14ac:dyDescent="0.35">
      <c r="A40" s="4" t="s">
        <v>50</v>
      </c>
      <c r="B40" s="4" t="s">
        <v>49</v>
      </c>
      <c r="C40" s="4" t="s">
        <v>55</v>
      </c>
      <c r="D40" s="4" t="s">
        <v>50</v>
      </c>
      <c r="E40" s="4" t="s">
        <v>49</v>
      </c>
      <c r="F40" s="4"/>
    </row>
    <row r="41" spans="1:6" x14ac:dyDescent="0.35">
      <c r="A41" s="4" t="s">
        <v>56</v>
      </c>
      <c r="B41" s="4" t="s">
        <v>52</v>
      </c>
      <c r="C41" s="4" t="s">
        <v>52</v>
      </c>
      <c r="D41" s="4" t="s">
        <v>54</v>
      </c>
      <c r="E41" s="4" t="s">
        <v>49</v>
      </c>
      <c r="F41" s="4"/>
    </row>
    <row r="42" spans="1:6" x14ac:dyDescent="0.35">
      <c r="A42" s="4" t="s">
        <v>174</v>
      </c>
      <c r="B42" s="4" t="s">
        <v>54</v>
      </c>
      <c r="C42" s="4" t="s">
        <v>49</v>
      </c>
      <c r="D42" s="4" t="s">
        <v>51</v>
      </c>
      <c r="E42" s="4" t="s">
        <v>50</v>
      </c>
      <c r="F42" s="4"/>
    </row>
    <row r="43" spans="1:6" x14ac:dyDescent="0.35">
      <c r="A43" s="4" t="s">
        <v>174</v>
      </c>
      <c r="B43" s="4" t="s">
        <v>49</v>
      </c>
      <c r="C43" s="4" t="s">
        <v>51</v>
      </c>
      <c r="D43" s="4" t="s">
        <v>49</v>
      </c>
      <c r="E43" s="4" t="s">
        <v>50</v>
      </c>
      <c r="F43" s="4"/>
    </row>
    <row r="44" spans="1:6" x14ac:dyDescent="0.35">
      <c r="A44" s="4" t="s">
        <v>54</v>
      </c>
      <c r="B44" s="4" t="s">
        <v>174</v>
      </c>
      <c r="C44" s="4" t="s">
        <v>51</v>
      </c>
      <c r="D44" s="4" t="s">
        <v>49</v>
      </c>
      <c r="E44" s="4" t="s">
        <v>49</v>
      </c>
      <c r="F44" s="4"/>
    </row>
    <row r="45" spans="1:6" x14ac:dyDescent="0.35">
      <c r="A45" s="128" t="s">
        <v>60</v>
      </c>
      <c r="B45" s="128" t="s">
        <v>60</v>
      </c>
      <c r="C45" s="128" t="s">
        <v>60</v>
      </c>
      <c r="D45" s="128" t="s">
        <v>60</v>
      </c>
      <c r="E45" s="128" t="s">
        <v>60</v>
      </c>
      <c r="F45" s="4"/>
    </row>
    <row r="46" spans="1:6" x14ac:dyDescent="0.35">
      <c r="A46" s="4" t="s">
        <v>52</v>
      </c>
      <c r="B46" s="4" t="s">
        <v>56</v>
      </c>
      <c r="C46" s="4" t="s">
        <v>50</v>
      </c>
      <c r="D46" s="4" t="s">
        <v>174</v>
      </c>
      <c r="E46" s="4" t="s">
        <v>174</v>
      </c>
      <c r="F46" s="4"/>
    </row>
    <row r="47" spans="1:6" x14ac:dyDescent="0.35">
      <c r="A47" s="4" t="s">
        <v>52</v>
      </c>
      <c r="B47" s="4" t="s">
        <v>56</v>
      </c>
      <c r="C47" s="4" t="s">
        <v>50</v>
      </c>
      <c r="D47" s="4" t="s">
        <v>56</v>
      </c>
      <c r="E47" s="4" t="s">
        <v>52</v>
      </c>
      <c r="F47" s="4"/>
    </row>
    <row r="48" spans="1:6" x14ac:dyDescent="0.35">
      <c r="A48" s="4" t="s">
        <v>53</v>
      </c>
      <c r="B48" s="4" t="s">
        <v>50</v>
      </c>
      <c r="C48" s="4" t="s">
        <v>50</v>
      </c>
      <c r="D48" s="4" t="s">
        <v>53</v>
      </c>
      <c r="E48" s="4" t="s">
        <v>56</v>
      </c>
      <c r="F48" s="4"/>
    </row>
    <row r="49" spans="1:6" x14ac:dyDescent="0.35">
      <c r="A49" s="4" t="s">
        <v>174</v>
      </c>
      <c r="B49" s="4" t="s">
        <v>52</v>
      </c>
      <c r="C49" s="4" t="s">
        <v>51</v>
      </c>
      <c r="D49" s="4" t="s">
        <v>50</v>
      </c>
      <c r="E49" s="4" t="s">
        <v>54</v>
      </c>
      <c r="F49" s="4"/>
    </row>
    <row r="50" spans="1:6" x14ac:dyDescent="0.35">
      <c r="A50" s="4" t="s">
        <v>55</v>
      </c>
      <c r="B50" s="4" t="s">
        <v>50</v>
      </c>
      <c r="C50" s="4" t="s">
        <v>51</v>
      </c>
      <c r="D50" s="4" t="s">
        <v>51</v>
      </c>
      <c r="E50" s="4" t="s">
        <v>53</v>
      </c>
      <c r="F50" s="4"/>
    </row>
    <row r="51" spans="1:6" x14ac:dyDescent="0.35">
      <c r="A51" s="4" t="s">
        <v>52</v>
      </c>
      <c r="B51" s="4" t="s">
        <v>53</v>
      </c>
      <c r="C51" s="4" t="s">
        <v>56</v>
      </c>
      <c r="D51" s="4" t="s">
        <v>55</v>
      </c>
      <c r="E51" s="4" t="s">
        <v>52</v>
      </c>
      <c r="F51" s="4"/>
    </row>
    <row r="52" spans="1:6" x14ac:dyDescent="0.35">
      <c r="A52" s="128" t="s">
        <v>60</v>
      </c>
      <c r="B52" s="128" t="s">
        <v>60</v>
      </c>
      <c r="C52" s="128" t="s">
        <v>60</v>
      </c>
      <c r="D52" s="128" t="s">
        <v>60</v>
      </c>
      <c r="E52" s="128" t="s">
        <v>60</v>
      </c>
      <c r="F52" s="4"/>
    </row>
    <row r="53" spans="1:6" x14ac:dyDescent="0.35">
      <c r="A53" s="128" t="s">
        <v>60</v>
      </c>
      <c r="B53" s="128" t="s">
        <v>60</v>
      </c>
      <c r="C53" s="128" t="s">
        <v>60</v>
      </c>
      <c r="D53" s="128" t="s">
        <v>60</v>
      </c>
      <c r="E53" s="128" t="s">
        <v>60</v>
      </c>
      <c r="F53" s="4"/>
    </row>
    <row r="54" spans="1:6" x14ac:dyDescent="0.35">
      <c r="A54" s="4" t="s">
        <v>49</v>
      </c>
      <c r="B54" s="4" t="s">
        <v>51</v>
      </c>
      <c r="C54" s="4" t="s">
        <v>49</v>
      </c>
      <c r="D54" s="4" t="s">
        <v>53</v>
      </c>
      <c r="E54" s="4" t="s">
        <v>50</v>
      </c>
      <c r="F54" s="4"/>
    </row>
    <row r="55" spans="1:6" x14ac:dyDescent="0.35">
      <c r="A55" s="4" t="s">
        <v>52</v>
      </c>
      <c r="B55" s="4" t="s">
        <v>50</v>
      </c>
      <c r="C55" s="4" t="s">
        <v>52</v>
      </c>
      <c r="D55" s="4" t="s">
        <v>174</v>
      </c>
      <c r="E55" s="4" t="s">
        <v>51</v>
      </c>
      <c r="F55" s="4"/>
    </row>
    <row r="56" spans="1:6" x14ac:dyDescent="0.35">
      <c r="A56" s="4" t="s">
        <v>55</v>
      </c>
      <c r="B56" s="4" t="s">
        <v>55</v>
      </c>
      <c r="C56" s="4" t="s">
        <v>53</v>
      </c>
      <c r="D56" s="4" t="s">
        <v>50</v>
      </c>
      <c r="E56" s="4" t="s">
        <v>52</v>
      </c>
      <c r="F56" s="4"/>
    </row>
    <row r="57" spans="1:6" x14ac:dyDescent="0.35">
      <c r="A57" s="4" t="s">
        <v>51</v>
      </c>
      <c r="B57" s="4" t="s">
        <v>53</v>
      </c>
      <c r="C57" s="4" t="s">
        <v>49</v>
      </c>
      <c r="D57" s="4" t="s">
        <v>50</v>
      </c>
      <c r="E57" s="4" t="s">
        <v>174</v>
      </c>
      <c r="F57" s="4"/>
    </row>
    <row r="58" spans="1:6" x14ac:dyDescent="0.35">
      <c r="A58" s="4" t="s">
        <v>49</v>
      </c>
      <c r="B58" s="4" t="s">
        <v>50</v>
      </c>
      <c r="C58" s="4" t="s">
        <v>53</v>
      </c>
      <c r="D58" s="4" t="s">
        <v>50</v>
      </c>
      <c r="E58" s="4" t="s">
        <v>50</v>
      </c>
      <c r="F58" s="4"/>
    </row>
    <row r="59" spans="1:6" x14ac:dyDescent="0.35">
      <c r="A59" s="4" t="s">
        <v>52</v>
      </c>
      <c r="B59" s="4" t="s">
        <v>53</v>
      </c>
      <c r="C59" s="4" t="s">
        <v>55</v>
      </c>
      <c r="D59" s="4" t="s">
        <v>51</v>
      </c>
      <c r="E59" s="4" t="s">
        <v>55</v>
      </c>
      <c r="F59" s="4"/>
    </row>
    <row r="60" spans="1:6" x14ac:dyDescent="0.35">
      <c r="A60" s="4" t="s">
        <v>49</v>
      </c>
      <c r="B60" s="4" t="s">
        <v>51</v>
      </c>
      <c r="C60" s="4" t="s">
        <v>55</v>
      </c>
      <c r="D60" s="4" t="s">
        <v>54</v>
      </c>
      <c r="E60" s="4" t="s">
        <v>49</v>
      </c>
      <c r="F60" s="4"/>
    </row>
    <row r="61" spans="1:6" x14ac:dyDescent="0.35">
      <c r="A61" s="128" t="s">
        <v>60</v>
      </c>
      <c r="B61" s="128" t="s">
        <v>60</v>
      </c>
      <c r="C61" s="128" t="s">
        <v>60</v>
      </c>
      <c r="D61" s="128" t="s">
        <v>60</v>
      </c>
      <c r="E61" s="128" t="s">
        <v>60</v>
      </c>
      <c r="F61" s="4"/>
    </row>
    <row r="62" spans="1:6" x14ac:dyDescent="0.35">
      <c r="A62" s="4" t="s">
        <v>50</v>
      </c>
      <c r="B62" s="4" t="s">
        <v>50</v>
      </c>
      <c r="C62" s="4" t="s">
        <v>49</v>
      </c>
      <c r="D62" s="4" t="s">
        <v>52</v>
      </c>
      <c r="E62" s="4" t="s">
        <v>52</v>
      </c>
      <c r="F62" s="4"/>
    </row>
    <row r="63" spans="1:6" x14ac:dyDescent="0.35">
      <c r="A63" s="4" t="s">
        <v>50</v>
      </c>
      <c r="B63" s="4" t="s">
        <v>55</v>
      </c>
      <c r="C63" s="4" t="s">
        <v>49</v>
      </c>
      <c r="D63" s="4" t="s">
        <v>51</v>
      </c>
      <c r="E63" s="4" t="s">
        <v>53</v>
      </c>
      <c r="F63" s="4"/>
    </row>
    <row r="64" spans="1:6" x14ac:dyDescent="0.35">
      <c r="A64" s="4" t="s">
        <v>52</v>
      </c>
      <c r="B64" s="4" t="s">
        <v>54</v>
      </c>
      <c r="C64" s="4" t="s">
        <v>50</v>
      </c>
      <c r="D64" s="4" t="s">
        <v>49</v>
      </c>
      <c r="E64" s="4" t="s">
        <v>51</v>
      </c>
      <c r="F64" s="4"/>
    </row>
    <row r="65" spans="1:6" x14ac:dyDescent="0.35">
      <c r="A65" s="4" t="s">
        <v>52</v>
      </c>
      <c r="B65" s="4" t="s">
        <v>51</v>
      </c>
      <c r="C65" s="4" t="s">
        <v>174</v>
      </c>
      <c r="D65" s="4" t="s">
        <v>52</v>
      </c>
      <c r="E65" s="4" t="s">
        <v>54</v>
      </c>
      <c r="F65" s="4"/>
    </row>
    <row r="66" spans="1:6" x14ac:dyDescent="0.35">
      <c r="A66" s="4" t="s">
        <v>50</v>
      </c>
      <c r="B66" s="4" t="s">
        <v>51</v>
      </c>
      <c r="C66" s="4" t="s">
        <v>54</v>
      </c>
      <c r="D66" s="4" t="s">
        <v>51</v>
      </c>
      <c r="E66" s="4" t="s">
        <v>52</v>
      </c>
      <c r="F66" s="4"/>
    </row>
    <row r="67" spans="1:6" x14ac:dyDescent="0.35">
      <c r="A67" s="4" t="s">
        <v>51</v>
      </c>
      <c r="B67" s="4" t="s">
        <v>52</v>
      </c>
      <c r="C67" s="4" t="s">
        <v>52</v>
      </c>
      <c r="D67" s="4" t="s">
        <v>55</v>
      </c>
      <c r="E67" s="4" t="s">
        <v>50</v>
      </c>
      <c r="F67" s="4"/>
    </row>
    <row r="68" spans="1:6" x14ac:dyDescent="0.35">
      <c r="A68" s="128" t="s">
        <v>60</v>
      </c>
      <c r="B68" s="128" t="s">
        <v>60</v>
      </c>
      <c r="C68" s="128" t="s">
        <v>60</v>
      </c>
      <c r="D68" s="128" t="s">
        <v>60</v>
      </c>
      <c r="E68" s="128" t="s">
        <v>60</v>
      </c>
      <c r="F68" s="4"/>
    </row>
    <row r="69" spans="1:6" x14ac:dyDescent="0.35">
      <c r="A69" s="128" t="s">
        <v>60</v>
      </c>
      <c r="B69" s="128" t="s">
        <v>60</v>
      </c>
      <c r="C69" s="128" t="s">
        <v>60</v>
      </c>
      <c r="D69" s="128" t="s">
        <v>60</v>
      </c>
      <c r="E69" s="128" t="s">
        <v>60</v>
      </c>
      <c r="F69" s="4"/>
    </row>
    <row r="70" spans="1:6" x14ac:dyDescent="0.35">
      <c r="A70" s="4" t="s">
        <v>51</v>
      </c>
      <c r="B70" s="4" t="s">
        <v>174</v>
      </c>
      <c r="C70" s="4" t="s">
        <v>56</v>
      </c>
      <c r="D70" s="4" t="s">
        <v>54</v>
      </c>
      <c r="E70" s="4" t="s">
        <v>55</v>
      </c>
      <c r="F70" s="4"/>
    </row>
    <row r="71" spans="1:6" x14ac:dyDescent="0.35">
      <c r="A71" s="4" t="s">
        <v>53</v>
      </c>
      <c r="B71" s="4" t="s">
        <v>54</v>
      </c>
      <c r="C71" s="4" t="s">
        <v>51</v>
      </c>
      <c r="D71" s="4" t="s">
        <v>56</v>
      </c>
      <c r="E71" s="4" t="s">
        <v>55</v>
      </c>
      <c r="F71" s="4"/>
    </row>
    <row r="72" spans="1:6" x14ac:dyDescent="0.35">
      <c r="A72" s="4" t="s">
        <v>174</v>
      </c>
      <c r="B72" s="4" t="s">
        <v>50</v>
      </c>
      <c r="C72" s="4" t="s">
        <v>50</v>
      </c>
      <c r="D72" s="4" t="s">
        <v>52</v>
      </c>
      <c r="E72" s="4" t="s">
        <v>51</v>
      </c>
      <c r="F72" s="4"/>
    </row>
    <row r="73" spans="1:6" x14ac:dyDescent="0.35">
      <c r="A73" s="4" t="s">
        <v>51</v>
      </c>
      <c r="B73" s="4" t="s">
        <v>50</v>
      </c>
      <c r="C73" s="4" t="s">
        <v>56</v>
      </c>
      <c r="D73" s="4" t="s">
        <v>52</v>
      </c>
      <c r="E73" s="4" t="s">
        <v>174</v>
      </c>
      <c r="F73" s="4"/>
    </row>
    <row r="74" spans="1:6" x14ac:dyDescent="0.35">
      <c r="A74" s="4" t="s">
        <v>54</v>
      </c>
      <c r="B74" s="4" t="s">
        <v>49</v>
      </c>
      <c r="C74" s="4" t="s">
        <v>55</v>
      </c>
      <c r="D74" s="4" t="s">
        <v>54</v>
      </c>
      <c r="E74" s="4" t="s">
        <v>51</v>
      </c>
      <c r="F74" s="4"/>
    </row>
    <row r="75" spans="1:6" x14ac:dyDescent="0.35">
      <c r="A75" s="4" t="s">
        <v>51</v>
      </c>
      <c r="B75" s="4"/>
      <c r="C75" s="4"/>
      <c r="D75" s="4"/>
      <c r="E75" s="4" t="s">
        <v>54</v>
      </c>
      <c r="F75" s="4"/>
    </row>
    <row r="76" spans="1:6" x14ac:dyDescent="0.35">
      <c r="A76" s="4" t="s">
        <v>55</v>
      </c>
      <c r="B76" s="4"/>
      <c r="C76" s="4"/>
      <c r="D76" s="4"/>
      <c r="E76" s="4" t="s">
        <v>49</v>
      </c>
      <c r="F76" s="4"/>
    </row>
    <row r="77" spans="1:6" x14ac:dyDescent="0.35">
      <c r="A77" s="4"/>
      <c r="B77" s="4"/>
      <c r="C77" s="4"/>
      <c r="D77" s="4"/>
      <c r="E77" s="4"/>
      <c r="F77" s="4"/>
    </row>
    <row r="78" spans="1:6" x14ac:dyDescent="0.35">
      <c r="A78" s="4"/>
      <c r="B78" s="4"/>
      <c r="C78" s="4"/>
      <c r="D78" s="4"/>
      <c r="E78" s="4"/>
      <c r="F78" s="4"/>
    </row>
    <row r="79" spans="1:6" x14ac:dyDescent="0.35">
      <c r="A79" s="4"/>
      <c r="B79" s="4"/>
      <c r="C79" s="4"/>
      <c r="D79" s="4"/>
      <c r="E79" s="4"/>
      <c r="F79" s="4"/>
    </row>
    <row r="80" spans="1:6" x14ac:dyDescent="0.35">
      <c r="A80" s="4"/>
      <c r="B80" s="4"/>
      <c r="C80" s="4"/>
      <c r="D80" s="4"/>
      <c r="E80" s="4"/>
      <c r="F80" s="4"/>
    </row>
    <row r="81" spans="1:6" x14ac:dyDescent="0.35">
      <c r="A81" s="4"/>
      <c r="B81" s="4"/>
      <c r="C81" s="4"/>
      <c r="D81" s="4"/>
      <c r="E81" s="4"/>
      <c r="F81" s="4"/>
    </row>
    <row r="82" spans="1:6" x14ac:dyDescent="0.35">
      <c r="A82" s="4"/>
      <c r="B82" s="4"/>
      <c r="C82" s="4"/>
      <c r="D82" s="4"/>
      <c r="E82" s="4"/>
      <c r="F82" s="4"/>
    </row>
    <row r="83" spans="1:6" x14ac:dyDescent="0.35">
      <c r="A83" s="4"/>
      <c r="B83" s="4"/>
      <c r="C83" s="4"/>
      <c r="D83" s="4"/>
      <c r="E83" s="4"/>
      <c r="F83" s="4"/>
    </row>
    <row r="84" spans="1:6" x14ac:dyDescent="0.35">
      <c r="A84" s="4"/>
      <c r="B84" s="4"/>
      <c r="C84" s="4"/>
      <c r="D84" s="4"/>
      <c r="E84" s="4"/>
      <c r="F84" s="4"/>
    </row>
    <row r="85" spans="1:6" x14ac:dyDescent="0.35">
      <c r="A85" s="4"/>
      <c r="B85" s="4"/>
      <c r="C85" s="4"/>
      <c r="D85" s="4"/>
      <c r="E85" s="4"/>
      <c r="F85" s="4"/>
    </row>
    <row r="86" spans="1:6" x14ac:dyDescent="0.35">
      <c r="A86" s="4"/>
      <c r="B86" s="4"/>
      <c r="C86" s="4"/>
      <c r="D86" s="4"/>
      <c r="E86" s="4"/>
      <c r="F86" s="4"/>
    </row>
    <row r="87" spans="1:6" x14ac:dyDescent="0.35">
      <c r="A87" s="4"/>
      <c r="B87" s="4"/>
      <c r="C87" s="4"/>
      <c r="D87" s="4"/>
      <c r="E87" s="4"/>
      <c r="F87" s="4"/>
    </row>
    <row r="88" spans="1:6" x14ac:dyDescent="0.35">
      <c r="A88" s="4"/>
      <c r="B88" s="4"/>
      <c r="C88" s="4"/>
      <c r="D88" s="4"/>
      <c r="E88" s="4"/>
      <c r="F88" s="4"/>
    </row>
    <row r="89" spans="1:6" x14ac:dyDescent="0.35">
      <c r="A89" s="4"/>
      <c r="B89" s="4"/>
      <c r="C89" s="4"/>
      <c r="D89" s="4"/>
      <c r="E89" s="4"/>
      <c r="F89" s="4"/>
    </row>
    <row r="90" spans="1:6" x14ac:dyDescent="0.35">
      <c r="A90" s="4"/>
      <c r="B90" s="4"/>
      <c r="C90" s="4"/>
      <c r="D90" s="4"/>
      <c r="E90" s="4"/>
      <c r="F90" s="4"/>
    </row>
    <row r="91" spans="1:6" x14ac:dyDescent="0.35">
      <c r="A91" s="4"/>
      <c r="B91" s="4"/>
      <c r="C91" s="4"/>
      <c r="D91" s="4"/>
      <c r="E91" s="4"/>
      <c r="F91" s="4"/>
    </row>
    <row r="92" spans="1:6" x14ac:dyDescent="0.35">
      <c r="A92" s="4"/>
      <c r="B92" s="4"/>
      <c r="C92" s="4"/>
      <c r="D92" s="4"/>
      <c r="E92" s="4"/>
      <c r="F92" s="4"/>
    </row>
    <row r="93" spans="1:6" x14ac:dyDescent="0.35">
      <c r="A93" s="4"/>
      <c r="B93" s="4"/>
      <c r="C93" s="4"/>
      <c r="D93" s="4"/>
      <c r="E93" s="4"/>
      <c r="F93" s="4"/>
    </row>
    <row r="94" spans="1:6" x14ac:dyDescent="0.35">
      <c r="A94" s="4"/>
      <c r="B94" s="4"/>
      <c r="C94" s="4"/>
      <c r="D94" s="4"/>
      <c r="E94" s="4"/>
      <c r="F94" s="4"/>
    </row>
    <row r="95" spans="1:6" x14ac:dyDescent="0.35">
      <c r="A95" s="4"/>
      <c r="B95" s="4"/>
      <c r="C95" s="4"/>
      <c r="D95" s="4"/>
      <c r="E95" s="4"/>
      <c r="F95" s="4"/>
    </row>
    <row r="96" spans="1:6" x14ac:dyDescent="0.35">
      <c r="A96" s="4"/>
      <c r="B96" s="4"/>
      <c r="C96" s="4"/>
      <c r="D96" s="4"/>
      <c r="E96" s="4"/>
      <c r="F96" s="4"/>
    </row>
    <row r="97" spans="1:6" x14ac:dyDescent="0.35">
      <c r="A97" s="4"/>
      <c r="B97" s="4"/>
      <c r="C97" s="4"/>
      <c r="D97" s="4"/>
      <c r="E97" s="4"/>
      <c r="F97" s="4"/>
    </row>
    <row r="98" spans="1:6" x14ac:dyDescent="0.35">
      <c r="A98" s="4"/>
      <c r="B98" s="4"/>
      <c r="C98" s="4"/>
      <c r="D98" s="4"/>
      <c r="E98" s="4"/>
      <c r="F98" s="4"/>
    </row>
    <row r="99" spans="1:6" x14ac:dyDescent="0.35">
      <c r="A99" s="4"/>
      <c r="B99" s="4"/>
      <c r="C99" s="4"/>
      <c r="D99" s="4"/>
      <c r="E99" s="4"/>
      <c r="F99" s="4"/>
    </row>
    <row r="100" spans="1:6" x14ac:dyDescent="0.35">
      <c r="A100" s="4"/>
      <c r="B100" s="4"/>
      <c r="C100" s="4"/>
      <c r="D100" s="4"/>
      <c r="E100" s="4"/>
      <c r="F100" s="4"/>
    </row>
    <row r="101" spans="1:6" x14ac:dyDescent="0.35">
      <c r="A101" s="4"/>
      <c r="B101" s="4"/>
      <c r="C101" s="4"/>
      <c r="D101" s="4"/>
      <c r="E101" s="4"/>
      <c r="F101" s="4"/>
    </row>
    <row r="102" spans="1:6" x14ac:dyDescent="0.35">
      <c r="A102" s="4"/>
      <c r="B102" s="4"/>
      <c r="C102" s="4"/>
      <c r="D102" s="4"/>
      <c r="E102" s="4"/>
      <c r="F102" s="4"/>
    </row>
    <row r="103" spans="1:6" x14ac:dyDescent="0.35">
      <c r="A103" s="4"/>
      <c r="B103" s="4"/>
      <c r="C103" s="4"/>
      <c r="D103" s="4"/>
      <c r="E103" s="4"/>
      <c r="F103" s="4"/>
    </row>
    <row r="104" spans="1:6" x14ac:dyDescent="0.35">
      <c r="A104" s="4"/>
      <c r="B104" s="4"/>
      <c r="C104" s="4"/>
      <c r="D104" s="4"/>
      <c r="E104" s="4"/>
      <c r="F104" s="4"/>
    </row>
    <row r="105" spans="1:6" x14ac:dyDescent="0.35">
      <c r="A105" s="4"/>
      <c r="B105" s="4"/>
      <c r="C105" s="4"/>
      <c r="D105" s="4"/>
      <c r="E105" s="4"/>
      <c r="F105" s="4"/>
    </row>
    <row r="106" spans="1:6" x14ac:dyDescent="0.35">
      <c r="A106" s="4"/>
      <c r="B106" s="4"/>
      <c r="C106" s="4"/>
      <c r="D106" s="4"/>
      <c r="E106" s="4"/>
      <c r="F106" s="4"/>
    </row>
    <row r="107" spans="1:6" x14ac:dyDescent="0.35">
      <c r="A107" s="4"/>
      <c r="B107" s="4"/>
      <c r="C107" s="4"/>
      <c r="D107" s="4"/>
      <c r="E107" s="4"/>
      <c r="F107" s="4"/>
    </row>
    <row r="108" spans="1:6" x14ac:dyDescent="0.35">
      <c r="A108" s="4"/>
      <c r="B108" s="4"/>
      <c r="C108" s="4"/>
      <c r="D108" s="4"/>
      <c r="E108" s="4"/>
      <c r="F108" s="4"/>
    </row>
    <row r="109" spans="1:6" x14ac:dyDescent="0.35">
      <c r="A109" s="4"/>
      <c r="B109" s="4"/>
      <c r="C109" s="4"/>
      <c r="D109" s="4"/>
      <c r="E109" s="4"/>
      <c r="F109" s="4"/>
    </row>
    <row r="110" spans="1:6" x14ac:dyDescent="0.35">
      <c r="A110" s="4"/>
      <c r="B110" s="4"/>
      <c r="C110" s="4"/>
      <c r="D110" s="4"/>
      <c r="E110" s="4"/>
      <c r="F110" s="4"/>
    </row>
    <row r="111" spans="1:6" x14ac:dyDescent="0.35">
      <c r="A111" s="4"/>
      <c r="B111" s="4"/>
      <c r="C111" s="4"/>
      <c r="D111" s="4"/>
      <c r="E111" s="4"/>
      <c r="F111" s="4"/>
    </row>
    <row r="112" spans="1:6" x14ac:dyDescent="0.35">
      <c r="A112" s="4"/>
      <c r="B112" s="4"/>
      <c r="C112" s="4"/>
      <c r="D112" s="4"/>
      <c r="E112" s="4"/>
      <c r="F112" s="4"/>
    </row>
    <row r="113" spans="1:6" x14ac:dyDescent="0.35">
      <c r="A113" s="4"/>
      <c r="B113" s="4"/>
      <c r="C113" s="4"/>
      <c r="D113" s="4"/>
      <c r="E113" s="4"/>
      <c r="F113" s="4"/>
    </row>
    <row r="114" spans="1:6" x14ac:dyDescent="0.35">
      <c r="A114" s="4"/>
      <c r="B114" s="4"/>
      <c r="C114" s="4"/>
      <c r="D114" s="4"/>
      <c r="E114" s="4"/>
      <c r="F114" s="4"/>
    </row>
    <row r="115" spans="1:6" x14ac:dyDescent="0.35">
      <c r="A115" s="4"/>
      <c r="B115" s="4"/>
      <c r="C115" s="4"/>
      <c r="D115" s="4"/>
      <c r="E115" s="4"/>
      <c r="F115" s="4"/>
    </row>
    <row r="116" spans="1:6" x14ac:dyDescent="0.35">
      <c r="A116" s="4"/>
      <c r="B116" s="4"/>
      <c r="C116" s="4"/>
      <c r="D116" s="4"/>
      <c r="E116" s="4"/>
      <c r="F116" s="4"/>
    </row>
    <row r="117" spans="1:6" x14ac:dyDescent="0.35">
      <c r="A117" s="4"/>
      <c r="B117" s="4"/>
      <c r="C117" s="4"/>
      <c r="D117" s="4"/>
      <c r="E117" s="4"/>
      <c r="F117" s="4"/>
    </row>
    <row r="118" spans="1:6" x14ac:dyDescent="0.35">
      <c r="A118" s="4"/>
      <c r="B118" s="4"/>
      <c r="C118" s="4"/>
      <c r="D118" s="4"/>
      <c r="E118" s="4"/>
      <c r="F118" s="4"/>
    </row>
    <row r="119" spans="1:6" x14ac:dyDescent="0.35">
      <c r="A119" s="4"/>
      <c r="B119" s="4"/>
      <c r="C119" s="4"/>
      <c r="D119" s="4"/>
      <c r="E119" s="4"/>
      <c r="F119" s="4"/>
    </row>
    <row r="120" spans="1:6" x14ac:dyDescent="0.35">
      <c r="A120" s="4"/>
      <c r="B120" s="4"/>
      <c r="C120" s="4"/>
      <c r="D120" s="4"/>
      <c r="E120" s="4"/>
      <c r="F120" s="4"/>
    </row>
    <row r="121" spans="1:6" x14ac:dyDescent="0.35">
      <c r="A121" s="4"/>
      <c r="B121" s="4"/>
      <c r="C121" s="4"/>
      <c r="D121" s="4"/>
      <c r="E121" s="4"/>
      <c r="F121" s="4"/>
    </row>
    <row r="122" spans="1:6" x14ac:dyDescent="0.35">
      <c r="A122" s="4"/>
      <c r="B122" s="4"/>
      <c r="C122" s="4"/>
      <c r="D122" s="4"/>
      <c r="E122" s="4"/>
      <c r="F122" s="4"/>
    </row>
    <row r="123" spans="1:6" x14ac:dyDescent="0.35">
      <c r="A123" s="4"/>
      <c r="B123" s="4"/>
      <c r="C123" s="4"/>
      <c r="D123" s="4"/>
      <c r="E123" s="4"/>
      <c r="F123" s="4"/>
    </row>
    <row r="124" spans="1:6" x14ac:dyDescent="0.35">
      <c r="A124" s="4"/>
      <c r="B124" s="4"/>
      <c r="C124" s="4"/>
      <c r="D124" s="4"/>
      <c r="E124" s="4"/>
      <c r="F124" s="4"/>
    </row>
    <row r="125" spans="1:6" x14ac:dyDescent="0.35">
      <c r="A125" s="4"/>
      <c r="B125" s="4"/>
      <c r="C125" s="4"/>
      <c r="D125" s="4"/>
      <c r="E125" s="4"/>
      <c r="F125" s="4"/>
    </row>
    <row r="126" spans="1:6" x14ac:dyDescent="0.35">
      <c r="A126" s="4"/>
      <c r="B126" s="4"/>
      <c r="C126" s="4"/>
      <c r="D126" s="4"/>
      <c r="E126" s="4"/>
      <c r="F126" s="4"/>
    </row>
    <row r="127" spans="1:6" x14ac:dyDescent="0.35">
      <c r="A127" s="4"/>
      <c r="B127" s="4"/>
      <c r="C127" s="4"/>
      <c r="D127" s="4"/>
      <c r="E127" s="4"/>
      <c r="F127" s="4"/>
    </row>
    <row r="128" spans="1:6" x14ac:dyDescent="0.35">
      <c r="A128" s="4"/>
      <c r="B128" s="4"/>
      <c r="C128" s="4"/>
      <c r="D128" s="4"/>
      <c r="E128" s="4"/>
      <c r="F128" s="4"/>
    </row>
    <row r="129" spans="1:6" x14ac:dyDescent="0.35">
      <c r="A129" s="4"/>
      <c r="B129" s="4"/>
      <c r="C129" s="4"/>
      <c r="D129" s="4"/>
      <c r="E129" s="4"/>
      <c r="F129" s="4"/>
    </row>
    <row r="130" spans="1:6" x14ac:dyDescent="0.35">
      <c r="A130" s="4"/>
      <c r="B130" s="4"/>
      <c r="C130" s="4"/>
      <c r="D130" s="4"/>
      <c r="E130" s="4"/>
      <c r="F130" s="4"/>
    </row>
    <row r="131" spans="1:6" x14ac:dyDescent="0.35">
      <c r="A131" s="4"/>
      <c r="B131" s="4"/>
      <c r="C131" s="4"/>
      <c r="D131" s="4"/>
      <c r="E131" s="4"/>
      <c r="F131" s="4"/>
    </row>
    <row r="132" spans="1:6" x14ac:dyDescent="0.35">
      <c r="A132" s="4"/>
      <c r="B132" s="4"/>
      <c r="C132" s="4"/>
      <c r="D132" s="4"/>
      <c r="E132" s="4"/>
      <c r="F132" s="4"/>
    </row>
    <row r="133" spans="1:6" x14ac:dyDescent="0.35">
      <c r="A133" s="4"/>
      <c r="B133" s="4"/>
      <c r="C133" s="4"/>
      <c r="D133" s="4"/>
      <c r="E133" s="4"/>
      <c r="F133" s="4"/>
    </row>
    <row r="134" spans="1:6" x14ac:dyDescent="0.35">
      <c r="A134" s="4"/>
      <c r="B134" s="4"/>
      <c r="C134" s="4"/>
      <c r="D134" s="4"/>
      <c r="E134" s="4"/>
      <c r="F134" s="4"/>
    </row>
    <row r="135" spans="1:6" x14ac:dyDescent="0.35">
      <c r="A135" s="4"/>
      <c r="B135" s="4"/>
      <c r="C135" s="4"/>
      <c r="D135" s="4"/>
      <c r="E135" s="4"/>
      <c r="F135" s="4"/>
    </row>
    <row r="136" spans="1:6" x14ac:dyDescent="0.35">
      <c r="A136" s="4"/>
      <c r="B136" s="4"/>
      <c r="C136" s="4"/>
      <c r="D136" s="4"/>
      <c r="E136" s="4"/>
      <c r="F136" s="4"/>
    </row>
    <row r="137" spans="1:6" x14ac:dyDescent="0.35">
      <c r="A137" s="4"/>
      <c r="B137" s="4"/>
      <c r="C137" s="4"/>
      <c r="D137" s="4"/>
      <c r="E137" s="4"/>
      <c r="F137" s="4"/>
    </row>
    <row r="138" spans="1:6" x14ac:dyDescent="0.35">
      <c r="A138" s="4"/>
      <c r="B138" s="4"/>
      <c r="C138" s="4"/>
      <c r="D138" s="4"/>
      <c r="E138" s="4"/>
      <c r="F138" s="4"/>
    </row>
    <row r="139" spans="1:6" x14ac:dyDescent="0.35">
      <c r="A139" s="4"/>
      <c r="B139" s="4"/>
      <c r="C139" s="4"/>
      <c r="D139" s="4"/>
      <c r="E139" s="4"/>
      <c r="F139" s="4"/>
    </row>
    <row r="140" spans="1:6" x14ac:dyDescent="0.35">
      <c r="A140" s="4"/>
      <c r="B140" s="4"/>
      <c r="C140" s="4"/>
      <c r="D140" s="4"/>
      <c r="E140" s="4"/>
      <c r="F140" s="4"/>
    </row>
    <row r="141" spans="1:6" x14ac:dyDescent="0.35">
      <c r="A141" s="4"/>
      <c r="B141" s="4"/>
      <c r="C141" s="4"/>
      <c r="D141" s="4"/>
      <c r="E141" s="4"/>
      <c r="F141" s="4"/>
    </row>
    <row r="142" spans="1:6" x14ac:dyDescent="0.35">
      <c r="A142" s="4"/>
      <c r="B142" s="4"/>
      <c r="C142" s="4"/>
      <c r="D142" s="4"/>
      <c r="E142" s="4"/>
      <c r="F142" s="4"/>
    </row>
    <row r="143" spans="1:6" x14ac:dyDescent="0.35">
      <c r="A143" s="4"/>
      <c r="B143" s="4"/>
      <c r="C143" s="4"/>
      <c r="D143" s="4"/>
      <c r="E143" s="4"/>
      <c r="F143" s="4"/>
    </row>
    <row r="144" spans="1:6" x14ac:dyDescent="0.35">
      <c r="A144" s="4"/>
      <c r="B144" s="4"/>
      <c r="C144" s="4"/>
      <c r="D144" s="4"/>
      <c r="E144" s="4"/>
      <c r="F144" s="4"/>
    </row>
    <row r="145" spans="1:6" x14ac:dyDescent="0.35">
      <c r="A145" s="4"/>
      <c r="B145" s="4"/>
      <c r="C145" s="4"/>
      <c r="D145" s="4"/>
      <c r="E145" s="4"/>
      <c r="F145" s="4"/>
    </row>
    <row r="146" spans="1:6" x14ac:dyDescent="0.35">
      <c r="A146" s="4"/>
      <c r="B146" s="4"/>
      <c r="C146" s="4"/>
      <c r="D146" s="4"/>
      <c r="E146" s="4"/>
      <c r="F146" s="4"/>
    </row>
    <row r="147" spans="1:6" x14ac:dyDescent="0.35">
      <c r="A147" s="4"/>
      <c r="B147" s="4"/>
      <c r="C147" s="4"/>
      <c r="D147" s="4"/>
      <c r="E147" s="4"/>
      <c r="F147" s="4"/>
    </row>
    <row r="148" spans="1:6" x14ac:dyDescent="0.35">
      <c r="A148" s="4"/>
      <c r="B148" s="4"/>
      <c r="C148" s="4"/>
      <c r="D148" s="4"/>
      <c r="E148" s="4"/>
      <c r="F148" s="4"/>
    </row>
    <row r="149" spans="1:6" x14ac:dyDescent="0.35">
      <c r="A149" s="4"/>
      <c r="B149" s="4"/>
      <c r="C149" s="4"/>
      <c r="D149" s="4"/>
      <c r="E149" s="4"/>
      <c r="F149" s="4"/>
    </row>
    <row r="150" spans="1:6" x14ac:dyDescent="0.35">
      <c r="A150" s="4"/>
      <c r="B150" s="4"/>
      <c r="C150" s="4"/>
      <c r="D150" s="4"/>
      <c r="E150" s="4"/>
      <c r="F150" s="4"/>
    </row>
    <row r="151" spans="1:6" x14ac:dyDescent="0.35">
      <c r="A151" s="4"/>
      <c r="B151" s="4"/>
      <c r="C151" s="4"/>
      <c r="D151" s="4"/>
      <c r="E151" s="4"/>
      <c r="F151" s="4"/>
    </row>
    <row r="152" spans="1:6" x14ac:dyDescent="0.35">
      <c r="A152" s="4"/>
      <c r="B152" s="4"/>
      <c r="C152" s="4"/>
      <c r="D152" s="4"/>
      <c r="E152" s="4"/>
      <c r="F152" s="4"/>
    </row>
    <row r="153" spans="1:6" x14ac:dyDescent="0.35">
      <c r="A153" s="4"/>
      <c r="B153" s="4"/>
      <c r="C153" s="4"/>
      <c r="D153" s="4"/>
      <c r="E153" s="4"/>
      <c r="F153" s="4"/>
    </row>
    <row r="154" spans="1:6" x14ac:dyDescent="0.35">
      <c r="A154" s="4"/>
      <c r="B154" s="4"/>
      <c r="C154" s="4"/>
      <c r="D154" s="4"/>
      <c r="E154" s="4"/>
      <c r="F154" s="4"/>
    </row>
    <row r="155" spans="1:6" x14ac:dyDescent="0.35">
      <c r="A155" s="4"/>
      <c r="B155" s="4"/>
      <c r="C155" s="4"/>
      <c r="D155" s="4"/>
      <c r="E155" s="4"/>
      <c r="F155" s="4"/>
    </row>
    <row r="156" spans="1:6" x14ac:dyDescent="0.35">
      <c r="A156" s="4"/>
      <c r="B156" s="4"/>
      <c r="C156" s="4"/>
      <c r="D156" s="4"/>
      <c r="E156" s="4"/>
      <c r="F156" s="4"/>
    </row>
    <row r="157" spans="1:6" x14ac:dyDescent="0.35">
      <c r="A157" s="4"/>
      <c r="B157" s="4"/>
      <c r="C157" s="4"/>
      <c r="D157" s="4"/>
      <c r="E157" s="4"/>
      <c r="F157" s="4"/>
    </row>
    <row r="158" spans="1:6" x14ac:dyDescent="0.35">
      <c r="A158" s="4"/>
      <c r="B158" s="4"/>
      <c r="C158" s="4"/>
      <c r="D158" s="4"/>
      <c r="E158" s="4"/>
      <c r="F158" s="4"/>
    </row>
    <row r="159" spans="1:6" x14ac:dyDescent="0.35">
      <c r="A159" s="4"/>
      <c r="B159" s="4"/>
      <c r="C159" s="4"/>
      <c r="D159" s="4"/>
      <c r="E159" s="4"/>
      <c r="F159" s="4"/>
    </row>
    <row r="160" spans="1:6" x14ac:dyDescent="0.35">
      <c r="A160" s="4"/>
      <c r="B160" s="4"/>
      <c r="C160" s="4"/>
      <c r="D160" s="4"/>
      <c r="E160" s="4"/>
      <c r="F160" s="4"/>
    </row>
    <row r="161" spans="1:6" x14ac:dyDescent="0.35">
      <c r="A161" s="4"/>
      <c r="B161" s="4"/>
      <c r="C161" s="4"/>
      <c r="D161" s="4"/>
      <c r="E161" s="4"/>
      <c r="F161" s="4"/>
    </row>
    <row r="162" spans="1:6" x14ac:dyDescent="0.35">
      <c r="A162" s="4"/>
      <c r="B162" s="4"/>
      <c r="C162" s="4"/>
      <c r="D162" s="4"/>
      <c r="E162" s="4"/>
      <c r="F162" s="4"/>
    </row>
    <row r="163" spans="1:6" x14ac:dyDescent="0.35">
      <c r="A163" s="4"/>
      <c r="B163" s="4"/>
      <c r="C163" s="4"/>
      <c r="D163" s="4"/>
      <c r="E163" s="4"/>
      <c r="F163" s="4"/>
    </row>
    <row r="164" spans="1:6" x14ac:dyDescent="0.35">
      <c r="A164" s="4"/>
      <c r="B164" s="4"/>
      <c r="C164" s="4"/>
      <c r="D164" s="4"/>
      <c r="E164" s="4"/>
      <c r="F164" s="4"/>
    </row>
    <row r="165" spans="1:6" x14ac:dyDescent="0.35">
      <c r="A165" s="4"/>
      <c r="B165" s="4"/>
      <c r="C165" s="4"/>
      <c r="D165" s="4"/>
      <c r="E165" s="4"/>
      <c r="F165" s="4"/>
    </row>
    <row r="166" spans="1:6" x14ac:dyDescent="0.35">
      <c r="A166" s="4"/>
      <c r="B166" s="4"/>
      <c r="C166" s="4"/>
      <c r="D166" s="4"/>
      <c r="E166" s="4"/>
      <c r="F166" s="4"/>
    </row>
    <row r="167" spans="1:6" x14ac:dyDescent="0.35">
      <c r="A167" s="4"/>
      <c r="B167" s="4"/>
      <c r="C167" s="4"/>
      <c r="D167" s="4"/>
      <c r="E167" s="4"/>
      <c r="F167" s="4"/>
    </row>
    <row r="168" spans="1:6" x14ac:dyDescent="0.35">
      <c r="A168" s="4"/>
      <c r="B168" s="4"/>
      <c r="C168" s="4"/>
      <c r="D168" s="4"/>
      <c r="E168" s="4"/>
      <c r="F168" s="4"/>
    </row>
    <row r="169" spans="1:6" x14ac:dyDescent="0.35">
      <c r="A169" s="4"/>
      <c r="B169" s="4"/>
      <c r="C169" s="4"/>
      <c r="D169" s="4"/>
      <c r="E169" s="4"/>
      <c r="F169" s="4"/>
    </row>
    <row r="170" spans="1:6" x14ac:dyDescent="0.35">
      <c r="A170" s="4"/>
      <c r="B170" s="4"/>
      <c r="C170" s="4"/>
      <c r="D170" s="4"/>
      <c r="E170" s="4"/>
      <c r="F170" s="4"/>
    </row>
    <row r="171" spans="1:6" x14ac:dyDescent="0.35">
      <c r="A171" s="4"/>
      <c r="B171" s="4"/>
      <c r="C171" s="4"/>
      <c r="D171" s="4"/>
      <c r="E171" s="4"/>
      <c r="F171" s="4"/>
    </row>
    <row r="172" spans="1:6" x14ac:dyDescent="0.35">
      <c r="A172" s="4"/>
      <c r="B172" s="4"/>
      <c r="C172" s="4"/>
      <c r="D172" s="4"/>
      <c r="E172" s="4"/>
      <c r="F172" s="4"/>
    </row>
    <row r="173" spans="1:6" x14ac:dyDescent="0.35">
      <c r="A173" s="4"/>
      <c r="B173" s="4"/>
      <c r="C173" s="4"/>
      <c r="D173" s="4"/>
      <c r="E173" s="4"/>
      <c r="F173" s="4"/>
    </row>
    <row r="174" spans="1:6" x14ac:dyDescent="0.35">
      <c r="A174" s="4"/>
      <c r="B174" s="4"/>
      <c r="C174" s="4"/>
      <c r="D174" s="4"/>
      <c r="E174" s="4"/>
      <c r="F174" s="4"/>
    </row>
    <row r="175" spans="1:6" x14ac:dyDescent="0.35">
      <c r="A175" s="4"/>
      <c r="B175" s="4"/>
      <c r="C175" s="4"/>
      <c r="D175" s="4"/>
      <c r="E175" s="4"/>
      <c r="F175" s="4"/>
    </row>
    <row r="176" spans="1:6" x14ac:dyDescent="0.35">
      <c r="A176" s="4"/>
      <c r="B176" s="4"/>
      <c r="C176" s="4"/>
      <c r="D176" s="4"/>
      <c r="E176" s="4"/>
      <c r="F176" s="4"/>
    </row>
    <row r="177" spans="1:6" x14ac:dyDescent="0.35">
      <c r="A177" s="4"/>
      <c r="B177" s="4"/>
      <c r="C177" s="4"/>
      <c r="D177" s="4"/>
      <c r="E177" s="4"/>
      <c r="F177" s="4"/>
    </row>
    <row r="178" spans="1:6" x14ac:dyDescent="0.35">
      <c r="A178" s="4"/>
      <c r="B178" s="4"/>
      <c r="C178" s="4"/>
      <c r="D178" s="4"/>
      <c r="E178" s="4"/>
      <c r="F178" s="4"/>
    </row>
    <row r="179" spans="1:6" x14ac:dyDescent="0.35">
      <c r="A179" s="4"/>
      <c r="B179" s="4"/>
      <c r="C179" s="4"/>
      <c r="D179" s="4"/>
      <c r="E179" s="4"/>
      <c r="F179" s="4"/>
    </row>
    <row r="180" spans="1:6" x14ac:dyDescent="0.35">
      <c r="A180" s="4"/>
      <c r="B180" s="4"/>
      <c r="C180" s="4"/>
      <c r="D180" s="4"/>
      <c r="E180" s="4"/>
      <c r="F180" s="4"/>
    </row>
    <row r="181" spans="1:6" x14ac:dyDescent="0.35">
      <c r="A181" s="4"/>
      <c r="B181" s="4"/>
      <c r="C181" s="4"/>
      <c r="D181" s="4"/>
      <c r="E181" s="4"/>
      <c r="F181" s="4"/>
    </row>
    <row r="182" spans="1:6" x14ac:dyDescent="0.35">
      <c r="A182" s="4"/>
      <c r="B182" s="4"/>
      <c r="C182" s="4"/>
      <c r="D182" s="4"/>
      <c r="E182" s="4"/>
      <c r="F182" s="4"/>
    </row>
    <row r="183" spans="1:6" x14ac:dyDescent="0.35">
      <c r="A183" s="4"/>
      <c r="B183" s="4"/>
      <c r="C183" s="4"/>
      <c r="D183" s="4"/>
      <c r="E183" s="4"/>
      <c r="F183" s="4"/>
    </row>
    <row r="184" spans="1:6" x14ac:dyDescent="0.35">
      <c r="A184" s="4"/>
      <c r="B184" s="4"/>
      <c r="C184" s="4"/>
      <c r="D184" s="4"/>
      <c r="E184" s="4"/>
      <c r="F184" s="4"/>
    </row>
    <row r="185" spans="1:6" x14ac:dyDescent="0.35">
      <c r="A185" s="4"/>
      <c r="B185" s="4"/>
      <c r="C185" s="4"/>
      <c r="D185" s="4"/>
      <c r="E185" s="4"/>
      <c r="F185" s="4"/>
    </row>
    <row r="186" spans="1:6" x14ac:dyDescent="0.35">
      <c r="A186" s="4"/>
      <c r="B186" s="4"/>
      <c r="C186" s="4"/>
      <c r="D186" s="4"/>
      <c r="E186" s="4"/>
      <c r="F186" s="4"/>
    </row>
    <row r="187" spans="1:6" x14ac:dyDescent="0.35">
      <c r="A187" s="4"/>
      <c r="B187" s="4"/>
      <c r="C187" s="4"/>
      <c r="D187" s="4"/>
      <c r="E187" s="4"/>
      <c r="F187" s="4"/>
    </row>
    <row r="188" spans="1:6" x14ac:dyDescent="0.35">
      <c r="A188" s="4"/>
      <c r="B188" s="4"/>
      <c r="C188" s="4"/>
      <c r="D188" s="4"/>
      <c r="E188" s="4"/>
      <c r="F188" s="4"/>
    </row>
    <row r="189" spans="1:6" x14ac:dyDescent="0.35">
      <c r="A189" s="4"/>
      <c r="B189" s="4"/>
      <c r="C189" s="4"/>
      <c r="D189" s="4"/>
      <c r="E189" s="4"/>
      <c r="F189" s="4"/>
    </row>
    <row r="190" spans="1:6" x14ac:dyDescent="0.35">
      <c r="A190" s="4"/>
      <c r="B190" s="4"/>
      <c r="C190" s="4"/>
      <c r="D190" s="4"/>
      <c r="E190" s="4"/>
      <c r="F190" s="4"/>
    </row>
    <row r="191" spans="1:6" x14ac:dyDescent="0.35">
      <c r="A191" s="4"/>
      <c r="B191" s="4"/>
      <c r="C191" s="4"/>
      <c r="D191" s="4"/>
      <c r="E191" s="4"/>
      <c r="F191" s="4"/>
    </row>
    <row r="192" spans="1:6" x14ac:dyDescent="0.35">
      <c r="A192" s="4"/>
      <c r="B192" s="4"/>
      <c r="C192" s="4"/>
      <c r="D192" s="4"/>
      <c r="E192" s="4"/>
      <c r="F192" s="4"/>
    </row>
    <row r="193" spans="1:6" x14ac:dyDescent="0.35">
      <c r="A193" s="4"/>
      <c r="B193" s="4"/>
      <c r="C193" s="4"/>
      <c r="D193" s="4"/>
      <c r="E193" s="4"/>
      <c r="F193" s="4"/>
    </row>
    <row r="194" spans="1:6" x14ac:dyDescent="0.35">
      <c r="A194" s="4"/>
      <c r="B194" s="4"/>
      <c r="C194" s="4"/>
      <c r="D194" s="4"/>
      <c r="E194" s="4"/>
      <c r="F194" s="4"/>
    </row>
    <row r="195" spans="1:6" x14ac:dyDescent="0.35">
      <c r="A195" s="4"/>
      <c r="B195" s="4"/>
      <c r="C195" s="4"/>
      <c r="D195" s="4"/>
      <c r="E195" s="4"/>
      <c r="F195" s="4"/>
    </row>
    <row r="196" spans="1:6" x14ac:dyDescent="0.35">
      <c r="A196" s="4"/>
      <c r="B196" s="4"/>
      <c r="C196" s="4"/>
      <c r="D196" s="4"/>
      <c r="E196" s="4"/>
      <c r="F196" s="4"/>
    </row>
    <row r="197" spans="1:6" x14ac:dyDescent="0.35">
      <c r="A197" s="4"/>
      <c r="B197" s="4"/>
      <c r="C197" s="4"/>
      <c r="D197" s="4"/>
      <c r="E197" s="4"/>
      <c r="F197" s="4"/>
    </row>
    <row r="198" spans="1:6" x14ac:dyDescent="0.35">
      <c r="A198" s="4"/>
      <c r="B198" s="4"/>
      <c r="C198" s="4"/>
      <c r="D198" s="4"/>
      <c r="E198" s="4"/>
      <c r="F198" s="4"/>
    </row>
    <row r="199" spans="1:6" x14ac:dyDescent="0.35">
      <c r="A199" s="4"/>
      <c r="B199" s="4"/>
      <c r="C199" s="4"/>
      <c r="D199" s="4"/>
      <c r="E199" s="4"/>
      <c r="F199" s="4"/>
    </row>
    <row r="200" spans="1:6" x14ac:dyDescent="0.35">
      <c r="A200" s="4"/>
      <c r="B200" s="4"/>
      <c r="C200" s="4"/>
      <c r="D200" s="4"/>
      <c r="E200" s="4"/>
      <c r="F200" s="4"/>
    </row>
    <row r="201" spans="1:6" x14ac:dyDescent="0.35">
      <c r="A201" s="4"/>
      <c r="B201" s="4"/>
      <c r="C201" s="4"/>
      <c r="D201" s="4"/>
      <c r="E201" s="4"/>
      <c r="F201" s="4"/>
    </row>
    <row r="202" spans="1:6" x14ac:dyDescent="0.35">
      <c r="A202" s="4"/>
      <c r="B202" s="4"/>
      <c r="C202" s="4"/>
      <c r="D202" s="4"/>
      <c r="E202" s="4"/>
      <c r="F202" s="4"/>
    </row>
    <row r="203" spans="1:6" x14ac:dyDescent="0.35">
      <c r="A203" s="4"/>
      <c r="B203" s="4"/>
      <c r="C203" s="4"/>
      <c r="D203" s="4"/>
      <c r="E203" s="4"/>
      <c r="F203" s="4"/>
    </row>
    <row r="204" spans="1:6" x14ac:dyDescent="0.35">
      <c r="A204" s="4"/>
      <c r="B204" s="4"/>
      <c r="C204" s="4"/>
      <c r="D204" s="4"/>
      <c r="E204" s="4"/>
      <c r="F204" s="4"/>
    </row>
    <row r="205" spans="1:6" x14ac:dyDescent="0.35">
      <c r="A205" s="4"/>
      <c r="B205" s="4"/>
      <c r="C205" s="4"/>
      <c r="D205" s="4"/>
      <c r="E205" s="4"/>
      <c r="F205" s="4"/>
    </row>
    <row r="206" spans="1:6" x14ac:dyDescent="0.35">
      <c r="A206" s="4"/>
      <c r="B206" s="4"/>
      <c r="C206" s="4"/>
      <c r="D206" s="4"/>
      <c r="E206" s="4"/>
      <c r="F206" s="4"/>
    </row>
    <row r="207" spans="1:6" x14ac:dyDescent="0.35">
      <c r="A207" s="4"/>
      <c r="B207" s="4"/>
      <c r="C207" s="4"/>
      <c r="D207" s="4"/>
      <c r="E207" s="4"/>
      <c r="F207" s="4"/>
    </row>
    <row r="208" spans="1:6" x14ac:dyDescent="0.35">
      <c r="A208" s="4"/>
      <c r="B208" s="4"/>
      <c r="C208" s="4"/>
      <c r="D208" s="4"/>
      <c r="E208" s="4"/>
      <c r="F208" s="4"/>
    </row>
    <row r="209" spans="1:6" x14ac:dyDescent="0.35">
      <c r="A209" s="4"/>
      <c r="B209" s="4"/>
      <c r="C209" s="4"/>
      <c r="D209" s="4"/>
      <c r="E209" s="4"/>
      <c r="F209" s="4"/>
    </row>
    <row r="210" spans="1:6" x14ac:dyDescent="0.35">
      <c r="A210" s="4"/>
      <c r="B210" s="4"/>
      <c r="C210" s="4"/>
      <c r="D210" s="4"/>
      <c r="E210" s="4"/>
      <c r="F210" s="4"/>
    </row>
    <row r="211" spans="1:6" x14ac:dyDescent="0.35">
      <c r="A211" s="4"/>
      <c r="B211" s="4"/>
      <c r="C211" s="4"/>
      <c r="D211" s="4"/>
      <c r="E211" s="4"/>
      <c r="F211" s="4"/>
    </row>
    <row r="212" spans="1:6" x14ac:dyDescent="0.35">
      <c r="A212" s="4"/>
      <c r="B212" s="4"/>
      <c r="C212" s="4"/>
      <c r="D212" s="4"/>
      <c r="E212" s="4"/>
      <c r="F212" s="4"/>
    </row>
    <row r="213" spans="1:6" x14ac:dyDescent="0.35">
      <c r="A213" s="4"/>
      <c r="B213" s="4"/>
      <c r="C213" s="4"/>
      <c r="D213" s="4"/>
      <c r="E213" s="4"/>
      <c r="F213" s="4"/>
    </row>
    <row r="214" spans="1:6" x14ac:dyDescent="0.35">
      <c r="A214" s="4"/>
      <c r="B214" s="4"/>
      <c r="C214" s="4"/>
      <c r="D214" s="4"/>
      <c r="E214" s="4"/>
      <c r="F214" s="4"/>
    </row>
    <row r="215" spans="1:6" x14ac:dyDescent="0.35">
      <c r="A215" s="4"/>
      <c r="B215" s="4"/>
      <c r="C215" s="4"/>
      <c r="D215" s="4"/>
      <c r="E215" s="4"/>
      <c r="F215" s="4"/>
    </row>
    <row r="216" spans="1:6" x14ac:dyDescent="0.35">
      <c r="A216" s="4"/>
      <c r="B216" s="4"/>
      <c r="C216" s="4"/>
      <c r="D216" s="4"/>
      <c r="E216" s="4"/>
      <c r="F216" s="4"/>
    </row>
    <row r="217" spans="1:6" x14ac:dyDescent="0.35">
      <c r="A217" s="4"/>
      <c r="B217" s="4"/>
      <c r="C217" s="4"/>
      <c r="D217" s="4"/>
      <c r="E217" s="4"/>
      <c r="F217" s="4"/>
    </row>
    <row r="218" spans="1:6" x14ac:dyDescent="0.35">
      <c r="A218" s="4"/>
      <c r="B218" s="4"/>
      <c r="C218" s="4"/>
      <c r="D218" s="4"/>
      <c r="E218" s="4"/>
      <c r="F218" s="4"/>
    </row>
    <row r="219" spans="1:6" x14ac:dyDescent="0.35">
      <c r="A219" s="4"/>
      <c r="B219" s="4"/>
      <c r="C219" s="4"/>
      <c r="D219" s="4"/>
      <c r="E219" s="4"/>
      <c r="F219" s="4"/>
    </row>
    <row r="220" spans="1:6" x14ac:dyDescent="0.35">
      <c r="A220" s="4"/>
      <c r="B220" s="4"/>
      <c r="C220" s="4"/>
      <c r="D220" s="4"/>
      <c r="E220" s="4"/>
      <c r="F220" s="4"/>
    </row>
    <row r="221" spans="1:6" x14ac:dyDescent="0.35">
      <c r="A221" s="4"/>
      <c r="B221" s="4"/>
      <c r="C221" s="4"/>
      <c r="D221" s="4"/>
      <c r="E221" s="4"/>
      <c r="F221" s="4"/>
    </row>
    <row r="222" spans="1:6" x14ac:dyDescent="0.35">
      <c r="A222" s="4"/>
      <c r="B222" s="4"/>
      <c r="C222" s="4"/>
      <c r="D222" s="4"/>
      <c r="E222" s="4"/>
      <c r="F222" s="4"/>
    </row>
    <row r="223" spans="1:6" x14ac:dyDescent="0.35">
      <c r="A223" s="4"/>
      <c r="B223" s="4"/>
      <c r="C223" s="4"/>
      <c r="D223" s="4"/>
      <c r="E223" s="4"/>
      <c r="F223" s="4"/>
    </row>
    <row r="224" spans="1:6" x14ac:dyDescent="0.35">
      <c r="A224" s="4"/>
      <c r="B224" s="4"/>
      <c r="C224" s="4"/>
      <c r="D224" s="4"/>
      <c r="E224" s="4"/>
      <c r="F224" s="4"/>
    </row>
    <row r="225" spans="1:6" x14ac:dyDescent="0.35">
      <c r="A225" s="4"/>
      <c r="B225" s="4"/>
      <c r="C225" s="4"/>
      <c r="D225" s="4"/>
      <c r="E225" s="4"/>
      <c r="F225" s="4"/>
    </row>
    <row r="226" spans="1:6" x14ac:dyDescent="0.35">
      <c r="A226" s="4"/>
      <c r="B226" s="4"/>
      <c r="C226" s="4"/>
      <c r="D226" s="4"/>
      <c r="E226" s="4"/>
      <c r="F226" s="4"/>
    </row>
    <row r="227" spans="1:6" x14ac:dyDescent="0.35">
      <c r="A227" s="4"/>
      <c r="B227" s="4"/>
      <c r="C227" s="4"/>
      <c r="D227" s="4"/>
      <c r="E227" s="4"/>
      <c r="F227" s="4"/>
    </row>
    <row r="228" spans="1:6" x14ac:dyDescent="0.35">
      <c r="A228" s="4"/>
      <c r="B228" s="4"/>
      <c r="C228" s="4"/>
      <c r="D228" s="4"/>
      <c r="E228" s="4"/>
      <c r="F228" s="4"/>
    </row>
    <row r="229" spans="1:6" x14ac:dyDescent="0.35">
      <c r="A229" s="4"/>
      <c r="B229" s="4"/>
      <c r="C229" s="4"/>
      <c r="D229" s="4"/>
      <c r="E229" s="4"/>
      <c r="F229" s="4"/>
    </row>
    <row r="230" spans="1:6" x14ac:dyDescent="0.35">
      <c r="A230" s="4"/>
      <c r="B230" s="4"/>
      <c r="C230" s="4"/>
      <c r="D230" s="4"/>
      <c r="E230" s="4"/>
      <c r="F230" s="4"/>
    </row>
    <row r="231" spans="1:6" x14ac:dyDescent="0.35">
      <c r="A231" s="4"/>
      <c r="B231" s="4"/>
      <c r="C231" s="4"/>
      <c r="D231" s="4"/>
      <c r="E231" s="4"/>
      <c r="F231" s="4"/>
    </row>
    <row r="232" spans="1:6" x14ac:dyDescent="0.35">
      <c r="A232" s="4"/>
      <c r="B232" s="4"/>
      <c r="C232" s="4"/>
      <c r="D232" s="4"/>
      <c r="E232" s="4"/>
      <c r="F232" s="4"/>
    </row>
    <row r="233" spans="1:6" x14ac:dyDescent="0.35">
      <c r="A233" s="4"/>
      <c r="B233" s="4"/>
      <c r="C233" s="4"/>
      <c r="D233" s="4"/>
      <c r="E233" s="4"/>
      <c r="F233" s="4"/>
    </row>
    <row r="234" spans="1:6" x14ac:dyDescent="0.35">
      <c r="A234" s="4"/>
      <c r="B234" s="4"/>
      <c r="C234" s="4"/>
      <c r="D234" s="4"/>
      <c r="E234" s="4"/>
      <c r="F234" s="4"/>
    </row>
    <row r="235" spans="1:6" x14ac:dyDescent="0.35">
      <c r="A235" s="4"/>
      <c r="B235" s="4"/>
      <c r="C235" s="4"/>
      <c r="D235" s="4"/>
      <c r="E235" s="4"/>
      <c r="F235" s="4"/>
    </row>
    <row r="236" spans="1:6" x14ac:dyDescent="0.35">
      <c r="A236" s="4"/>
      <c r="B236" s="4"/>
      <c r="C236" s="4"/>
      <c r="D236" s="4"/>
      <c r="E236" s="4"/>
      <c r="F236" s="4"/>
    </row>
    <row r="237" spans="1:6" x14ac:dyDescent="0.35">
      <c r="A237" s="4"/>
      <c r="B237" s="4"/>
      <c r="C237" s="4"/>
      <c r="D237" s="4"/>
      <c r="E237" s="4"/>
      <c r="F237" s="4"/>
    </row>
    <row r="238" spans="1:6" x14ac:dyDescent="0.35">
      <c r="A238" s="4"/>
      <c r="B238" s="4"/>
      <c r="C238" s="4"/>
      <c r="D238" s="4"/>
      <c r="E238" s="4"/>
      <c r="F238" s="4"/>
    </row>
    <row r="239" spans="1:6" x14ac:dyDescent="0.35">
      <c r="A239" s="4"/>
      <c r="B239" s="4"/>
      <c r="C239" s="4"/>
      <c r="D239" s="4"/>
      <c r="E239" s="4"/>
      <c r="F239" s="4"/>
    </row>
    <row r="240" spans="1:6" x14ac:dyDescent="0.35">
      <c r="A240" s="4"/>
      <c r="B240" s="4"/>
      <c r="C240" s="4"/>
      <c r="D240" s="4"/>
      <c r="E240" s="4"/>
      <c r="F240" s="4"/>
    </row>
    <row r="241" spans="1:6" x14ac:dyDescent="0.35">
      <c r="A241" s="4"/>
      <c r="B241" s="4"/>
      <c r="C241" s="4"/>
      <c r="D241" s="4"/>
      <c r="E241" s="4"/>
      <c r="F241" s="4"/>
    </row>
    <row r="242" spans="1:6" x14ac:dyDescent="0.35">
      <c r="A242" s="4"/>
      <c r="B242" s="4"/>
      <c r="C242" s="4"/>
      <c r="D242" s="4"/>
      <c r="E242" s="4"/>
      <c r="F242" s="4"/>
    </row>
    <row r="243" spans="1:6" x14ac:dyDescent="0.35">
      <c r="A243" s="4"/>
      <c r="B243" s="4"/>
      <c r="C243" s="4"/>
      <c r="D243" s="4"/>
      <c r="E243" s="4"/>
      <c r="F243" s="4"/>
    </row>
    <row r="244" spans="1:6" x14ac:dyDescent="0.35">
      <c r="A244" s="4"/>
      <c r="B244" s="4"/>
      <c r="C244" s="4"/>
      <c r="D244" s="4"/>
      <c r="E244" s="4"/>
      <c r="F244" s="4"/>
    </row>
    <row r="245" spans="1:6" x14ac:dyDescent="0.35">
      <c r="A245" s="4"/>
      <c r="B245" s="4"/>
      <c r="C245" s="4"/>
      <c r="D245" s="4"/>
      <c r="E245" s="4"/>
      <c r="F245" s="4"/>
    </row>
    <row r="246" spans="1:6" x14ac:dyDescent="0.35">
      <c r="A246" s="4"/>
      <c r="B246" s="4"/>
      <c r="C246" s="4"/>
      <c r="D246" s="4"/>
      <c r="E246" s="4"/>
      <c r="F246" s="4"/>
    </row>
    <row r="247" spans="1:6" x14ac:dyDescent="0.35">
      <c r="A247" s="4"/>
      <c r="B247" s="4"/>
      <c r="C247" s="4"/>
      <c r="D247" s="4"/>
      <c r="E247" s="4"/>
      <c r="F247" s="4"/>
    </row>
    <row r="248" spans="1:6" x14ac:dyDescent="0.35">
      <c r="A248" s="4"/>
      <c r="B248" s="4"/>
      <c r="C248" s="4"/>
      <c r="D248" s="4"/>
      <c r="E248" s="4"/>
      <c r="F248" s="4"/>
    </row>
    <row r="249" spans="1:6" x14ac:dyDescent="0.35">
      <c r="A249" s="4"/>
      <c r="B249" s="4"/>
      <c r="C249" s="4"/>
      <c r="D249" s="4"/>
      <c r="E249" s="4"/>
      <c r="F249" s="4"/>
    </row>
    <row r="250" spans="1:6" x14ac:dyDescent="0.35">
      <c r="A250" s="4"/>
      <c r="B250" s="4"/>
      <c r="C250" s="4"/>
      <c r="D250" s="4"/>
      <c r="E250" s="4"/>
      <c r="F250" s="4"/>
    </row>
    <row r="251" spans="1:6" x14ac:dyDescent="0.35">
      <c r="A251" s="4"/>
      <c r="B251" s="4"/>
      <c r="C251" s="4"/>
      <c r="D251" s="4"/>
      <c r="E251" s="4"/>
      <c r="F251" s="4"/>
    </row>
    <row r="252" spans="1:6" x14ac:dyDescent="0.35">
      <c r="A252" s="4"/>
      <c r="B252" s="4"/>
      <c r="C252" s="4"/>
      <c r="D252" s="4"/>
      <c r="E252" s="4"/>
      <c r="F252" s="4"/>
    </row>
    <row r="253" spans="1:6" x14ac:dyDescent="0.35">
      <c r="A253" s="4"/>
      <c r="B253" s="4"/>
      <c r="C253" s="4"/>
      <c r="D253" s="4"/>
      <c r="E253" s="4"/>
      <c r="F253" s="4"/>
    </row>
    <row r="254" spans="1:6" x14ac:dyDescent="0.35">
      <c r="A254" s="4"/>
      <c r="B254" s="4"/>
      <c r="C254" s="4"/>
      <c r="D254" s="4"/>
      <c r="E254" s="4"/>
      <c r="F254" s="4"/>
    </row>
    <row r="255" spans="1:6" x14ac:dyDescent="0.35">
      <c r="A255" s="4"/>
      <c r="B255" s="4"/>
      <c r="C255" s="4"/>
      <c r="D255" s="4"/>
      <c r="E255" s="4"/>
      <c r="F255" s="4"/>
    </row>
    <row r="256" spans="1:6" x14ac:dyDescent="0.35">
      <c r="A256" s="4"/>
      <c r="B256" s="4"/>
      <c r="C256" s="4"/>
      <c r="D256" s="4"/>
      <c r="E256" s="4"/>
      <c r="F256" s="4"/>
    </row>
    <row r="257" spans="1:6" x14ac:dyDescent="0.35">
      <c r="A257" s="4"/>
      <c r="B257" s="4"/>
      <c r="C257" s="4"/>
      <c r="D257" s="4"/>
      <c r="E257" s="4"/>
      <c r="F257" s="4"/>
    </row>
    <row r="258" spans="1:6" x14ac:dyDescent="0.35">
      <c r="A258" s="4"/>
      <c r="B258" s="4"/>
      <c r="C258" s="4"/>
      <c r="D258" s="4"/>
      <c r="E258" s="4"/>
      <c r="F258" s="4"/>
    </row>
    <row r="259" spans="1:6" x14ac:dyDescent="0.35">
      <c r="A259" s="4"/>
      <c r="B259" s="4"/>
      <c r="C259" s="4"/>
      <c r="D259" s="4"/>
      <c r="E259" s="4"/>
      <c r="F259" s="4"/>
    </row>
    <row r="260" spans="1:6" x14ac:dyDescent="0.35">
      <c r="A260" s="4"/>
      <c r="B260" s="4"/>
      <c r="C260" s="4"/>
      <c r="D260" s="4"/>
      <c r="E260" s="4"/>
      <c r="F260" s="4"/>
    </row>
    <row r="261" spans="1:6" x14ac:dyDescent="0.35">
      <c r="A261" s="4"/>
      <c r="B261" s="4"/>
      <c r="C261" s="4"/>
      <c r="D261" s="4"/>
      <c r="E261" s="4"/>
      <c r="F261" s="4"/>
    </row>
    <row r="262" spans="1:6" x14ac:dyDescent="0.35">
      <c r="A262" s="4"/>
      <c r="B262" s="4"/>
      <c r="C262" s="4"/>
      <c r="D262" s="4"/>
      <c r="E262" s="4"/>
      <c r="F262" s="4"/>
    </row>
    <row r="263" spans="1:6" x14ac:dyDescent="0.35">
      <c r="A263" s="4"/>
      <c r="B263" s="4"/>
      <c r="C263" s="4"/>
      <c r="D263" s="4"/>
      <c r="E263" s="4"/>
      <c r="F263" s="4"/>
    </row>
    <row r="264" spans="1:6" x14ac:dyDescent="0.35">
      <c r="A264" s="4"/>
      <c r="B264" s="4"/>
      <c r="C264" s="4"/>
      <c r="D264" s="4"/>
      <c r="E264" s="4"/>
      <c r="F264" s="4"/>
    </row>
    <row r="265" spans="1:6" x14ac:dyDescent="0.35">
      <c r="A265" s="4"/>
      <c r="B265" s="4"/>
      <c r="C265" s="4"/>
      <c r="D265" s="4"/>
      <c r="E265" s="4"/>
      <c r="F265" s="4"/>
    </row>
    <row r="266" spans="1:6" x14ac:dyDescent="0.35">
      <c r="A266" s="4"/>
      <c r="B266" s="4"/>
      <c r="C266" s="4"/>
      <c r="D266" s="4"/>
      <c r="E266" s="4"/>
      <c r="F266" s="4"/>
    </row>
    <row r="267" spans="1:6" x14ac:dyDescent="0.35">
      <c r="A267" s="4"/>
      <c r="B267" s="4"/>
      <c r="C267" s="4"/>
      <c r="D267" s="4"/>
      <c r="E267" s="4"/>
      <c r="F267" s="4"/>
    </row>
    <row r="268" spans="1:6" x14ac:dyDescent="0.35">
      <c r="A268" s="4"/>
      <c r="B268" s="4"/>
      <c r="C268" s="4"/>
      <c r="D268" s="4"/>
      <c r="E268" s="4"/>
      <c r="F268" s="4"/>
    </row>
    <row r="269" spans="1:6" x14ac:dyDescent="0.35">
      <c r="A269" s="4"/>
      <c r="B269" s="4"/>
      <c r="C269" s="4"/>
      <c r="D269" s="4"/>
      <c r="E269" s="4"/>
      <c r="F269" s="4"/>
    </row>
    <row r="270" spans="1:6" x14ac:dyDescent="0.35">
      <c r="A270" s="4"/>
      <c r="B270" s="4"/>
      <c r="C270" s="4"/>
      <c r="D270" s="4"/>
      <c r="E270" s="4"/>
      <c r="F270" s="4"/>
    </row>
    <row r="271" spans="1:6" x14ac:dyDescent="0.35">
      <c r="A271" s="4"/>
      <c r="B271" s="4"/>
      <c r="C271" s="4"/>
      <c r="D271" s="4"/>
      <c r="E271" s="4"/>
      <c r="F271" s="4"/>
    </row>
    <row r="272" spans="1:6" x14ac:dyDescent="0.35">
      <c r="A272" s="4"/>
      <c r="B272" s="4"/>
      <c r="C272" s="4"/>
      <c r="D272" s="4"/>
      <c r="E272" s="4"/>
      <c r="F272" s="4"/>
    </row>
    <row r="273" spans="1:6" x14ac:dyDescent="0.35">
      <c r="A273" s="4"/>
      <c r="B273" s="4"/>
      <c r="C273" s="4"/>
      <c r="D273" s="4"/>
      <c r="E273" s="4"/>
      <c r="F273" s="4"/>
    </row>
    <row r="274" spans="1:6" x14ac:dyDescent="0.35">
      <c r="A274" s="4"/>
      <c r="B274" s="4"/>
      <c r="C274" s="4"/>
      <c r="D274" s="4"/>
      <c r="E274" s="4"/>
      <c r="F274" s="4"/>
    </row>
    <row r="275" spans="1:6" x14ac:dyDescent="0.35">
      <c r="A275" s="4"/>
      <c r="B275" s="4"/>
      <c r="C275" s="4"/>
      <c r="D275" s="4"/>
      <c r="E275" s="4"/>
      <c r="F275" s="4"/>
    </row>
    <row r="276" spans="1:6" x14ac:dyDescent="0.35">
      <c r="A276" s="4"/>
      <c r="B276" s="4"/>
      <c r="C276" s="4"/>
      <c r="D276" s="4"/>
      <c r="E276" s="4"/>
      <c r="F276" s="4"/>
    </row>
    <row r="277" spans="1:6" x14ac:dyDescent="0.35">
      <c r="A277" s="4"/>
      <c r="B277" s="4"/>
      <c r="C277" s="4"/>
      <c r="D277" s="4"/>
      <c r="E277" s="4"/>
      <c r="F277" s="4"/>
    </row>
    <row r="278" spans="1:6" x14ac:dyDescent="0.35">
      <c r="A278" s="4"/>
      <c r="B278" s="4"/>
      <c r="C278" s="4"/>
      <c r="D278" s="4"/>
      <c r="E278" s="4"/>
      <c r="F278" s="4"/>
    </row>
    <row r="279" spans="1:6" x14ac:dyDescent="0.35">
      <c r="A279" s="4"/>
      <c r="B279" s="4"/>
      <c r="C279" s="4"/>
      <c r="D279" s="4"/>
      <c r="E279" s="4"/>
      <c r="F279" s="4"/>
    </row>
    <row r="280" spans="1:6" x14ac:dyDescent="0.35">
      <c r="A280" s="4"/>
      <c r="B280" s="4"/>
      <c r="C280" s="4"/>
      <c r="D280" s="4"/>
      <c r="E280" s="4"/>
      <c r="F280" s="4"/>
    </row>
    <row r="281" spans="1:6" x14ac:dyDescent="0.35">
      <c r="A281" s="4"/>
      <c r="B281" s="4"/>
      <c r="C281" s="4"/>
      <c r="D281" s="4"/>
      <c r="E281" s="4"/>
      <c r="F281" s="4"/>
    </row>
    <row r="282" spans="1:6" x14ac:dyDescent="0.35">
      <c r="A282" s="4"/>
      <c r="B282" s="4"/>
      <c r="C282" s="4"/>
      <c r="D282" s="4"/>
      <c r="E282" s="4"/>
      <c r="F282" s="4"/>
    </row>
    <row r="283" spans="1:6" x14ac:dyDescent="0.35">
      <c r="A283" s="4"/>
      <c r="B283" s="4"/>
      <c r="C283" s="4"/>
      <c r="D283" s="4"/>
      <c r="E283" s="4"/>
      <c r="F283" s="4"/>
    </row>
    <row r="284" spans="1:6" x14ac:dyDescent="0.35">
      <c r="A284" s="4"/>
      <c r="B284" s="4"/>
      <c r="C284" s="4"/>
      <c r="D284" s="4"/>
      <c r="E284" s="4"/>
      <c r="F284" s="4"/>
    </row>
    <row r="285" spans="1:6" x14ac:dyDescent="0.35">
      <c r="A285" s="4"/>
      <c r="B285" s="4"/>
      <c r="C285" s="4"/>
      <c r="D285" s="4"/>
      <c r="E285" s="4"/>
      <c r="F285" s="4"/>
    </row>
    <row r="286" spans="1:6" x14ac:dyDescent="0.35">
      <c r="A286" s="4"/>
      <c r="B286" s="4"/>
      <c r="C286" s="4"/>
      <c r="D286" s="4"/>
      <c r="E286" s="4"/>
      <c r="F286" s="4"/>
    </row>
    <row r="287" spans="1:6" x14ac:dyDescent="0.35">
      <c r="A287" s="4"/>
      <c r="B287" s="4"/>
      <c r="C287" s="4"/>
      <c r="D287" s="4"/>
      <c r="E287" s="4"/>
      <c r="F287" s="4"/>
    </row>
    <row r="288" spans="1:6" x14ac:dyDescent="0.35">
      <c r="A288" s="4"/>
      <c r="B288" s="4"/>
      <c r="C288" s="4"/>
      <c r="D288" s="4"/>
      <c r="E288" s="4"/>
      <c r="F288" s="4"/>
    </row>
    <row r="289" spans="1:6" x14ac:dyDescent="0.35">
      <c r="A289" s="4"/>
      <c r="B289" s="4"/>
      <c r="C289" s="4"/>
      <c r="D289" s="4"/>
      <c r="E289" s="4"/>
      <c r="F289" s="4"/>
    </row>
    <row r="290" spans="1:6" x14ac:dyDescent="0.35">
      <c r="A290" s="4"/>
      <c r="B290" s="4"/>
      <c r="C290" s="4"/>
      <c r="D290" s="4"/>
      <c r="E290" s="4"/>
      <c r="F290" s="4"/>
    </row>
    <row r="291" spans="1:6" x14ac:dyDescent="0.35">
      <c r="A291" s="4"/>
      <c r="B291" s="4"/>
      <c r="C291" s="4"/>
      <c r="D291" s="4"/>
      <c r="E291" s="4"/>
      <c r="F291" s="4"/>
    </row>
    <row r="292" spans="1:6" x14ac:dyDescent="0.35">
      <c r="A292" s="4"/>
      <c r="B292" s="4"/>
      <c r="C292" s="4"/>
      <c r="D292" s="4"/>
      <c r="E292" s="4"/>
      <c r="F292" s="4"/>
    </row>
    <row r="293" spans="1:6" x14ac:dyDescent="0.35">
      <c r="A293" s="4"/>
      <c r="B293" s="4"/>
      <c r="C293" s="4"/>
      <c r="D293" s="4"/>
      <c r="E293" s="4"/>
      <c r="F293" s="4"/>
    </row>
    <row r="294" spans="1:6" x14ac:dyDescent="0.35">
      <c r="A294" s="4"/>
      <c r="B294" s="4"/>
      <c r="C294" s="4"/>
      <c r="D294" s="4"/>
      <c r="E294" s="4"/>
      <c r="F294" s="4"/>
    </row>
    <row r="295" spans="1:6" x14ac:dyDescent="0.35">
      <c r="A295" s="4"/>
      <c r="B295" s="4"/>
      <c r="C295" s="4"/>
      <c r="D295" s="4"/>
      <c r="E295" s="4"/>
      <c r="F295" s="4"/>
    </row>
    <row r="296" spans="1:6" x14ac:dyDescent="0.35">
      <c r="A296" s="4"/>
      <c r="B296" s="4"/>
      <c r="C296" s="4"/>
      <c r="D296" s="4"/>
      <c r="E296" s="4"/>
      <c r="F296" s="4"/>
    </row>
    <row r="297" spans="1:6" x14ac:dyDescent="0.35">
      <c r="A297" s="4"/>
      <c r="B297" s="4"/>
      <c r="C297" s="4"/>
      <c r="D297" s="4"/>
      <c r="E297" s="4"/>
      <c r="F297" s="4"/>
    </row>
    <row r="298" spans="1:6" x14ac:dyDescent="0.35">
      <c r="A298" s="4"/>
      <c r="B298" s="4"/>
      <c r="C298" s="4"/>
      <c r="D298" s="4"/>
      <c r="E298" s="4"/>
      <c r="F298" s="4"/>
    </row>
    <row r="299" spans="1:6" x14ac:dyDescent="0.35">
      <c r="A299" s="4"/>
      <c r="B299" s="4"/>
      <c r="C299" s="4"/>
      <c r="D299" s="4"/>
      <c r="E299" s="4"/>
      <c r="F299" s="4"/>
    </row>
    <row r="300" spans="1:6" x14ac:dyDescent="0.35">
      <c r="A300" s="4"/>
      <c r="B300" s="4"/>
      <c r="C300" s="4"/>
      <c r="D300" s="4"/>
      <c r="E300" s="4"/>
      <c r="F300" s="4"/>
    </row>
    <row r="301" spans="1:6" x14ac:dyDescent="0.35">
      <c r="A301" s="4"/>
      <c r="B301" s="4"/>
      <c r="C301" s="4"/>
      <c r="D301" s="4"/>
      <c r="E301" s="4"/>
      <c r="F301" s="4"/>
    </row>
    <row r="302" spans="1:6" x14ac:dyDescent="0.35">
      <c r="A302" s="4"/>
      <c r="B302" s="4"/>
      <c r="C302" s="4"/>
      <c r="D302" s="4"/>
      <c r="E302" s="4"/>
      <c r="F302" s="4"/>
    </row>
    <row r="303" spans="1:6" x14ac:dyDescent="0.35">
      <c r="A303" s="4"/>
      <c r="B303" s="4"/>
      <c r="C303" s="4"/>
      <c r="D303" s="4"/>
      <c r="E303" s="4"/>
      <c r="F303" s="4"/>
    </row>
    <row r="304" spans="1:6" x14ac:dyDescent="0.35">
      <c r="A304" s="4"/>
      <c r="B304" s="4"/>
      <c r="C304" s="4"/>
      <c r="D304" s="4"/>
      <c r="E304" s="4"/>
      <c r="F304" s="4"/>
    </row>
    <row r="305" spans="1:6" x14ac:dyDescent="0.35">
      <c r="A305" s="4"/>
      <c r="B305" s="4"/>
      <c r="C305" s="4"/>
      <c r="D305" s="4"/>
      <c r="E305" s="4"/>
      <c r="F305" s="4"/>
    </row>
    <row r="306" spans="1:6" x14ac:dyDescent="0.35">
      <c r="A306" s="4"/>
      <c r="B306" s="4"/>
      <c r="C306" s="4"/>
      <c r="D306" s="4"/>
      <c r="E306" s="4"/>
      <c r="F306" s="4"/>
    </row>
    <row r="307" spans="1:6" x14ac:dyDescent="0.35">
      <c r="A307" s="4"/>
      <c r="B307" s="4"/>
      <c r="C307" s="4"/>
      <c r="D307" s="4"/>
      <c r="E307" s="4"/>
      <c r="F307" s="4"/>
    </row>
    <row r="308" spans="1:6" x14ac:dyDescent="0.35">
      <c r="A308" s="4"/>
      <c r="B308" s="4"/>
      <c r="C308" s="4"/>
      <c r="D308" s="4"/>
      <c r="E308" s="4"/>
      <c r="F308" s="4"/>
    </row>
    <row r="309" spans="1:6" x14ac:dyDescent="0.35">
      <c r="A309" s="4"/>
      <c r="B309" s="4"/>
      <c r="C309" s="4"/>
      <c r="D309" s="4"/>
      <c r="E309" s="4"/>
      <c r="F309" s="4"/>
    </row>
    <row r="310" spans="1:6" x14ac:dyDescent="0.35">
      <c r="A310" s="4"/>
      <c r="B310" s="4"/>
      <c r="C310" s="4"/>
      <c r="D310" s="4"/>
      <c r="E310" s="4"/>
      <c r="F310" s="4"/>
    </row>
    <row r="311" spans="1:6" x14ac:dyDescent="0.35">
      <c r="A311" s="4"/>
      <c r="B311" s="4"/>
      <c r="C311" s="4"/>
      <c r="D311" s="4"/>
      <c r="E311" s="4"/>
      <c r="F311" s="4"/>
    </row>
    <row r="312" spans="1:6" x14ac:dyDescent="0.35">
      <c r="A312" s="4"/>
      <c r="B312" s="4"/>
      <c r="C312" s="4"/>
      <c r="D312" s="4"/>
      <c r="E312" s="4"/>
      <c r="F312" s="4"/>
    </row>
    <row r="313" spans="1:6" x14ac:dyDescent="0.35">
      <c r="A313" s="4"/>
      <c r="B313" s="4"/>
      <c r="C313" s="4"/>
      <c r="D313" s="4"/>
      <c r="E313" s="4"/>
      <c r="F313" s="4"/>
    </row>
    <row r="314" spans="1:6" x14ac:dyDescent="0.35">
      <c r="A314" s="4"/>
      <c r="B314" s="4"/>
      <c r="C314" s="4"/>
      <c r="D314" s="4"/>
      <c r="E314" s="4"/>
      <c r="F314" s="4"/>
    </row>
    <row r="315" spans="1:6" x14ac:dyDescent="0.35">
      <c r="A315" s="4"/>
      <c r="B315" s="4"/>
      <c r="C315" s="4"/>
      <c r="D315" s="4"/>
      <c r="E315" s="4"/>
      <c r="F315" s="4"/>
    </row>
    <row r="316" spans="1:6" x14ac:dyDescent="0.35">
      <c r="A316" s="4"/>
      <c r="B316" s="4"/>
      <c r="C316" s="4"/>
      <c r="D316" s="4"/>
      <c r="E316" s="4"/>
      <c r="F316" s="4"/>
    </row>
    <row r="317" spans="1:6" x14ac:dyDescent="0.35">
      <c r="A317" s="4"/>
      <c r="B317" s="4"/>
      <c r="C317" s="4"/>
      <c r="D317" s="4"/>
      <c r="E317" s="4"/>
      <c r="F317" s="4"/>
    </row>
    <row r="318" spans="1:6" x14ac:dyDescent="0.35">
      <c r="A318" s="4"/>
      <c r="B318" s="4"/>
      <c r="C318" s="4"/>
      <c r="D318" s="4"/>
      <c r="E318" s="4"/>
      <c r="F318" s="4"/>
    </row>
    <row r="319" spans="1:6" x14ac:dyDescent="0.35">
      <c r="A319" s="4"/>
      <c r="B319" s="4"/>
      <c r="C319" s="4"/>
      <c r="D319" s="4"/>
      <c r="E319" s="4"/>
      <c r="F319" s="4"/>
    </row>
    <row r="320" spans="1:6" x14ac:dyDescent="0.35">
      <c r="A320" s="4"/>
      <c r="B320" s="4"/>
      <c r="C320" s="4"/>
      <c r="D320" s="4"/>
      <c r="E320" s="4"/>
      <c r="F320" s="4"/>
    </row>
    <row r="321" spans="1:6" x14ac:dyDescent="0.35">
      <c r="A321" s="4"/>
      <c r="B321" s="4"/>
      <c r="C321" s="4"/>
      <c r="D321" s="4"/>
      <c r="E321" s="4"/>
      <c r="F321" s="4"/>
    </row>
    <row r="322" spans="1:6" x14ac:dyDescent="0.35">
      <c r="A322" s="4"/>
      <c r="B322" s="4"/>
      <c r="C322" s="4"/>
      <c r="D322" s="4"/>
      <c r="E322" s="4"/>
      <c r="F322" s="4"/>
    </row>
    <row r="323" spans="1:6" x14ac:dyDescent="0.35">
      <c r="A323" s="4"/>
      <c r="B323" s="4"/>
      <c r="C323" s="4"/>
      <c r="D323" s="4"/>
      <c r="E323" s="4"/>
      <c r="F323" s="4"/>
    </row>
    <row r="324" spans="1:6" x14ac:dyDescent="0.35">
      <c r="A324" s="4"/>
      <c r="B324" s="4"/>
      <c r="C324" s="4"/>
      <c r="D324" s="4"/>
      <c r="E324" s="4"/>
      <c r="F324" s="4"/>
    </row>
    <row r="325" spans="1:6" x14ac:dyDescent="0.35">
      <c r="A325" s="4"/>
      <c r="B325" s="4"/>
      <c r="C325" s="4"/>
      <c r="D325" s="4"/>
      <c r="E325" s="4"/>
      <c r="F325" s="4"/>
    </row>
    <row r="326" spans="1:6" x14ac:dyDescent="0.35">
      <c r="A326" s="4"/>
      <c r="B326" s="4"/>
      <c r="C326" s="4"/>
      <c r="D326" s="4"/>
      <c r="E326" s="4"/>
      <c r="F326" s="4"/>
    </row>
    <row r="327" spans="1:6" x14ac:dyDescent="0.35">
      <c r="A327" s="4"/>
      <c r="B327" s="4"/>
      <c r="C327" s="4"/>
      <c r="D327" s="4"/>
      <c r="E327" s="4"/>
      <c r="F327" s="4"/>
    </row>
    <row r="328" spans="1:6" x14ac:dyDescent="0.35">
      <c r="A328" s="4"/>
      <c r="B328" s="4"/>
      <c r="C328" s="4"/>
      <c r="D328" s="4"/>
      <c r="E328" s="4"/>
      <c r="F328" s="4"/>
    </row>
    <row r="329" spans="1:6" x14ac:dyDescent="0.35">
      <c r="A329" s="4"/>
      <c r="B329" s="4"/>
      <c r="C329" s="4"/>
      <c r="D329" s="4"/>
      <c r="E329" s="4"/>
      <c r="F329" s="4"/>
    </row>
    <row r="330" spans="1:6" x14ac:dyDescent="0.35">
      <c r="A330" s="4"/>
      <c r="B330" s="4"/>
      <c r="C330" s="4"/>
      <c r="D330" s="4"/>
      <c r="E330" s="4"/>
      <c r="F330" s="4"/>
    </row>
    <row r="331" spans="1:6" x14ac:dyDescent="0.35">
      <c r="A331" s="4"/>
      <c r="B331" s="4"/>
      <c r="C331" s="4"/>
      <c r="D331" s="4"/>
      <c r="E331" s="4"/>
      <c r="F331" s="4"/>
    </row>
    <row r="332" spans="1:6" x14ac:dyDescent="0.35">
      <c r="A332" s="4"/>
      <c r="B332" s="4"/>
      <c r="C332" s="4"/>
      <c r="D332" s="4"/>
      <c r="E332" s="4"/>
      <c r="F332" s="4"/>
    </row>
    <row r="333" spans="1:6" x14ac:dyDescent="0.35">
      <c r="A333" s="4"/>
      <c r="B333" s="4"/>
      <c r="C333" s="4"/>
      <c r="D333" s="4"/>
      <c r="E333" s="4"/>
      <c r="F333" s="4"/>
    </row>
    <row r="334" spans="1:6" x14ac:dyDescent="0.35">
      <c r="A334" s="4"/>
      <c r="B334" s="4"/>
      <c r="C334" s="4"/>
      <c r="D334" s="4"/>
      <c r="E334" s="4"/>
      <c r="F334" s="4"/>
    </row>
    <row r="335" spans="1:6" x14ac:dyDescent="0.35">
      <c r="A335" s="4"/>
      <c r="B335" s="4"/>
      <c r="C335" s="4"/>
      <c r="D335" s="4"/>
      <c r="E335" s="4"/>
      <c r="F335" s="4"/>
    </row>
    <row r="336" spans="1:6" x14ac:dyDescent="0.35">
      <c r="A336" s="4"/>
      <c r="B336" s="4"/>
      <c r="C336" s="4"/>
      <c r="D336" s="4"/>
      <c r="E336" s="4"/>
      <c r="F336" s="4"/>
    </row>
    <row r="337" spans="1:6" x14ac:dyDescent="0.35">
      <c r="A337" s="4"/>
      <c r="B337" s="4"/>
      <c r="C337" s="4"/>
      <c r="D337" s="4"/>
      <c r="E337" s="4"/>
      <c r="F337" s="4"/>
    </row>
    <row r="338" spans="1:6" x14ac:dyDescent="0.35">
      <c r="A338" s="4"/>
      <c r="B338" s="4"/>
      <c r="C338" s="4"/>
      <c r="D338" s="4"/>
      <c r="E338" s="4"/>
      <c r="F338" s="4"/>
    </row>
    <row r="339" spans="1:6" x14ac:dyDescent="0.35">
      <c r="A339" s="4"/>
      <c r="B339" s="4"/>
      <c r="C339" s="4"/>
      <c r="D339" s="4"/>
      <c r="E339" s="4"/>
      <c r="F339" s="4"/>
    </row>
    <row r="340" spans="1:6" x14ac:dyDescent="0.35">
      <c r="A340" s="4"/>
      <c r="B340" s="4"/>
      <c r="C340" s="4"/>
      <c r="D340" s="4"/>
      <c r="E340" s="4"/>
      <c r="F340" s="4"/>
    </row>
    <row r="341" spans="1:6" x14ac:dyDescent="0.35">
      <c r="A341" s="4"/>
      <c r="B341" s="4"/>
      <c r="C341" s="4"/>
      <c r="D341" s="4"/>
      <c r="E341" s="4"/>
      <c r="F341" s="4"/>
    </row>
    <row r="342" spans="1:6" x14ac:dyDescent="0.35">
      <c r="A342" s="4"/>
      <c r="B342" s="4"/>
      <c r="C342" s="4"/>
      <c r="D342" s="4"/>
      <c r="E342" s="4"/>
      <c r="F342" s="4"/>
    </row>
    <row r="343" spans="1:6" x14ac:dyDescent="0.35">
      <c r="A343" s="4"/>
      <c r="B343" s="4"/>
      <c r="C343" s="4"/>
      <c r="D343" s="4"/>
      <c r="E343" s="4"/>
      <c r="F343" s="4"/>
    </row>
    <row r="344" spans="1:6" x14ac:dyDescent="0.35">
      <c r="A344" s="4"/>
      <c r="B344" s="4"/>
      <c r="C344" s="4"/>
      <c r="D344" s="4"/>
      <c r="E344" s="4"/>
      <c r="F344" s="4"/>
    </row>
    <row r="345" spans="1:6" x14ac:dyDescent="0.35">
      <c r="A345" s="4"/>
      <c r="B345" s="4"/>
      <c r="C345" s="4"/>
      <c r="D345" s="4"/>
      <c r="E345" s="4"/>
      <c r="F345" s="4"/>
    </row>
    <row r="346" spans="1:6" x14ac:dyDescent="0.35">
      <c r="A346" s="4"/>
      <c r="B346" s="4"/>
      <c r="C346" s="4"/>
      <c r="D346" s="4"/>
      <c r="E346" s="4"/>
      <c r="F346" s="4"/>
    </row>
    <row r="347" spans="1:6" x14ac:dyDescent="0.35">
      <c r="A347" s="4"/>
      <c r="B347" s="4"/>
      <c r="C347" s="4"/>
      <c r="D347" s="4"/>
      <c r="E347" s="4"/>
      <c r="F347" s="4"/>
    </row>
    <row r="348" spans="1:6" x14ac:dyDescent="0.35">
      <c r="A348" s="4"/>
      <c r="B348" s="4"/>
      <c r="C348" s="4"/>
      <c r="D348" s="4"/>
      <c r="E348" s="4"/>
      <c r="F348" s="4"/>
    </row>
    <row r="349" spans="1:6" x14ac:dyDescent="0.35">
      <c r="A349" s="4"/>
      <c r="B349" s="4"/>
      <c r="C349" s="4"/>
      <c r="D349" s="4"/>
      <c r="E349" s="4"/>
      <c r="F349" s="4"/>
    </row>
    <row r="350" spans="1:6" x14ac:dyDescent="0.35">
      <c r="A350" s="4"/>
      <c r="B350" s="4"/>
      <c r="C350" s="4"/>
      <c r="D350" s="4"/>
      <c r="E350" s="4"/>
      <c r="F350" s="4"/>
    </row>
    <row r="351" spans="1:6" x14ac:dyDescent="0.35">
      <c r="A351" s="4"/>
      <c r="B351" s="4"/>
      <c r="C351" s="4"/>
      <c r="D351" s="4"/>
      <c r="E351" s="4"/>
      <c r="F351" s="4"/>
    </row>
    <row r="352" spans="1:6" x14ac:dyDescent="0.35">
      <c r="A352" s="4"/>
      <c r="B352" s="4"/>
      <c r="C352" s="4"/>
      <c r="D352" s="4"/>
      <c r="E352" s="4"/>
      <c r="F352" s="4"/>
    </row>
    <row r="353" spans="1:6" x14ac:dyDescent="0.35">
      <c r="A353" s="4"/>
      <c r="B353" s="4"/>
      <c r="C353" s="4"/>
      <c r="D353" s="4"/>
      <c r="E353" s="4"/>
      <c r="F353" s="4"/>
    </row>
    <row r="354" spans="1:6" x14ac:dyDescent="0.35">
      <c r="A354" s="4"/>
      <c r="B354" s="4"/>
      <c r="C354" s="4"/>
      <c r="D354" s="4"/>
      <c r="E354" s="4"/>
      <c r="F354" s="4"/>
    </row>
    <row r="355" spans="1:6" x14ac:dyDescent="0.35">
      <c r="A355" s="4"/>
      <c r="B355" s="4"/>
      <c r="C355" s="4"/>
      <c r="D355" s="4"/>
      <c r="E355" s="4"/>
      <c r="F355" s="4"/>
    </row>
    <row r="356" spans="1:6" x14ac:dyDescent="0.35">
      <c r="A356" s="4"/>
      <c r="B356" s="4"/>
      <c r="C356" s="4"/>
      <c r="D356" s="4"/>
      <c r="E356" s="4"/>
      <c r="F356" s="4"/>
    </row>
    <row r="357" spans="1:6" x14ac:dyDescent="0.35">
      <c r="A357" s="4"/>
      <c r="B357" s="4"/>
      <c r="C357" s="4"/>
      <c r="D357" s="4"/>
      <c r="E357" s="4"/>
      <c r="F357" s="4"/>
    </row>
    <row r="358" spans="1:6" x14ac:dyDescent="0.35">
      <c r="A358" s="4"/>
      <c r="B358" s="4"/>
      <c r="C358" s="4"/>
      <c r="D358" s="4"/>
      <c r="E358" s="4"/>
      <c r="F358" s="4"/>
    </row>
    <row r="359" spans="1:6" x14ac:dyDescent="0.35">
      <c r="A359" s="4"/>
      <c r="B359" s="4"/>
      <c r="C359" s="4"/>
      <c r="D359" s="4"/>
      <c r="E359" s="4"/>
      <c r="F359" s="4"/>
    </row>
    <row r="360" spans="1:6" x14ac:dyDescent="0.35">
      <c r="A360" s="4"/>
      <c r="B360" s="4"/>
      <c r="C360" s="4"/>
      <c r="D360" s="4"/>
      <c r="E360" s="4"/>
      <c r="F360" s="4"/>
    </row>
    <row r="361" spans="1:6" x14ac:dyDescent="0.35">
      <c r="A361" s="4"/>
      <c r="B361" s="4"/>
      <c r="C361" s="4"/>
      <c r="D361" s="4"/>
      <c r="E361" s="4"/>
      <c r="F361" s="4"/>
    </row>
    <row r="362" spans="1:6" x14ac:dyDescent="0.35">
      <c r="A362" s="4"/>
      <c r="B362" s="4"/>
      <c r="C362" s="4"/>
      <c r="D362" s="4"/>
      <c r="E362" s="4"/>
      <c r="F362" s="4"/>
    </row>
    <row r="363" spans="1:6" x14ac:dyDescent="0.35">
      <c r="A363" s="4"/>
      <c r="B363" s="4"/>
      <c r="C363" s="4"/>
      <c r="D363" s="4"/>
      <c r="E363" s="4"/>
      <c r="F363" s="4"/>
    </row>
    <row r="364" spans="1:6" x14ac:dyDescent="0.35">
      <c r="A364" s="4"/>
      <c r="B364" s="4"/>
      <c r="C364" s="4"/>
      <c r="D364" s="4"/>
      <c r="E364" s="4"/>
      <c r="F364" s="4"/>
    </row>
    <row r="365" spans="1:6" x14ac:dyDescent="0.35">
      <c r="A365" s="4"/>
      <c r="B365" s="4"/>
      <c r="C365" s="4"/>
      <c r="D365" s="4"/>
      <c r="E365" s="4"/>
      <c r="F365" s="4"/>
    </row>
    <row r="366" spans="1:6" x14ac:dyDescent="0.35">
      <c r="A366" s="4"/>
      <c r="B366" s="4"/>
      <c r="C366" s="4"/>
      <c r="D366" s="4"/>
      <c r="E366" s="4"/>
      <c r="F366" s="4"/>
    </row>
    <row r="367" spans="1:6" x14ac:dyDescent="0.35">
      <c r="A367" s="4"/>
      <c r="B367" s="4"/>
      <c r="C367" s="4"/>
      <c r="D367" s="4"/>
      <c r="E367" s="4"/>
      <c r="F367" s="4"/>
    </row>
    <row r="368" spans="1:6" x14ac:dyDescent="0.35">
      <c r="A368" s="4"/>
      <c r="B368" s="4"/>
      <c r="C368" s="4"/>
      <c r="D368" s="4"/>
      <c r="E368" s="4"/>
      <c r="F368" s="4"/>
    </row>
    <row r="369" spans="1:6" x14ac:dyDescent="0.35">
      <c r="A369" s="4"/>
      <c r="B369" s="4"/>
      <c r="C369" s="4"/>
      <c r="D369" s="4"/>
      <c r="E369" s="4"/>
      <c r="F369" s="4"/>
    </row>
    <row r="370" spans="1:6" x14ac:dyDescent="0.35">
      <c r="A370" s="4"/>
      <c r="B370" s="4"/>
      <c r="C370" s="4"/>
      <c r="D370" s="4"/>
      <c r="E370" s="4"/>
      <c r="F370" s="4"/>
    </row>
    <row r="371" spans="1:6" x14ac:dyDescent="0.35">
      <c r="A371" s="4"/>
      <c r="B371" s="4"/>
      <c r="C371" s="4"/>
      <c r="D371" s="4"/>
      <c r="E371" s="4"/>
      <c r="F371" s="4"/>
    </row>
    <row r="372" spans="1:6" x14ac:dyDescent="0.35">
      <c r="A372" s="4"/>
      <c r="B372" s="4"/>
      <c r="C372" s="4"/>
      <c r="D372" s="4"/>
      <c r="E372" s="4"/>
      <c r="F372" s="4"/>
    </row>
    <row r="373" spans="1:6" x14ac:dyDescent="0.35">
      <c r="A373" s="4"/>
      <c r="B373" s="4"/>
      <c r="C373" s="4"/>
      <c r="D373" s="4"/>
      <c r="E373" s="4"/>
      <c r="F373" s="4"/>
    </row>
    <row r="374" spans="1:6" x14ac:dyDescent="0.35">
      <c r="A374" s="4"/>
      <c r="B374" s="4"/>
      <c r="C374" s="4"/>
      <c r="D374" s="4"/>
      <c r="E374" s="4"/>
      <c r="F374" s="4"/>
    </row>
    <row r="375" spans="1:6" x14ac:dyDescent="0.35">
      <c r="A375" s="4"/>
      <c r="B375" s="4"/>
      <c r="C375" s="4"/>
      <c r="D375" s="4"/>
      <c r="E375" s="4"/>
      <c r="F375" s="4"/>
    </row>
    <row r="376" spans="1:6" x14ac:dyDescent="0.35">
      <c r="A376" s="4"/>
      <c r="B376" s="4"/>
      <c r="C376" s="4"/>
      <c r="D376" s="4"/>
      <c r="E376" s="4"/>
      <c r="F376" s="4"/>
    </row>
    <row r="377" spans="1:6" x14ac:dyDescent="0.35">
      <c r="A377" s="4"/>
      <c r="B377" s="4"/>
      <c r="C377" s="4"/>
      <c r="D377" s="4"/>
      <c r="E377" s="4"/>
      <c r="F377" s="4"/>
    </row>
    <row r="378" spans="1:6" x14ac:dyDescent="0.35">
      <c r="A378" s="4"/>
      <c r="B378" s="4"/>
      <c r="C378" s="4"/>
      <c r="D378" s="4"/>
      <c r="E378" s="4"/>
      <c r="F378" s="4"/>
    </row>
    <row r="379" spans="1:6" x14ac:dyDescent="0.35">
      <c r="A379" s="4"/>
      <c r="B379" s="4"/>
      <c r="C379" s="4"/>
      <c r="D379" s="4"/>
      <c r="E379" s="4"/>
      <c r="F379" s="4"/>
    </row>
    <row r="380" spans="1:6" x14ac:dyDescent="0.35">
      <c r="A380" s="4"/>
      <c r="B380" s="4"/>
      <c r="C380" s="4"/>
      <c r="D380" s="4"/>
      <c r="E380" s="4"/>
      <c r="F380" s="4"/>
    </row>
    <row r="381" spans="1:6" x14ac:dyDescent="0.35">
      <c r="A381" s="4"/>
      <c r="B381" s="4"/>
      <c r="C381" s="4"/>
      <c r="D381" s="4"/>
      <c r="E381" s="4"/>
      <c r="F381" s="4"/>
    </row>
    <row r="382" spans="1:6" x14ac:dyDescent="0.35">
      <c r="A382" s="4"/>
      <c r="B382" s="4"/>
      <c r="C382" s="4"/>
      <c r="D382" s="4"/>
      <c r="E382" s="4"/>
      <c r="F382" s="4"/>
    </row>
    <row r="383" spans="1:6" x14ac:dyDescent="0.35">
      <c r="A383" s="4"/>
      <c r="B383" s="4"/>
      <c r="C383" s="4"/>
      <c r="D383" s="4"/>
      <c r="E383" s="4"/>
      <c r="F383" s="4"/>
    </row>
    <row r="384" spans="1:6" x14ac:dyDescent="0.35">
      <c r="A384" s="4"/>
      <c r="B384" s="4"/>
      <c r="C384" s="4"/>
      <c r="D384" s="4"/>
      <c r="E384" s="4"/>
      <c r="F384" s="4"/>
    </row>
    <row r="385" spans="1:6" x14ac:dyDescent="0.35">
      <c r="A385" s="4"/>
      <c r="B385" s="4"/>
      <c r="C385" s="4"/>
      <c r="D385" s="4"/>
      <c r="E385" s="4"/>
      <c r="F385" s="4"/>
    </row>
    <row r="386" spans="1:6" x14ac:dyDescent="0.35">
      <c r="A386" s="4"/>
      <c r="B386" s="4"/>
      <c r="C386" s="4"/>
      <c r="D386" s="4"/>
      <c r="E386" s="4"/>
      <c r="F386" s="4"/>
    </row>
    <row r="387" spans="1:6" x14ac:dyDescent="0.35">
      <c r="A387" s="4"/>
      <c r="B387" s="4"/>
      <c r="C387" s="4"/>
      <c r="D387" s="4"/>
      <c r="E387" s="4"/>
      <c r="F387" s="4"/>
    </row>
    <row r="388" spans="1:6" x14ac:dyDescent="0.35">
      <c r="A388" s="4"/>
      <c r="B388" s="4"/>
      <c r="C388" s="4"/>
      <c r="D388" s="4"/>
      <c r="E388" s="4"/>
      <c r="F388" s="4"/>
    </row>
    <row r="389" spans="1:6" x14ac:dyDescent="0.35">
      <c r="A389" s="4"/>
      <c r="B389" s="4"/>
      <c r="C389" s="4"/>
      <c r="D389" s="4"/>
      <c r="E389" s="4"/>
      <c r="F389" s="4"/>
    </row>
    <row r="390" spans="1:6" x14ac:dyDescent="0.35">
      <c r="A390" s="4"/>
      <c r="B390" s="4"/>
      <c r="C390" s="4"/>
      <c r="D390" s="4"/>
      <c r="E390" s="4"/>
      <c r="F390" s="4"/>
    </row>
    <row r="391" spans="1:6" x14ac:dyDescent="0.35">
      <c r="A391" s="4"/>
      <c r="B391" s="4"/>
      <c r="C391" s="4"/>
      <c r="D391" s="4"/>
      <c r="E391" s="4"/>
      <c r="F391" s="4"/>
    </row>
    <row r="392" spans="1:6" x14ac:dyDescent="0.35">
      <c r="A392" s="4"/>
      <c r="B392" s="4"/>
      <c r="C392" s="4"/>
      <c r="D392" s="4"/>
      <c r="E392" s="4"/>
      <c r="F392" s="4"/>
    </row>
    <row r="393" spans="1:6" x14ac:dyDescent="0.35">
      <c r="A393" s="4"/>
      <c r="B393" s="4"/>
      <c r="C393" s="4"/>
      <c r="D393" s="4"/>
      <c r="E393" s="4"/>
      <c r="F393" s="4"/>
    </row>
    <row r="394" spans="1:6" x14ac:dyDescent="0.35">
      <c r="A394" s="4"/>
      <c r="B394" s="4"/>
      <c r="C394" s="4"/>
      <c r="D394" s="4"/>
      <c r="E394" s="4"/>
      <c r="F394" s="4"/>
    </row>
    <row r="395" spans="1:6" x14ac:dyDescent="0.35">
      <c r="A395" s="4"/>
      <c r="B395" s="4"/>
      <c r="C395" s="4"/>
      <c r="D395" s="4"/>
      <c r="E395" s="4"/>
      <c r="F395" s="4"/>
    </row>
    <row r="396" spans="1:6" x14ac:dyDescent="0.35">
      <c r="A396" s="4"/>
      <c r="B396" s="4"/>
      <c r="C396" s="4"/>
      <c r="D396" s="4"/>
      <c r="E396" s="4"/>
      <c r="F396" s="4"/>
    </row>
    <row r="397" spans="1:6" x14ac:dyDescent="0.35">
      <c r="A397" s="4"/>
      <c r="B397" s="4"/>
      <c r="C397" s="4"/>
      <c r="D397" s="4"/>
      <c r="E397" s="4"/>
      <c r="F397" s="4"/>
    </row>
    <row r="398" spans="1:6" x14ac:dyDescent="0.35">
      <c r="A398" s="4"/>
      <c r="B398" s="4"/>
      <c r="C398" s="4"/>
      <c r="D398" s="4"/>
      <c r="E398" s="4"/>
      <c r="F398" s="4"/>
    </row>
    <row r="399" spans="1:6" x14ac:dyDescent="0.35">
      <c r="A399" s="4"/>
      <c r="B399" s="4"/>
      <c r="C399" s="4"/>
      <c r="D399" s="4"/>
      <c r="E399" s="4"/>
      <c r="F399" s="4"/>
    </row>
    <row r="400" spans="1:6" x14ac:dyDescent="0.35">
      <c r="A400" s="4"/>
      <c r="B400" s="4"/>
      <c r="C400" s="4"/>
      <c r="D400" s="4"/>
      <c r="E400" s="4"/>
      <c r="F400" s="4"/>
    </row>
    <row r="401" spans="1:6" x14ac:dyDescent="0.35">
      <c r="A401" s="4"/>
      <c r="B401" s="4"/>
      <c r="C401" s="4"/>
      <c r="D401" s="4"/>
      <c r="E401" s="4"/>
      <c r="F401" s="4"/>
    </row>
    <row r="402" spans="1:6" x14ac:dyDescent="0.35">
      <c r="A402" s="4"/>
      <c r="B402" s="4"/>
      <c r="C402" s="4"/>
      <c r="D402" s="4"/>
      <c r="E402" s="4"/>
      <c r="F402" s="4"/>
    </row>
    <row r="403" spans="1:6" x14ac:dyDescent="0.35">
      <c r="A403" s="4"/>
      <c r="B403" s="4"/>
      <c r="C403" s="4"/>
      <c r="D403" s="4"/>
      <c r="E403" s="4"/>
      <c r="F403" s="4"/>
    </row>
    <row r="404" spans="1:6" x14ac:dyDescent="0.35">
      <c r="A404" s="4"/>
      <c r="B404" s="4"/>
      <c r="C404" s="4"/>
      <c r="D404" s="4"/>
      <c r="E404" s="4"/>
      <c r="F404" s="4"/>
    </row>
    <row r="405" spans="1:6" x14ac:dyDescent="0.35">
      <c r="A405" s="4"/>
      <c r="B405" s="4"/>
      <c r="C405" s="4"/>
      <c r="D405" s="4"/>
      <c r="E405" s="4"/>
      <c r="F405" s="4"/>
    </row>
    <row r="406" spans="1:6" x14ac:dyDescent="0.35">
      <c r="A406" s="4"/>
      <c r="B406" s="4"/>
      <c r="C406" s="4"/>
      <c r="D406" s="4"/>
      <c r="E406" s="4"/>
      <c r="F406" s="4"/>
    </row>
    <row r="407" spans="1:6" x14ac:dyDescent="0.35">
      <c r="A407" s="4"/>
      <c r="B407" s="4"/>
      <c r="C407" s="4"/>
      <c r="D407" s="4"/>
      <c r="E407" s="4"/>
      <c r="F407" s="4"/>
    </row>
    <row r="408" spans="1:6" x14ac:dyDescent="0.35">
      <c r="A408" s="4"/>
      <c r="B408" s="4"/>
      <c r="C408" s="4"/>
      <c r="D408" s="4"/>
      <c r="E408" s="4"/>
      <c r="F408" s="4"/>
    </row>
    <row r="409" spans="1:6" x14ac:dyDescent="0.35">
      <c r="A409" s="4"/>
      <c r="B409" s="4"/>
      <c r="C409" s="4"/>
      <c r="D409" s="4"/>
      <c r="E409" s="4"/>
      <c r="F409" s="4"/>
    </row>
    <row r="410" spans="1:6" x14ac:dyDescent="0.35">
      <c r="A410" s="4"/>
      <c r="B410" s="4"/>
      <c r="C410" s="4"/>
      <c r="D410" s="4"/>
      <c r="E410" s="4"/>
      <c r="F410" s="4"/>
    </row>
    <row r="411" spans="1:6" x14ac:dyDescent="0.35">
      <c r="A411" s="4"/>
      <c r="B411" s="4"/>
      <c r="C411" s="4"/>
      <c r="D411" s="4"/>
      <c r="E411" s="4"/>
      <c r="F411" s="4"/>
    </row>
    <row r="412" spans="1:6" x14ac:dyDescent="0.35">
      <c r="A412" s="4"/>
      <c r="B412" s="4"/>
      <c r="C412" s="4"/>
      <c r="D412" s="4"/>
      <c r="E412" s="4"/>
      <c r="F412" s="4"/>
    </row>
    <row r="413" spans="1:6" x14ac:dyDescent="0.35">
      <c r="A413" s="4"/>
      <c r="B413" s="4"/>
      <c r="C413" s="4"/>
      <c r="D413" s="4"/>
      <c r="E413" s="4"/>
      <c r="F413" s="4"/>
    </row>
    <row r="414" spans="1:6" x14ac:dyDescent="0.35">
      <c r="A414" s="4"/>
      <c r="B414" s="4"/>
      <c r="C414" s="4"/>
      <c r="D414" s="4"/>
      <c r="E414" s="4"/>
      <c r="F414" s="4"/>
    </row>
    <row r="415" spans="1:6" x14ac:dyDescent="0.35">
      <c r="A415" s="4"/>
      <c r="B415" s="4"/>
      <c r="C415" s="4"/>
      <c r="D415" s="4"/>
      <c r="E415" s="4"/>
      <c r="F415" s="4"/>
    </row>
    <row r="416" spans="1:6" x14ac:dyDescent="0.35">
      <c r="A416" s="4"/>
      <c r="B416" s="4"/>
      <c r="C416" s="4"/>
      <c r="D416" s="4"/>
      <c r="E416" s="4"/>
      <c r="F416" s="4"/>
    </row>
    <row r="417" spans="1:6" x14ac:dyDescent="0.35">
      <c r="A417" s="4"/>
      <c r="B417" s="4"/>
      <c r="C417" s="4"/>
      <c r="D417" s="4"/>
      <c r="E417" s="4"/>
      <c r="F417" s="4"/>
    </row>
    <row r="418" spans="1:6" x14ac:dyDescent="0.35">
      <c r="A418" s="4"/>
      <c r="B418" s="4"/>
      <c r="C418" s="4"/>
      <c r="D418" s="4"/>
      <c r="E418" s="4"/>
      <c r="F418" s="4"/>
    </row>
    <row r="419" spans="1:6" x14ac:dyDescent="0.35">
      <c r="A419" s="4"/>
      <c r="B419" s="4"/>
      <c r="C419" s="4"/>
      <c r="D419" s="4"/>
      <c r="E419" s="4"/>
      <c r="F419" s="4"/>
    </row>
    <row r="420" spans="1:6" x14ac:dyDescent="0.35">
      <c r="A420" s="4"/>
      <c r="B420" s="4"/>
      <c r="C420" s="4"/>
      <c r="D420" s="4"/>
      <c r="E420" s="4"/>
      <c r="F420" s="4"/>
    </row>
    <row r="421" spans="1:6" x14ac:dyDescent="0.35">
      <c r="A421" s="4"/>
      <c r="B421" s="4"/>
      <c r="C421" s="4"/>
      <c r="D421" s="4"/>
      <c r="E421" s="4"/>
      <c r="F421" s="4"/>
    </row>
    <row r="422" spans="1:6" x14ac:dyDescent="0.35">
      <c r="A422" s="4"/>
      <c r="B422" s="4"/>
      <c r="C422" s="4"/>
      <c r="D422" s="4"/>
      <c r="E422" s="4"/>
      <c r="F422" s="4"/>
    </row>
    <row r="423" spans="1:6" x14ac:dyDescent="0.35">
      <c r="A423" s="4"/>
      <c r="B423" s="4"/>
      <c r="C423" s="4"/>
      <c r="D423" s="4"/>
      <c r="E423" s="4"/>
      <c r="F423" s="4"/>
    </row>
    <row r="424" spans="1:6" x14ac:dyDescent="0.35">
      <c r="A424" s="4"/>
      <c r="B424" s="4"/>
      <c r="C424" s="4"/>
      <c r="D424" s="4"/>
      <c r="E424" s="4"/>
      <c r="F424" s="4"/>
    </row>
    <row r="425" spans="1:6" x14ac:dyDescent="0.35">
      <c r="A425" s="4"/>
      <c r="B425" s="4"/>
      <c r="C425" s="4"/>
      <c r="D425" s="4"/>
      <c r="E425" s="4"/>
      <c r="F425" s="4"/>
    </row>
    <row r="426" spans="1:6" x14ac:dyDescent="0.35">
      <c r="A426" s="4"/>
      <c r="B426" s="4"/>
      <c r="C426" s="4"/>
      <c r="D426" s="4"/>
      <c r="E426" s="4"/>
      <c r="F426" s="4"/>
    </row>
    <row r="427" spans="1:6" x14ac:dyDescent="0.35">
      <c r="A427" s="4"/>
      <c r="B427" s="4"/>
      <c r="C427" s="4"/>
      <c r="D427" s="4"/>
      <c r="E427" s="4"/>
      <c r="F427" s="4"/>
    </row>
    <row r="428" spans="1:6" x14ac:dyDescent="0.35">
      <c r="A428" s="4"/>
      <c r="B428" s="4"/>
      <c r="C428" s="4"/>
      <c r="D428" s="4"/>
      <c r="E428" s="4"/>
      <c r="F428" s="4"/>
    </row>
    <row r="429" spans="1:6" x14ac:dyDescent="0.35">
      <c r="A429" s="4"/>
      <c r="B429" s="4"/>
      <c r="C429" s="4"/>
      <c r="D429" s="4"/>
      <c r="E429" s="4"/>
      <c r="F429" s="4"/>
    </row>
    <row r="430" spans="1:6" x14ac:dyDescent="0.35">
      <c r="A430" s="4"/>
      <c r="B430" s="4"/>
      <c r="C430" s="4"/>
      <c r="D430" s="4"/>
      <c r="E430" s="4"/>
      <c r="F430" s="4"/>
    </row>
    <row r="431" spans="1:6" x14ac:dyDescent="0.35">
      <c r="A431" s="4"/>
      <c r="B431" s="4"/>
      <c r="C431" s="4"/>
      <c r="D431" s="4"/>
      <c r="E431" s="4"/>
      <c r="F431" s="4"/>
    </row>
    <row r="432" spans="1:6" x14ac:dyDescent="0.35">
      <c r="A432" s="4"/>
      <c r="B432" s="4"/>
      <c r="C432" s="4"/>
      <c r="D432" s="4"/>
      <c r="E432" s="4"/>
      <c r="F432" s="4"/>
    </row>
    <row r="433" spans="1:6" x14ac:dyDescent="0.35">
      <c r="A433" s="4"/>
      <c r="B433" s="4"/>
      <c r="C433" s="4"/>
      <c r="D433" s="4"/>
      <c r="E433" s="4"/>
      <c r="F433" s="4"/>
    </row>
    <row r="434" spans="1:6" x14ac:dyDescent="0.35">
      <c r="A434" s="4"/>
      <c r="B434" s="4"/>
      <c r="C434" s="4"/>
      <c r="D434" s="4"/>
      <c r="E434" s="4"/>
      <c r="F434" s="4"/>
    </row>
    <row r="435" spans="1:6" x14ac:dyDescent="0.35">
      <c r="A435" s="4"/>
      <c r="B435" s="4"/>
      <c r="C435" s="4"/>
      <c r="D435" s="4"/>
      <c r="E435" s="4"/>
      <c r="F435" s="4"/>
    </row>
    <row r="436" spans="1:6" x14ac:dyDescent="0.35">
      <c r="A436" s="4"/>
      <c r="B436" s="4"/>
      <c r="C436" s="4"/>
      <c r="D436" s="4"/>
      <c r="E436" s="4"/>
      <c r="F436" s="4"/>
    </row>
    <row r="437" spans="1:6" x14ac:dyDescent="0.35">
      <c r="A437" s="4"/>
      <c r="B437" s="4"/>
      <c r="C437" s="4"/>
      <c r="D437" s="4"/>
      <c r="E437" s="4"/>
      <c r="F437" s="4"/>
    </row>
    <row r="438" spans="1:6" x14ac:dyDescent="0.35">
      <c r="A438" s="4"/>
      <c r="B438" s="4"/>
      <c r="C438" s="4"/>
      <c r="D438" s="4"/>
      <c r="E438" s="4"/>
      <c r="F438" s="4"/>
    </row>
    <row r="439" spans="1:6" x14ac:dyDescent="0.35">
      <c r="A439" s="4"/>
      <c r="B439" s="4"/>
      <c r="C439" s="4"/>
      <c r="D439" s="4"/>
      <c r="E439" s="4"/>
      <c r="F439" s="4"/>
    </row>
    <row r="440" spans="1:6" x14ac:dyDescent="0.35">
      <c r="A440" s="4"/>
      <c r="B440" s="4"/>
      <c r="C440" s="4"/>
      <c r="D440" s="4"/>
      <c r="E440" s="4"/>
      <c r="F440" s="4"/>
    </row>
    <row r="441" spans="1:6" x14ac:dyDescent="0.35">
      <c r="A441" s="4"/>
      <c r="B441" s="4"/>
      <c r="C441" s="4"/>
      <c r="D441" s="4"/>
      <c r="E441" s="4"/>
      <c r="F441" s="4"/>
    </row>
    <row r="442" spans="1:6" x14ac:dyDescent="0.35">
      <c r="A442" s="4"/>
      <c r="B442" s="4"/>
      <c r="C442" s="4"/>
      <c r="D442" s="4"/>
      <c r="E442" s="4"/>
      <c r="F442" s="4"/>
    </row>
    <row r="443" spans="1:6" x14ac:dyDescent="0.35">
      <c r="A443" s="4"/>
      <c r="B443" s="4"/>
      <c r="C443" s="4"/>
      <c r="D443" s="4"/>
      <c r="E443" s="4"/>
      <c r="F443" s="4"/>
    </row>
    <row r="444" spans="1:6" x14ac:dyDescent="0.35">
      <c r="A444" s="4"/>
      <c r="B444" s="4"/>
      <c r="C444" s="4"/>
      <c r="D444" s="4"/>
      <c r="E444" s="4"/>
      <c r="F444" s="4"/>
    </row>
    <row r="445" spans="1:6" x14ac:dyDescent="0.35">
      <c r="A445" s="4"/>
      <c r="B445" s="4"/>
      <c r="C445" s="4"/>
      <c r="D445" s="4"/>
      <c r="E445" s="4"/>
      <c r="F445" s="4"/>
    </row>
    <row r="446" spans="1:6" x14ac:dyDescent="0.35">
      <c r="A446" s="4"/>
      <c r="B446" s="4"/>
      <c r="C446" s="4"/>
      <c r="D446" s="4"/>
      <c r="E446" s="4"/>
      <c r="F446" s="4"/>
    </row>
    <row r="447" spans="1:6" x14ac:dyDescent="0.35">
      <c r="A447" s="4"/>
      <c r="B447" s="4"/>
      <c r="C447" s="4"/>
      <c r="D447" s="4"/>
      <c r="E447" s="4"/>
      <c r="F447" s="4"/>
    </row>
    <row r="448" spans="1:6" x14ac:dyDescent="0.35">
      <c r="A448" s="4"/>
      <c r="B448" s="4"/>
      <c r="C448" s="4"/>
      <c r="D448" s="4"/>
      <c r="E448" s="4"/>
      <c r="F448" s="4"/>
    </row>
    <row r="449" spans="1:6" x14ac:dyDescent="0.35">
      <c r="A449" s="4"/>
      <c r="B449" s="4"/>
      <c r="C449" s="4"/>
      <c r="D449" s="4"/>
      <c r="E449" s="4"/>
      <c r="F449" s="4"/>
    </row>
    <row r="450" spans="1:6" x14ac:dyDescent="0.35">
      <c r="A450" s="4"/>
      <c r="B450" s="4"/>
      <c r="C450" s="4"/>
      <c r="D450" s="4"/>
      <c r="E450" s="4"/>
      <c r="F450" s="4"/>
    </row>
    <row r="451" spans="1:6" x14ac:dyDescent="0.35">
      <c r="A451" s="4"/>
      <c r="B451" s="4"/>
      <c r="C451" s="4"/>
      <c r="D451" s="4"/>
      <c r="E451" s="4"/>
      <c r="F451" s="4"/>
    </row>
    <row r="452" spans="1:6" x14ac:dyDescent="0.35">
      <c r="A452" s="4"/>
      <c r="B452" s="4"/>
      <c r="C452" s="4"/>
      <c r="D452" s="4"/>
      <c r="E452" s="4"/>
      <c r="F452" s="4"/>
    </row>
    <row r="453" spans="1:6" x14ac:dyDescent="0.35">
      <c r="A453" s="4"/>
      <c r="B453" s="4"/>
      <c r="C453" s="4"/>
      <c r="D453" s="4"/>
      <c r="E453" s="4"/>
      <c r="F453" s="4"/>
    </row>
    <row r="454" spans="1:6" x14ac:dyDescent="0.35">
      <c r="A454" s="4"/>
      <c r="B454" s="4"/>
      <c r="C454" s="4"/>
      <c r="D454" s="4"/>
      <c r="E454" s="4"/>
      <c r="F454" s="4"/>
    </row>
    <row r="455" spans="1:6" x14ac:dyDescent="0.35">
      <c r="A455" s="4"/>
      <c r="B455" s="4"/>
      <c r="C455" s="4"/>
      <c r="D455" s="4"/>
      <c r="E455" s="4"/>
      <c r="F455" s="4"/>
    </row>
    <row r="456" spans="1:6" x14ac:dyDescent="0.35">
      <c r="A456" s="4"/>
      <c r="B456" s="4"/>
      <c r="C456" s="4"/>
      <c r="D456" s="4"/>
      <c r="E456" s="4"/>
      <c r="F456" s="4"/>
    </row>
    <row r="457" spans="1:6" x14ac:dyDescent="0.35">
      <c r="A457" s="4"/>
      <c r="B457" s="4"/>
      <c r="C457" s="4"/>
      <c r="D457" s="4"/>
      <c r="E457" s="4"/>
      <c r="F457" s="4"/>
    </row>
    <row r="458" spans="1:6" x14ac:dyDescent="0.35">
      <c r="A458" s="4"/>
      <c r="B458" s="4"/>
      <c r="C458" s="4"/>
      <c r="D458" s="4"/>
      <c r="E458" s="4"/>
      <c r="F458" s="4"/>
    </row>
    <row r="459" spans="1:6" x14ac:dyDescent="0.35">
      <c r="A459" s="4"/>
      <c r="B459" s="4"/>
      <c r="C459" s="4"/>
      <c r="D459" s="4"/>
      <c r="E459" s="4"/>
      <c r="F459" s="4"/>
    </row>
    <row r="460" spans="1:6" x14ac:dyDescent="0.35">
      <c r="A460" s="4"/>
      <c r="B460" s="4"/>
      <c r="C460" s="4"/>
      <c r="D460" s="4"/>
      <c r="E460" s="4"/>
      <c r="F460" s="4"/>
    </row>
    <row r="461" spans="1:6" x14ac:dyDescent="0.35">
      <c r="A461" s="4"/>
      <c r="B461" s="4"/>
      <c r="C461" s="4"/>
      <c r="D461" s="4"/>
      <c r="E461" s="4"/>
      <c r="F461" s="4"/>
    </row>
    <row r="462" spans="1:6" x14ac:dyDescent="0.35">
      <c r="A462" s="4"/>
      <c r="B462" s="4"/>
      <c r="C462" s="4"/>
      <c r="D462" s="4"/>
      <c r="E462" s="4"/>
      <c r="F462" s="4"/>
    </row>
    <row r="463" spans="1:6" x14ac:dyDescent="0.35">
      <c r="A463" s="4"/>
      <c r="B463" s="4"/>
      <c r="C463" s="4"/>
      <c r="D463" s="4"/>
      <c r="E463" s="4"/>
      <c r="F463" s="4"/>
    </row>
    <row r="464" spans="1:6" x14ac:dyDescent="0.35">
      <c r="A464" s="4"/>
      <c r="B464" s="4"/>
      <c r="C464" s="4"/>
      <c r="D464" s="4"/>
      <c r="E464" s="4"/>
      <c r="F464" s="4"/>
    </row>
    <row r="465" spans="1:6" x14ac:dyDescent="0.35">
      <c r="A465" s="4"/>
      <c r="B465" s="4"/>
      <c r="C465" s="4"/>
      <c r="D465" s="4"/>
      <c r="E465" s="4"/>
      <c r="F465" s="4"/>
    </row>
    <row r="466" spans="1:6" x14ac:dyDescent="0.35">
      <c r="A466" s="4"/>
      <c r="B466" s="4"/>
      <c r="C466" s="4"/>
      <c r="D466" s="4"/>
      <c r="E466" s="4"/>
      <c r="F466" s="4"/>
    </row>
    <row r="467" spans="1:6" x14ac:dyDescent="0.35">
      <c r="A467" s="4"/>
      <c r="B467" s="4"/>
      <c r="C467" s="4"/>
      <c r="D467" s="4"/>
      <c r="E467" s="4"/>
      <c r="F467" s="4"/>
    </row>
    <row r="468" spans="1:6" x14ac:dyDescent="0.35">
      <c r="A468" s="4"/>
      <c r="B468" s="4"/>
      <c r="C468" s="4"/>
      <c r="D468" s="4"/>
      <c r="E468" s="4"/>
      <c r="F468" s="4"/>
    </row>
    <row r="469" spans="1:6" x14ac:dyDescent="0.35">
      <c r="A469" s="4"/>
      <c r="B469" s="4"/>
      <c r="C469" s="4"/>
      <c r="D469" s="4"/>
      <c r="E469" s="4"/>
      <c r="F469" s="4"/>
    </row>
    <row r="470" spans="1:6" x14ac:dyDescent="0.35">
      <c r="A470" s="4"/>
      <c r="B470" s="4"/>
      <c r="C470" s="4"/>
      <c r="D470" s="4"/>
      <c r="E470" s="4"/>
      <c r="F470" s="4"/>
    </row>
    <row r="471" spans="1:6" x14ac:dyDescent="0.35">
      <c r="A471" s="4"/>
      <c r="B471" s="4"/>
      <c r="C471" s="4"/>
      <c r="D471" s="4"/>
      <c r="E471" s="4"/>
      <c r="F471" s="4"/>
    </row>
    <row r="472" spans="1:6" x14ac:dyDescent="0.35">
      <c r="A472" s="4"/>
      <c r="B472" s="4"/>
      <c r="C472" s="4"/>
      <c r="D472" s="4"/>
      <c r="E472" s="4"/>
      <c r="F472" s="4"/>
    </row>
    <row r="473" spans="1:6" x14ac:dyDescent="0.35">
      <c r="A473" s="4"/>
      <c r="B473" s="4"/>
      <c r="C473" s="4"/>
      <c r="D473" s="4"/>
      <c r="E473" s="4"/>
      <c r="F473" s="4"/>
    </row>
    <row r="474" spans="1:6" x14ac:dyDescent="0.35">
      <c r="A474" s="4"/>
      <c r="B474" s="4"/>
      <c r="C474" s="4"/>
      <c r="D474" s="4"/>
      <c r="E474" s="4"/>
      <c r="F474" s="4"/>
    </row>
    <row r="475" spans="1:6" x14ac:dyDescent="0.35">
      <c r="A475" s="4"/>
      <c r="B475" s="4"/>
      <c r="C475" s="4"/>
      <c r="D475" s="4"/>
      <c r="E475" s="4"/>
      <c r="F475" s="4"/>
    </row>
    <row r="476" spans="1:6" x14ac:dyDescent="0.35">
      <c r="A476" s="4"/>
      <c r="B476" s="4"/>
      <c r="C476" s="4"/>
      <c r="D476" s="4"/>
      <c r="E476" s="4"/>
      <c r="F476" s="4"/>
    </row>
    <row r="477" spans="1:6" x14ac:dyDescent="0.35">
      <c r="A477" s="4"/>
      <c r="B477" s="4"/>
      <c r="C477" s="4"/>
      <c r="D477" s="4"/>
      <c r="E477" s="4"/>
      <c r="F477" s="4"/>
    </row>
    <row r="478" spans="1:6" x14ac:dyDescent="0.35">
      <c r="A478" s="4"/>
      <c r="B478" s="4"/>
      <c r="C478" s="4"/>
      <c r="D478" s="4"/>
      <c r="E478" s="4"/>
      <c r="F478" s="4"/>
    </row>
    <row r="479" spans="1:6" x14ac:dyDescent="0.35">
      <c r="A479" s="4"/>
      <c r="B479" s="4"/>
      <c r="C479" s="4"/>
      <c r="D479" s="4"/>
      <c r="E479" s="4"/>
      <c r="F479" s="4"/>
    </row>
    <row r="480" spans="1:6" x14ac:dyDescent="0.35">
      <c r="A480" s="4"/>
      <c r="B480" s="4"/>
      <c r="C480" s="4"/>
      <c r="D480" s="4"/>
      <c r="E480" s="4"/>
      <c r="F480" s="4"/>
    </row>
    <row r="481" spans="1:6" x14ac:dyDescent="0.35">
      <c r="A481" s="4"/>
      <c r="B481" s="4"/>
      <c r="C481" s="4"/>
      <c r="D481" s="4"/>
      <c r="E481" s="4"/>
      <c r="F481" s="4"/>
    </row>
    <row r="482" spans="1:6" x14ac:dyDescent="0.35">
      <c r="A482" s="4"/>
      <c r="B482" s="4"/>
      <c r="C482" s="4"/>
      <c r="D482" s="4"/>
      <c r="E482" s="4"/>
      <c r="F482" s="4"/>
    </row>
    <row r="483" spans="1:6" x14ac:dyDescent="0.35">
      <c r="A483" s="4"/>
      <c r="B483" s="4"/>
      <c r="C483" s="4"/>
      <c r="D483" s="4"/>
      <c r="E483" s="4"/>
      <c r="F483" s="4"/>
    </row>
    <row r="484" spans="1:6" x14ac:dyDescent="0.35">
      <c r="A484" s="4"/>
      <c r="B484" s="4"/>
      <c r="C484" s="4"/>
      <c r="D484" s="4"/>
      <c r="E484" s="4"/>
      <c r="F484" s="4"/>
    </row>
    <row r="485" spans="1:6" x14ac:dyDescent="0.35">
      <c r="A485" s="4"/>
      <c r="B485" s="4"/>
      <c r="C485" s="4"/>
      <c r="D485" s="4"/>
      <c r="E485" s="4"/>
      <c r="F485" s="4"/>
    </row>
    <row r="486" spans="1:6" x14ac:dyDescent="0.35">
      <c r="A486" s="4"/>
      <c r="B486" s="4"/>
      <c r="C486" s="4"/>
      <c r="D486" s="4"/>
      <c r="E486" s="4"/>
      <c r="F486" s="4"/>
    </row>
    <row r="487" spans="1:6" x14ac:dyDescent="0.35">
      <c r="A487" s="4"/>
      <c r="B487" s="4"/>
      <c r="C487" s="4"/>
      <c r="D487" s="4"/>
      <c r="E487" s="4"/>
      <c r="F487" s="4"/>
    </row>
    <row r="488" spans="1:6" x14ac:dyDescent="0.35">
      <c r="A488" s="4"/>
      <c r="B488" s="4"/>
      <c r="C488" s="4"/>
      <c r="D488" s="4"/>
      <c r="E488" s="4"/>
      <c r="F488" s="4"/>
    </row>
    <row r="489" spans="1:6" x14ac:dyDescent="0.35">
      <c r="A489" s="4"/>
      <c r="B489" s="4"/>
      <c r="C489" s="4"/>
      <c r="D489" s="4"/>
      <c r="E489" s="4"/>
      <c r="F489" s="4"/>
    </row>
    <row r="490" spans="1:6" x14ac:dyDescent="0.35">
      <c r="A490" s="4"/>
      <c r="B490" s="4"/>
      <c r="C490" s="4"/>
      <c r="D490" s="4"/>
      <c r="E490" s="4"/>
      <c r="F490" s="4"/>
    </row>
    <row r="491" spans="1:6" x14ac:dyDescent="0.35">
      <c r="A491" s="4"/>
      <c r="B491" s="4"/>
      <c r="C491" s="4"/>
      <c r="D491" s="4"/>
      <c r="E491" s="4"/>
      <c r="F491" s="4"/>
    </row>
    <row r="492" spans="1:6" x14ac:dyDescent="0.35">
      <c r="A492" s="4"/>
      <c r="B492" s="4"/>
      <c r="C492" s="4"/>
      <c r="D492" s="4"/>
      <c r="E492" s="4"/>
      <c r="F492" s="4"/>
    </row>
    <row r="493" spans="1:6" x14ac:dyDescent="0.35">
      <c r="A493" s="4"/>
      <c r="B493" s="4"/>
      <c r="C493" s="4"/>
      <c r="D493" s="4"/>
      <c r="E493" s="4"/>
      <c r="F493" s="4"/>
    </row>
    <row r="494" spans="1:6" x14ac:dyDescent="0.35">
      <c r="A494" s="4"/>
      <c r="B494" s="4"/>
      <c r="C494" s="4"/>
      <c r="D494" s="4"/>
      <c r="E494" s="4"/>
      <c r="F494" s="4"/>
    </row>
    <row r="495" spans="1:6" x14ac:dyDescent="0.35">
      <c r="A495" s="4"/>
      <c r="B495" s="4"/>
      <c r="C495" s="4"/>
      <c r="D495" s="4"/>
      <c r="E495" s="4"/>
      <c r="F495" s="4"/>
    </row>
    <row r="496" spans="1:6" x14ac:dyDescent="0.35">
      <c r="A496" s="4"/>
      <c r="B496" s="4"/>
      <c r="C496" s="4"/>
      <c r="D496" s="4"/>
      <c r="E496" s="4"/>
      <c r="F496" s="4"/>
    </row>
    <row r="497" spans="1:6" x14ac:dyDescent="0.35">
      <c r="A497" s="4"/>
      <c r="B497" s="4"/>
      <c r="C497" s="4"/>
      <c r="D497" s="4"/>
      <c r="E497" s="4"/>
      <c r="F497" s="4"/>
    </row>
    <row r="498" spans="1:6" x14ac:dyDescent="0.35">
      <c r="A498" s="4"/>
      <c r="B498" s="4"/>
      <c r="C498" s="4"/>
      <c r="D498" s="4"/>
      <c r="E498" s="4"/>
      <c r="F498" s="4"/>
    </row>
    <row r="499" spans="1:6" x14ac:dyDescent="0.35">
      <c r="A499" s="4"/>
      <c r="B499" s="4"/>
      <c r="C499" s="4"/>
      <c r="D499" s="4"/>
      <c r="E499" s="4"/>
      <c r="F499" s="4"/>
    </row>
    <row r="500" spans="1:6" x14ac:dyDescent="0.35">
      <c r="A500" s="4"/>
      <c r="B500" s="4"/>
      <c r="C500" s="4"/>
      <c r="D500" s="4"/>
      <c r="E500" s="4"/>
      <c r="F500" s="4"/>
    </row>
    <row r="501" spans="1:6" x14ac:dyDescent="0.35">
      <c r="A501" s="4"/>
      <c r="B501" s="4"/>
      <c r="C501" s="4"/>
      <c r="D501" s="4"/>
      <c r="E501" s="4"/>
      <c r="F501" s="4"/>
    </row>
    <row r="502" spans="1:6" x14ac:dyDescent="0.35">
      <c r="A502" s="4"/>
      <c r="B502" s="4"/>
      <c r="C502" s="4"/>
      <c r="D502" s="4"/>
      <c r="E502" s="4"/>
      <c r="F502" s="4"/>
    </row>
    <row r="503" spans="1:6" x14ac:dyDescent="0.35">
      <c r="A503" s="4"/>
      <c r="B503" s="4"/>
      <c r="C503" s="4"/>
      <c r="D503" s="4"/>
      <c r="E503" s="4"/>
      <c r="F503" s="4"/>
    </row>
    <row r="504" spans="1:6" x14ac:dyDescent="0.35">
      <c r="A504" s="4"/>
      <c r="B504" s="4"/>
      <c r="C504" s="4"/>
      <c r="D504" s="4"/>
      <c r="E504" s="4"/>
      <c r="F504" s="4"/>
    </row>
    <row r="505" spans="1:6" x14ac:dyDescent="0.35">
      <c r="A505" s="4"/>
      <c r="B505" s="4"/>
      <c r="C505" s="4"/>
      <c r="D505" s="4"/>
      <c r="E505" s="4"/>
      <c r="F505" s="4"/>
    </row>
    <row r="506" spans="1:6" x14ac:dyDescent="0.35">
      <c r="A506" s="4"/>
      <c r="B506" s="4"/>
      <c r="C506" s="4"/>
      <c r="D506" s="4"/>
      <c r="E506" s="4"/>
      <c r="F506" s="4"/>
    </row>
    <row r="507" spans="1:6" x14ac:dyDescent="0.35">
      <c r="A507" s="4"/>
      <c r="B507" s="4"/>
      <c r="C507" s="4"/>
      <c r="D507" s="4"/>
      <c r="E507" s="4"/>
      <c r="F507" s="4"/>
    </row>
    <row r="508" spans="1:6" x14ac:dyDescent="0.35">
      <c r="A508" s="4"/>
      <c r="B508" s="4"/>
      <c r="C508" s="4"/>
      <c r="D508" s="4"/>
      <c r="E508" s="4"/>
      <c r="F508" s="4"/>
    </row>
    <row r="509" spans="1:6" x14ac:dyDescent="0.35">
      <c r="A509" s="4"/>
      <c r="B509" s="4"/>
      <c r="C509" s="4"/>
      <c r="D509" s="4"/>
      <c r="E509" s="4"/>
      <c r="F509" s="4"/>
    </row>
    <row r="510" spans="1:6" x14ac:dyDescent="0.35">
      <c r="A510" s="4"/>
      <c r="B510" s="4"/>
      <c r="C510" s="4"/>
      <c r="D510" s="4"/>
      <c r="E510" s="4"/>
      <c r="F510" s="4"/>
    </row>
    <row r="511" spans="1:6" x14ac:dyDescent="0.35">
      <c r="A511" s="4"/>
      <c r="B511" s="4"/>
      <c r="C511" s="4"/>
      <c r="D511" s="4"/>
      <c r="E511" s="4"/>
      <c r="F511" s="4"/>
    </row>
    <row r="512" spans="1:6" x14ac:dyDescent="0.35">
      <c r="A512" s="4"/>
      <c r="B512" s="4"/>
      <c r="C512" s="4"/>
      <c r="D512" s="4"/>
      <c r="E512" s="4"/>
      <c r="F512" s="4"/>
    </row>
    <row r="513" spans="1:6" x14ac:dyDescent="0.35">
      <c r="A513" s="4"/>
      <c r="B513" s="4"/>
      <c r="C513" s="4"/>
      <c r="D513" s="4"/>
      <c r="E513" s="4"/>
      <c r="F513" s="4"/>
    </row>
    <row r="514" spans="1:6" x14ac:dyDescent="0.35">
      <c r="A514" s="4"/>
      <c r="B514" s="4"/>
      <c r="C514" s="4"/>
      <c r="D514" s="4"/>
      <c r="E514" s="4"/>
      <c r="F514" s="4"/>
    </row>
    <row r="515" spans="1:6" x14ac:dyDescent="0.35">
      <c r="A515" s="4"/>
      <c r="B515" s="4"/>
      <c r="C515" s="4"/>
      <c r="D515" s="4"/>
      <c r="E515" s="4"/>
      <c r="F515" s="4"/>
    </row>
    <row r="516" spans="1:6" x14ac:dyDescent="0.35">
      <c r="A516" s="4"/>
      <c r="B516" s="4"/>
      <c r="C516" s="4"/>
      <c r="D516" s="4"/>
      <c r="E516" s="4"/>
      <c r="F516" s="4"/>
    </row>
    <row r="517" spans="1:6" x14ac:dyDescent="0.35">
      <c r="A517" s="4"/>
      <c r="B517" s="4"/>
      <c r="C517" s="4"/>
      <c r="D517" s="4"/>
      <c r="E517" s="4"/>
      <c r="F517" s="4"/>
    </row>
    <row r="518" spans="1:6" x14ac:dyDescent="0.35">
      <c r="A518" s="4"/>
      <c r="B518" s="4"/>
      <c r="C518" s="4"/>
      <c r="D518" s="4"/>
      <c r="E518" s="4"/>
      <c r="F518" s="4"/>
    </row>
    <row r="519" spans="1:6" x14ac:dyDescent="0.35">
      <c r="A519" s="4"/>
      <c r="B519" s="4"/>
      <c r="C519" s="4"/>
      <c r="D519" s="4"/>
      <c r="E519" s="4"/>
      <c r="F519" s="4"/>
    </row>
    <row r="520" spans="1:6" x14ac:dyDescent="0.35">
      <c r="A520" s="4"/>
      <c r="B520" s="4"/>
      <c r="C520" s="4"/>
      <c r="D520" s="4"/>
      <c r="E520" s="4"/>
      <c r="F520" s="4"/>
    </row>
    <row r="521" spans="1:6" x14ac:dyDescent="0.35">
      <c r="A521" s="4"/>
      <c r="B521" s="4"/>
      <c r="C521" s="4"/>
      <c r="D521" s="4"/>
      <c r="E521" s="4"/>
      <c r="F521" s="4"/>
    </row>
    <row r="522" spans="1:6" x14ac:dyDescent="0.35">
      <c r="A522" s="4"/>
      <c r="B522" s="4"/>
      <c r="C522" s="4"/>
      <c r="D522" s="4"/>
      <c r="E522" s="4"/>
      <c r="F522" s="4"/>
    </row>
    <row r="523" spans="1:6" x14ac:dyDescent="0.35">
      <c r="A523" s="4"/>
      <c r="B523" s="4"/>
      <c r="C523" s="4"/>
      <c r="D523" s="4"/>
      <c r="E523" s="4"/>
      <c r="F523" s="4"/>
    </row>
    <row r="524" spans="1:6" x14ac:dyDescent="0.35">
      <c r="A524" s="4"/>
      <c r="B524" s="4"/>
      <c r="C524" s="4"/>
      <c r="D524" s="4"/>
      <c r="E524" s="4"/>
      <c r="F524" s="4"/>
    </row>
    <row r="525" spans="1:6" x14ac:dyDescent="0.35">
      <c r="A525" s="4"/>
      <c r="B525" s="4"/>
      <c r="C525" s="4"/>
      <c r="D525" s="4"/>
      <c r="E525" s="4"/>
      <c r="F525" s="4"/>
    </row>
    <row r="526" spans="1:6" x14ac:dyDescent="0.35">
      <c r="A526" s="4"/>
      <c r="B526" s="4"/>
      <c r="C526" s="4"/>
      <c r="D526" s="4"/>
      <c r="E526" s="4"/>
      <c r="F526" s="4"/>
    </row>
    <row r="527" spans="1:6" x14ac:dyDescent="0.35">
      <c r="A527" s="4"/>
      <c r="B527" s="4"/>
      <c r="C527" s="4"/>
      <c r="D527" s="4"/>
      <c r="E527" s="4"/>
      <c r="F527" s="4"/>
    </row>
    <row r="528" spans="1:6" x14ac:dyDescent="0.35">
      <c r="A528" s="4"/>
      <c r="B528" s="4"/>
      <c r="C528" s="4"/>
      <c r="D528" s="4"/>
      <c r="E528" s="4"/>
      <c r="F528" s="4"/>
    </row>
    <row r="529" spans="1:6" x14ac:dyDescent="0.35">
      <c r="A529" s="4"/>
      <c r="B529" s="4"/>
      <c r="C529" s="4"/>
      <c r="D529" s="4"/>
      <c r="E529" s="4"/>
      <c r="F529" s="4"/>
    </row>
    <row r="530" spans="1:6" x14ac:dyDescent="0.35">
      <c r="A530" s="4"/>
      <c r="B530" s="4"/>
      <c r="C530" s="4"/>
      <c r="D530" s="4"/>
      <c r="E530" s="4"/>
      <c r="F530" s="4"/>
    </row>
    <row r="531" spans="1:6" x14ac:dyDescent="0.35">
      <c r="A531" s="4"/>
      <c r="B531" s="4"/>
      <c r="C531" s="4"/>
      <c r="D531" s="4"/>
      <c r="E531" s="4"/>
      <c r="F531" s="4"/>
    </row>
    <row r="532" spans="1:6" x14ac:dyDescent="0.35">
      <c r="A532" s="4"/>
      <c r="B532" s="4"/>
      <c r="C532" s="4"/>
      <c r="D532" s="4"/>
      <c r="E532" s="4"/>
      <c r="F532" s="4"/>
    </row>
    <row r="533" spans="1:6" x14ac:dyDescent="0.35">
      <c r="A533" s="4"/>
      <c r="B533" s="4"/>
      <c r="C533" s="4"/>
      <c r="D533" s="4"/>
      <c r="E533" s="4"/>
      <c r="F533" s="4"/>
    </row>
    <row r="534" spans="1:6" x14ac:dyDescent="0.35">
      <c r="A534" s="4"/>
      <c r="B534" s="4"/>
      <c r="C534" s="4"/>
      <c r="D534" s="4"/>
      <c r="E534" s="4"/>
      <c r="F534" s="4"/>
    </row>
    <row r="535" spans="1:6" x14ac:dyDescent="0.35">
      <c r="A535" s="4"/>
      <c r="B535" s="4"/>
      <c r="C535" s="4"/>
      <c r="D535" s="4"/>
      <c r="E535" s="4"/>
      <c r="F535" s="4"/>
    </row>
    <row r="536" spans="1:6" x14ac:dyDescent="0.35">
      <c r="A536" s="4"/>
      <c r="B536" s="4"/>
      <c r="C536" s="4"/>
      <c r="D536" s="4"/>
      <c r="E536" s="4"/>
      <c r="F536" s="4"/>
    </row>
    <row r="537" spans="1:6" x14ac:dyDescent="0.35">
      <c r="A537" s="4"/>
      <c r="B537" s="4"/>
      <c r="C537" s="4"/>
      <c r="D537" s="4"/>
      <c r="E537" s="4"/>
      <c r="F537" s="4"/>
    </row>
    <row r="538" spans="1:6" x14ac:dyDescent="0.35">
      <c r="A538" s="4"/>
      <c r="B538" s="4"/>
      <c r="C538" s="4"/>
      <c r="D538" s="4"/>
      <c r="E538" s="4"/>
      <c r="F538" s="4"/>
    </row>
    <row r="539" spans="1:6" x14ac:dyDescent="0.35">
      <c r="A539" s="4"/>
      <c r="B539" s="4"/>
      <c r="C539" s="4"/>
      <c r="D539" s="4"/>
      <c r="E539" s="4"/>
      <c r="F539" s="4"/>
    </row>
    <row r="540" spans="1:6" x14ac:dyDescent="0.35">
      <c r="A540" s="4"/>
      <c r="B540" s="4"/>
      <c r="C540" s="4"/>
      <c r="D540" s="4"/>
      <c r="E540" s="4"/>
      <c r="F540" s="4"/>
    </row>
    <row r="541" spans="1:6" x14ac:dyDescent="0.35">
      <c r="A541" s="4"/>
      <c r="B541" s="4"/>
      <c r="C541" s="4"/>
      <c r="D541" s="4"/>
      <c r="E541" s="4"/>
      <c r="F541" s="4"/>
    </row>
    <row r="542" spans="1:6" x14ac:dyDescent="0.35">
      <c r="A542" s="4"/>
      <c r="B542" s="4"/>
      <c r="C542" s="4"/>
      <c r="D542" s="4"/>
      <c r="E542" s="4"/>
      <c r="F542" s="4"/>
    </row>
    <row r="543" spans="1:6" x14ac:dyDescent="0.35">
      <c r="A543" s="4"/>
      <c r="B543" s="4"/>
      <c r="C543" s="4"/>
      <c r="D543" s="4"/>
      <c r="E543" s="4"/>
      <c r="F543" s="4"/>
    </row>
    <row r="544" spans="1:6" x14ac:dyDescent="0.35">
      <c r="A544" s="4"/>
      <c r="B544" s="4"/>
      <c r="C544" s="4"/>
      <c r="D544" s="4"/>
      <c r="E544" s="4"/>
      <c r="F544" s="4"/>
    </row>
    <row r="545" spans="1:6" x14ac:dyDescent="0.35">
      <c r="A545" s="4"/>
      <c r="B545" s="4"/>
      <c r="C545" s="4"/>
      <c r="D545" s="4"/>
      <c r="E545" s="4"/>
      <c r="F545" s="4"/>
    </row>
    <row r="546" spans="1:6" x14ac:dyDescent="0.35">
      <c r="A546" s="4"/>
      <c r="B546" s="4"/>
      <c r="C546" s="4"/>
      <c r="D546" s="4"/>
      <c r="E546" s="4"/>
      <c r="F546" s="4"/>
    </row>
    <row r="547" spans="1:6" x14ac:dyDescent="0.35">
      <c r="A547" s="4"/>
      <c r="B547" s="4"/>
      <c r="C547" s="4"/>
      <c r="D547" s="4"/>
      <c r="E547" s="4"/>
      <c r="F547" s="4"/>
    </row>
    <row r="548" spans="1:6" x14ac:dyDescent="0.35">
      <c r="A548" s="4"/>
      <c r="B548" s="4"/>
      <c r="C548" s="4"/>
      <c r="D548" s="4"/>
      <c r="E548" s="4"/>
      <c r="F548" s="4"/>
    </row>
    <row r="549" spans="1:6" x14ac:dyDescent="0.35">
      <c r="A549" s="4"/>
      <c r="B549" s="4"/>
      <c r="C549" s="4"/>
      <c r="D549" s="4"/>
      <c r="E549" s="4"/>
      <c r="F549" s="4"/>
    </row>
    <row r="550" spans="1:6" x14ac:dyDescent="0.35">
      <c r="A550" s="4"/>
      <c r="B550" s="4"/>
      <c r="C550" s="4"/>
      <c r="D550" s="4"/>
      <c r="E550" s="4"/>
      <c r="F550" s="4"/>
    </row>
    <row r="551" spans="1:6" x14ac:dyDescent="0.35">
      <c r="A551" s="4"/>
      <c r="B551" s="4"/>
      <c r="C551" s="4"/>
      <c r="D551" s="4"/>
      <c r="E551" s="4"/>
      <c r="F551" s="4"/>
    </row>
    <row r="552" spans="1:6" x14ac:dyDescent="0.35">
      <c r="A552" s="4"/>
      <c r="B552" s="4"/>
      <c r="C552" s="4"/>
      <c r="D552" s="4"/>
      <c r="E552" s="4"/>
      <c r="F552" s="4"/>
    </row>
    <row r="553" spans="1:6" x14ac:dyDescent="0.35">
      <c r="A553" s="4"/>
      <c r="B553" s="4"/>
      <c r="C553" s="4"/>
      <c r="D553" s="4"/>
      <c r="E553" s="4"/>
      <c r="F553" s="4"/>
    </row>
    <row r="554" spans="1:6" x14ac:dyDescent="0.35">
      <c r="A554" s="4"/>
      <c r="B554" s="4"/>
      <c r="C554" s="4"/>
      <c r="D554" s="4"/>
      <c r="E554" s="4"/>
      <c r="F554" s="4"/>
    </row>
    <row r="555" spans="1:6" x14ac:dyDescent="0.35">
      <c r="A555" s="4"/>
      <c r="B555" s="4"/>
      <c r="C555" s="4"/>
      <c r="D555" s="4"/>
      <c r="E555" s="4"/>
      <c r="F555" s="4"/>
    </row>
    <row r="556" spans="1:6" x14ac:dyDescent="0.35">
      <c r="A556" s="4"/>
      <c r="B556" s="4"/>
      <c r="C556" s="4"/>
      <c r="D556" s="4"/>
      <c r="E556" s="4"/>
      <c r="F556" s="4"/>
    </row>
    <row r="557" spans="1:6" x14ac:dyDescent="0.35">
      <c r="A557" s="4"/>
      <c r="B557" s="4"/>
      <c r="C557" s="4"/>
      <c r="D557" s="4"/>
      <c r="E557" s="4"/>
      <c r="F557" s="4"/>
    </row>
    <row r="558" spans="1:6" x14ac:dyDescent="0.35">
      <c r="A558" s="4"/>
      <c r="B558" s="4"/>
      <c r="C558" s="4"/>
      <c r="D558" s="4"/>
      <c r="E558" s="4"/>
      <c r="F558" s="4"/>
    </row>
    <row r="559" spans="1:6" x14ac:dyDescent="0.35">
      <c r="A559" s="4"/>
      <c r="B559" s="4"/>
      <c r="C559" s="4"/>
      <c r="D559" s="4"/>
      <c r="E559" s="4"/>
      <c r="F559" s="4"/>
    </row>
    <row r="560" spans="1:6" x14ac:dyDescent="0.35">
      <c r="A560" s="4"/>
      <c r="B560" s="4"/>
      <c r="C560" s="4"/>
      <c r="D560" s="4"/>
      <c r="E560" s="4"/>
      <c r="F560" s="4"/>
    </row>
    <row r="561" spans="1:6" x14ac:dyDescent="0.35">
      <c r="A561" s="4"/>
      <c r="B561" s="4"/>
      <c r="C561" s="4"/>
      <c r="D561" s="4"/>
      <c r="E561" s="4"/>
      <c r="F561" s="4"/>
    </row>
    <row r="562" spans="1:6" x14ac:dyDescent="0.35">
      <c r="A562" s="4"/>
      <c r="B562" s="4"/>
      <c r="C562" s="4"/>
      <c r="D562" s="4"/>
      <c r="E562" s="4"/>
      <c r="F562" s="4"/>
    </row>
    <row r="563" spans="1:6" x14ac:dyDescent="0.35">
      <c r="A563" s="4"/>
      <c r="B563" s="4"/>
      <c r="C563" s="4"/>
      <c r="D563" s="4"/>
      <c r="E563" s="4"/>
      <c r="F563" s="4"/>
    </row>
    <row r="564" spans="1:6" x14ac:dyDescent="0.35">
      <c r="A564" s="4"/>
      <c r="B564" s="4"/>
      <c r="C564" s="4"/>
      <c r="D564" s="4"/>
      <c r="E564" s="4"/>
      <c r="F564" s="4"/>
    </row>
    <row r="565" spans="1:6" x14ac:dyDescent="0.35">
      <c r="A565" s="4"/>
      <c r="B565" s="4"/>
      <c r="C565" s="4"/>
      <c r="D565" s="4"/>
      <c r="E565" s="4"/>
      <c r="F565" s="4"/>
    </row>
    <row r="566" spans="1:6" x14ac:dyDescent="0.35">
      <c r="A566" s="4"/>
      <c r="B566" s="4"/>
      <c r="C566" s="4"/>
      <c r="D566" s="4"/>
      <c r="E566" s="4"/>
      <c r="F566" s="4"/>
    </row>
    <row r="567" spans="1:6" x14ac:dyDescent="0.35">
      <c r="A567" s="4"/>
      <c r="B567" s="4"/>
      <c r="C567" s="4"/>
      <c r="D567" s="4"/>
      <c r="E567" s="4"/>
      <c r="F567" s="4"/>
    </row>
    <row r="568" spans="1:6" x14ac:dyDescent="0.35">
      <c r="A568" s="4"/>
      <c r="B568" s="4"/>
      <c r="C568" s="4"/>
      <c r="D568" s="4"/>
      <c r="E568" s="4"/>
      <c r="F568" s="4"/>
    </row>
    <row r="569" spans="1:6" x14ac:dyDescent="0.35">
      <c r="A569" s="4"/>
      <c r="B569" s="4"/>
      <c r="C569" s="4"/>
      <c r="D569" s="4"/>
      <c r="E569" s="4"/>
      <c r="F569" s="4"/>
    </row>
    <row r="570" spans="1:6" x14ac:dyDescent="0.35">
      <c r="A570" s="4"/>
      <c r="B570" s="4"/>
      <c r="C570" s="4"/>
      <c r="D570" s="4"/>
      <c r="E570" s="4"/>
      <c r="F570" s="4"/>
    </row>
    <row r="571" spans="1:6" x14ac:dyDescent="0.35">
      <c r="A571" s="4"/>
      <c r="B571" s="4"/>
      <c r="C571" s="4"/>
      <c r="D571" s="4"/>
      <c r="E571" s="4"/>
      <c r="F571" s="4"/>
    </row>
    <row r="572" spans="1:6" x14ac:dyDescent="0.35">
      <c r="A572" s="4"/>
      <c r="B572" s="4"/>
      <c r="C572" s="4"/>
      <c r="D572" s="4"/>
      <c r="E572" s="4"/>
      <c r="F572" s="4"/>
    </row>
    <row r="573" spans="1:6" x14ac:dyDescent="0.35">
      <c r="A573" s="4"/>
      <c r="B573" s="4"/>
      <c r="C573" s="4"/>
      <c r="D573" s="4"/>
      <c r="E573" s="4"/>
      <c r="F573" s="4"/>
    </row>
    <row r="574" spans="1:6" x14ac:dyDescent="0.35">
      <c r="A574" s="4"/>
      <c r="B574" s="4"/>
      <c r="C574" s="4"/>
      <c r="D574" s="4"/>
      <c r="E574" s="4"/>
      <c r="F574" s="4"/>
    </row>
    <row r="575" spans="1:6" x14ac:dyDescent="0.35">
      <c r="A575" s="4"/>
      <c r="B575" s="4"/>
      <c r="C575" s="4"/>
      <c r="D575" s="4"/>
      <c r="E575" s="4"/>
      <c r="F575" s="4"/>
    </row>
    <row r="576" spans="1:6" x14ac:dyDescent="0.35">
      <c r="A576" s="4"/>
      <c r="B576" s="4"/>
      <c r="C576" s="4"/>
      <c r="D576" s="4"/>
      <c r="E576" s="4"/>
      <c r="F576" s="4"/>
    </row>
    <row r="577" spans="1:6" x14ac:dyDescent="0.35">
      <c r="A577" s="4"/>
      <c r="B577" s="4"/>
      <c r="C577" s="4"/>
      <c r="D577" s="4"/>
      <c r="E577" s="4"/>
      <c r="F577" s="4"/>
    </row>
    <row r="578" spans="1:6" x14ac:dyDescent="0.35">
      <c r="A578" s="4"/>
      <c r="B578" s="4"/>
      <c r="C578" s="4"/>
      <c r="D578" s="4"/>
      <c r="E578" s="4"/>
      <c r="F578" s="4"/>
    </row>
    <row r="579" spans="1:6" x14ac:dyDescent="0.35">
      <c r="A579" s="4"/>
      <c r="B579" s="4"/>
      <c r="C579" s="4"/>
      <c r="D579" s="4"/>
      <c r="E579" s="4"/>
      <c r="F579" s="4"/>
    </row>
    <row r="580" spans="1:6" x14ac:dyDescent="0.35">
      <c r="A580" s="4"/>
      <c r="B580" s="4"/>
      <c r="C580" s="4"/>
      <c r="D580" s="4"/>
      <c r="E580" s="4"/>
      <c r="F580" s="4"/>
    </row>
    <row r="581" spans="1:6" x14ac:dyDescent="0.35">
      <c r="A581" s="4"/>
      <c r="B581" s="4"/>
      <c r="C581" s="4"/>
      <c r="D581" s="4"/>
      <c r="E581" s="4"/>
      <c r="F581" s="4"/>
    </row>
    <row r="582" spans="1:6" x14ac:dyDescent="0.35">
      <c r="A582" s="4"/>
      <c r="B582" s="4"/>
      <c r="C582" s="4"/>
      <c r="D582" s="4"/>
      <c r="E582" s="4"/>
      <c r="F582" s="4"/>
    </row>
    <row r="583" spans="1:6" x14ac:dyDescent="0.35">
      <c r="A583" s="4"/>
      <c r="B583" s="4"/>
      <c r="C583" s="4"/>
      <c r="D583" s="4"/>
      <c r="E583" s="4"/>
      <c r="F583" s="4"/>
    </row>
    <row r="584" spans="1:6" x14ac:dyDescent="0.35">
      <c r="A584" s="4"/>
      <c r="B584" s="4"/>
      <c r="C584" s="4"/>
      <c r="D584" s="4"/>
      <c r="E584" s="4"/>
      <c r="F584" s="4"/>
    </row>
    <row r="585" spans="1:6" x14ac:dyDescent="0.35">
      <c r="A585" s="4"/>
      <c r="B585" s="4"/>
      <c r="C585" s="4"/>
      <c r="D585" s="4"/>
      <c r="E585" s="4"/>
      <c r="F585" s="4"/>
    </row>
    <row r="586" spans="1:6" x14ac:dyDescent="0.35">
      <c r="A586" s="4"/>
      <c r="B586" s="4"/>
      <c r="C586" s="4"/>
      <c r="D586" s="4"/>
      <c r="E586" s="4"/>
      <c r="F586" s="4"/>
    </row>
    <row r="587" spans="1:6" x14ac:dyDescent="0.35">
      <c r="A587" s="4"/>
      <c r="B587" s="4"/>
      <c r="C587" s="4"/>
      <c r="D587" s="4"/>
      <c r="E587" s="4"/>
      <c r="F587" s="4"/>
    </row>
    <row r="588" spans="1:6" x14ac:dyDescent="0.35">
      <c r="A588" s="4"/>
      <c r="B588" s="4"/>
      <c r="C588" s="4"/>
      <c r="D588" s="4"/>
      <c r="E588" s="4"/>
      <c r="F588" s="4"/>
    </row>
    <row r="589" spans="1:6" x14ac:dyDescent="0.35">
      <c r="A589" s="4"/>
      <c r="B589" s="4"/>
      <c r="C589" s="4"/>
      <c r="D589" s="4"/>
      <c r="E589" s="4"/>
      <c r="F589" s="4"/>
    </row>
    <row r="590" spans="1:6" x14ac:dyDescent="0.35">
      <c r="A590" s="4"/>
      <c r="B590" s="4"/>
      <c r="C590" s="4"/>
      <c r="D590" s="4"/>
      <c r="E590" s="4"/>
      <c r="F590" s="4"/>
    </row>
    <row r="591" spans="1:6" x14ac:dyDescent="0.35">
      <c r="A591" s="4"/>
      <c r="B591" s="4"/>
      <c r="C591" s="4"/>
      <c r="D591" s="4"/>
      <c r="E591" s="4"/>
      <c r="F591" s="4"/>
    </row>
    <row r="592" spans="1:6" x14ac:dyDescent="0.35">
      <c r="A592" s="4"/>
      <c r="B592" s="4"/>
      <c r="C592" s="4"/>
      <c r="D592" s="4"/>
      <c r="E592" s="4"/>
      <c r="F592" s="4"/>
    </row>
    <row r="593" spans="1:6" x14ac:dyDescent="0.35">
      <c r="A593" s="4"/>
      <c r="B593" s="4"/>
      <c r="C593" s="4"/>
      <c r="D593" s="4"/>
      <c r="E593" s="4"/>
      <c r="F593" s="4"/>
    </row>
    <row r="594" spans="1:6" x14ac:dyDescent="0.35">
      <c r="A594" s="4"/>
      <c r="B594" s="4"/>
      <c r="C594" s="4"/>
      <c r="D594" s="4"/>
      <c r="E594" s="4"/>
      <c r="F594" s="4"/>
    </row>
    <row r="595" spans="1:6" x14ac:dyDescent="0.35">
      <c r="A595" s="4"/>
      <c r="B595" s="4"/>
      <c r="C595" s="4"/>
      <c r="D595" s="4"/>
      <c r="E595" s="4"/>
      <c r="F595" s="4"/>
    </row>
    <row r="596" spans="1:6" x14ac:dyDescent="0.35">
      <c r="A596" s="4"/>
      <c r="B596" s="4"/>
      <c r="C596" s="4"/>
      <c r="D596" s="4"/>
      <c r="E596" s="4"/>
      <c r="F596" s="4"/>
    </row>
    <row r="597" spans="1:6" x14ac:dyDescent="0.35">
      <c r="A597" s="4"/>
      <c r="B597" s="4"/>
      <c r="C597" s="4"/>
      <c r="D597" s="4"/>
      <c r="E597" s="4"/>
      <c r="F597" s="4"/>
    </row>
    <row r="598" spans="1:6" x14ac:dyDescent="0.35">
      <c r="A598" s="4"/>
      <c r="B598" s="4"/>
      <c r="C598" s="4"/>
      <c r="D598" s="4"/>
      <c r="E598" s="4"/>
      <c r="F598" s="4"/>
    </row>
    <row r="599" spans="1:6" x14ac:dyDescent="0.35">
      <c r="A599" s="4"/>
      <c r="B599" s="4"/>
      <c r="C599" s="4"/>
      <c r="D599" s="4"/>
      <c r="E599" s="4"/>
      <c r="F599" s="4"/>
    </row>
    <row r="600" spans="1:6" x14ac:dyDescent="0.35">
      <c r="A600" s="4"/>
      <c r="B600" s="4"/>
      <c r="C600" s="4"/>
      <c r="D600" s="4"/>
      <c r="E600" s="4"/>
      <c r="F600" s="4"/>
    </row>
    <row r="601" spans="1:6" x14ac:dyDescent="0.35">
      <c r="A601" s="4"/>
      <c r="B601" s="4"/>
      <c r="C601" s="4"/>
      <c r="D601" s="4"/>
      <c r="E601" s="4"/>
    </row>
    <row r="602" spans="1:6" x14ac:dyDescent="0.35">
      <c r="A602" s="4"/>
      <c r="B602" s="4"/>
      <c r="C602" s="4"/>
      <c r="D602" s="4"/>
      <c r="E602" s="4"/>
    </row>
    <row r="603" spans="1:6" x14ac:dyDescent="0.35">
      <c r="A603" s="4"/>
      <c r="B603" s="4"/>
      <c r="C603" s="4"/>
      <c r="D603" s="4"/>
      <c r="E603" s="4"/>
    </row>
    <row r="604" spans="1:6" x14ac:dyDescent="0.35">
      <c r="A604" s="4"/>
      <c r="B604" s="4"/>
      <c r="C604" s="4"/>
      <c r="D604" s="4"/>
      <c r="E604" s="4"/>
    </row>
    <row r="605" spans="1:6" x14ac:dyDescent="0.35">
      <c r="A605" s="4"/>
      <c r="B605" s="4"/>
      <c r="C605" s="4"/>
      <c r="D605" s="4"/>
      <c r="E605" s="4"/>
    </row>
    <row r="606" spans="1:6" x14ac:dyDescent="0.35">
      <c r="A606" s="4"/>
      <c r="B606" s="4"/>
      <c r="C606" s="4"/>
      <c r="D606" s="4"/>
      <c r="E606" s="4"/>
    </row>
    <row r="607" spans="1:6" x14ac:dyDescent="0.35">
      <c r="A607" s="4"/>
      <c r="B607" s="4"/>
      <c r="C607" s="4"/>
      <c r="D607" s="4"/>
      <c r="E607" s="4"/>
    </row>
    <row r="608" spans="1:6" x14ac:dyDescent="0.35">
      <c r="A608" s="4"/>
      <c r="B608" s="4"/>
      <c r="C608" s="4"/>
      <c r="D608" s="4"/>
      <c r="E608" s="4"/>
    </row>
    <row r="609" spans="1:5" x14ac:dyDescent="0.35">
      <c r="A609" s="4"/>
      <c r="B609" s="4"/>
      <c r="C609" s="4"/>
      <c r="D609" s="4"/>
      <c r="E609" s="4"/>
    </row>
    <row r="610" spans="1:5" x14ac:dyDescent="0.35">
      <c r="A610" s="4"/>
      <c r="B610" s="4"/>
      <c r="C610" s="4"/>
      <c r="D610" s="4"/>
      <c r="E610" s="4"/>
    </row>
    <row r="611" spans="1:5" x14ac:dyDescent="0.35">
      <c r="A611" s="4"/>
      <c r="B611" s="4"/>
      <c r="C611" s="4"/>
      <c r="D611" s="4"/>
      <c r="E611" s="4"/>
    </row>
    <row r="612" spans="1:5" x14ac:dyDescent="0.35">
      <c r="A612" s="4"/>
      <c r="B612" s="4"/>
      <c r="C612" s="4"/>
      <c r="D612" s="4"/>
      <c r="E612" s="4"/>
    </row>
    <row r="613" spans="1:5" x14ac:dyDescent="0.35">
      <c r="A613" s="4"/>
      <c r="B613" s="4"/>
      <c r="C613" s="4"/>
      <c r="D613" s="4"/>
      <c r="E613" s="4"/>
    </row>
    <row r="614" spans="1:5" x14ac:dyDescent="0.35">
      <c r="A614" s="4"/>
      <c r="B614" s="4"/>
      <c r="C614" s="4"/>
      <c r="D614" s="4"/>
      <c r="E614" s="4"/>
    </row>
    <row r="615" spans="1:5" x14ac:dyDescent="0.35">
      <c r="A615" s="4"/>
      <c r="B615" s="4"/>
      <c r="C615" s="4"/>
      <c r="D615" s="4"/>
      <c r="E615" s="4"/>
    </row>
    <row r="616" spans="1:5" x14ac:dyDescent="0.35">
      <c r="A616" s="4"/>
      <c r="B616" s="4"/>
      <c r="C616" s="4"/>
      <c r="D616" s="4"/>
      <c r="E616" s="4"/>
    </row>
    <row r="617" spans="1:5" x14ac:dyDescent="0.35">
      <c r="A617" s="4"/>
      <c r="B617" s="4"/>
      <c r="C617" s="4"/>
      <c r="D617" s="4"/>
      <c r="E617" s="4"/>
    </row>
    <row r="618" spans="1:5" x14ac:dyDescent="0.35">
      <c r="A618" s="4"/>
      <c r="B618" s="4"/>
      <c r="C618" s="4"/>
      <c r="D618" s="4"/>
      <c r="E618" s="4"/>
    </row>
    <row r="619" spans="1:5" x14ac:dyDescent="0.35">
      <c r="A619" s="4"/>
      <c r="B619" s="4"/>
      <c r="C619" s="4"/>
      <c r="D619" s="4"/>
      <c r="E619" s="4"/>
    </row>
    <row r="620" spans="1:5" x14ac:dyDescent="0.35">
      <c r="A620" s="4"/>
      <c r="B620" s="4"/>
      <c r="C620" s="4"/>
      <c r="D620" s="4"/>
      <c r="E620" s="4"/>
    </row>
    <row r="621" spans="1:5" x14ac:dyDescent="0.35">
      <c r="A621" s="4"/>
      <c r="B621" s="4"/>
      <c r="C621" s="4"/>
      <c r="D621" s="4"/>
      <c r="E621" s="4"/>
    </row>
    <row r="622" spans="1:5" x14ac:dyDescent="0.35">
      <c r="A622" s="4"/>
      <c r="B622" s="4"/>
      <c r="C622" s="4"/>
      <c r="D622" s="4"/>
      <c r="E622" s="4"/>
    </row>
    <row r="623" spans="1:5" x14ac:dyDescent="0.35">
      <c r="A623" s="4"/>
      <c r="B623" s="4"/>
      <c r="C623" s="4"/>
      <c r="D623" s="4"/>
      <c r="E623" s="4"/>
    </row>
    <row r="624" spans="1:5" x14ac:dyDescent="0.35">
      <c r="A624" s="4"/>
      <c r="B624" s="4"/>
      <c r="C624" s="4"/>
      <c r="D624" s="4"/>
      <c r="E624" s="4"/>
    </row>
    <row r="625" spans="1:5" x14ac:dyDescent="0.35">
      <c r="A625" s="4"/>
      <c r="B625" s="4"/>
      <c r="C625" s="4"/>
      <c r="D625" s="4"/>
      <c r="E625" s="4"/>
    </row>
    <row r="626" spans="1:5" x14ac:dyDescent="0.35">
      <c r="A626" s="4"/>
      <c r="B626" s="4"/>
      <c r="C626" s="4"/>
      <c r="D626" s="4"/>
      <c r="E626" s="4"/>
    </row>
    <row r="627" spans="1:5" x14ac:dyDescent="0.35">
      <c r="A627" s="4"/>
      <c r="B627" s="4"/>
      <c r="C627" s="4"/>
      <c r="D627" s="4"/>
      <c r="E627" s="4"/>
    </row>
    <row r="628" spans="1:5" x14ac:dyDescent="0.35">
      <c r="A628" s="4"/>
      <c r="B628" s="4"/>
      <c r="C628" s="4"/>
      <c r="D628" s="4"/>
      <c r="E628" s="4"/>
    </row>
    <row r="629" spans="1:5" x14ac:dyDescent="0.35">
      <c r="A629" s="4"/>
      <c r="B629" s="4"/>
      <c r="C629" s="4"/>
      <c r="D629" s="4"/>
      <c r="E629" s="4"/>
    </row>
    <row r="630" spans="1:5" x14ac:dyDescent="0.35">
      <c r="A630" s="4"/>
      <c r="B630" s="4"/>
      <c r="C630" s="4"/>
      <c r="D630" s="4"/>
      <c r="E630" s="4"/>
    </row>
    <row r="631" spans="1:5" x14ac:dyDescent="0.35">
      <c r="A631" s="4"/>
      <c r="B631" s="4"/>
      <c r="C631" s="4"/>
      <c r="D631" s="4"/>
      <c r="E631" s="4"/>
    </row>
    <row r="632" spans="1:5" x14ac:dyDescent="0.35">
      <c r="A632" s="4"/>
      <c r="B632" s="4"/>
      <c r="C632" s="4"/>
      <c r="D632" s="4"/>
      <c r="E632" s="4"/>
    </row>
    <row r="633" spans="1:5" x14ac:dyDescent="0.35">
      <c r="A633" s="4"/>
      <c r="B633" s="4"/>
      <c r="C633" s="4"/>
      <c r="D633" s="4"/>
      <c r="E633" s="4"/>
    </row>
    <row r="634" spans="1:5" x14ac:dyDescent="0.35">
      <c r="A634" s="4"/>
      <c r="B634" s="4"/>
      <c r="C634" s="4"/>
      <c r="D634" s="4"/>
      <c r="E634" s="4"/>
    </row>
    <row r="635" spans="1:5" x14ac:dyDescent="0.35">
      <c r="A635" s="4"/>
      <c r="B635" s="4"/>
      <c r="C635" s="4"/>
      <c r="D635" s="4"/>
      <c r="E635" s="4"/>
    </row>
    <row r="636" spans="1:5" x14ac:dyDescent="0.35">
      <c r="A636" s="4"/>
      <c r="B636" s="4"/>
      <c r="C636" s="4"/>
      <c r="D636" s="4"/>
      <c r="E636" s="4"/>
    </row>
    <row r="637" spans="1:5" x14ac:dyDescent="0.35">
      <c r="A637" s="4"/>
      <c r="B637" s="4"/>
      <c r="C637" s="4"/>
      <c r="D637" s="4"/>
      <c r="E637" s="4"/>
    </row>
    <row r="638" spans="1:5" x14ac:dyDescent="0.35">
      <c r="A638" s="4"/>
      <c r="B638" s="4"/>
      <c r="C638" s="4"/>
      <c r="D638" s="4"/>
      <c r="E638" s="4"/>
    </row>
    <row r="639" spans="1:5" x14ac:dyDescent="0.35">
      <c r="A639" s="4"/>
      <c r="B639" s="4"/>
      <c r="C639" s="4"/>
      <c r="D639" s="4"/>
      <c r="E639" s="4"/>
    </row>
    <row r="640" spans="1:5" x14ac:dyDescent="0.35">
      <c r="A640" s="4"/>
      <c r="B640" s="4"/>
      <c r="C640" s="4"/>
      <c r="D640" s="4"/>
      <c r="E640" s="4"/>
    </row>
    <row r="641" spans="1:5" x14ac:dyDescent="0.35">
      <c r="A641" s="4"/>
      <c r="B641" s="4"/>
      <c r="C641" s="4"/>
      <c r="D641" s="4"/>
      <c r="E641" s="4"/>
    </row>
    <row r="642" spans="1:5" x14ac:dyDescent="0.35">
      <c r="A642" s="4"/>
      <c r="B642" s="4"/>
      <c r="C642" s="4"/>
      <c r="D642" s="4"/>
      <c r="E642" s="4"/>
    </row>
    <row r="643" spans="1:5" x14ac:dyDescent="0.35">
      <c r="B643" s="4"/>
      <c r="C643" s="4"/>
      <c r="D643" s="4"/>
      <c r="E643" s="4"/>
    </row>
    <row r="644" spans="1:5" x14ac:dyDescent="0.35">
      <c r="B644" s="4"/>
      <c r="C644" s="4"/>
      <c r="D644" s="4"/>
      <c r="E644" s="4"/>
    </row>
    <row r="645" spans="1:5" x14ac:dyDescent="0.35">
      <c r="B645" s="4"/>
      <c r="C645" s="4"/>
      <c r="D645" s="4"/>
      <c r="E645" s="4"/>
    </row>
    <row r="646" spans="1:5" x14ac:dyDescent="0.35">
      <c r="B646" s="4"/>
      <c r="C646" s="4"/>
      <c r="D646" s="4"/>
      <c r="E646" s="4"/>
    </row>
    <row r="647" spans="1:5" x14ac:dyDescent="0.35">
      <c r="B647" s="4"/>
      <c r="C647" s="4"/>
      <c r="E647" s="4"/>
    </row>
    <row r="648" spans="1:5" x14ac:dyDescent="0.35">
      <c r="B648" s="4"/>
      <c r="E648" s="4"/>
    </row>
  </sheetData>
  <pageMargins left="0.7" right="0.7" top="0.75" bottom="0.75" header="0.3" footer="0.3"/>
  <pageSetup paperSize="9" orientation="portrait" verticalDpi="300" r:id="rId1"/>
  <drawing r:id="rId2"/>
  <legacyDrawing r:id="rId3"/>
  <controls>
    <mc:AlternateContent xmlns:mc="http://schemas.openxmlformats.org/markup-compatibility/2006">
      <mc:Choice Requires="x14">
        <control shapeId="197633" r:id="rId4" name="CommandButton1">
          <controlPr defaultSize="0" autoLine="0" r:id="rId5">
            <anchor moveWithCells="1">
              <from>
                <xdr:col>8</xdr:col>
                <xdr:colOff>279400</xdr:colOff>
                <xdr:row>2</xdr:row>
                <xdr:rowOff>127000</xdr:rowOff>
              </from>
              <to>
                <xdr:col>10</xdr:col>
                <xdr:colOff>342900</xdr:colOff>
                <xdr:row>6</xdr:row>
                <xdr:rowOff>69850</xdr:rowOff>
              </to>
            </anchor>
          </controlPr>
        </control>
      </mc:Choice>
      <mc:Fallback>
        <control shapeId="197633" r:id="rId4" name="CommandButton1"/>
      </mc:Fallback>
    </mc:AlternateContent>
    <mc:AlternateContent xmlns:mc="http://schemas.openxmlformats.org/markup-compatibility/2006">
      <mc:Choice Requires="x14">
        <control shapeId="197634" r:id="rId6" name="CommandButton2">
          <controlPr defaultSize="0" autoLine="0" r:id="rId7">
            <anchor moveWithCells="1">
              <from>
                <xdr:col>28</xdr:col>
                <xdr:colOff>222250</xdr:colOff>
                <xdr:row>10</xdr:row>
                <xdr:rowOff>88900</xdr:rowOff>
              </from>
              <to>
                <xdr:col>30</xdr:col>
                <xdr:colOff>400050</xdr:colOff>
                <xdr:row>14</xdr:row>
                <xdr:rowOff>31750</xdr:rowOff>
              </to>
            </anchor>
          </controlPr>
        </control>
      </mc:Choice>
      <mc:Fallback>
        <control shapeId="197634" r:id="rId6" name="CommandButton2"/>
      </mc:Fallback>
    </mc:AlternateContent>
    <mc:AlternateContent xmlns:mc="http://schemas.openxmlformats.org/markup-compatibility/2006">
      <mc:Choice Requires="x14">
        <control shapeId="197635" r:id="rId8" name="CommandButton3">
          <controlPr defaultSize="0" autoLine="0" r:id="rId9">
            <anchor moveWithCells="1">
              <from>
                <xdr:col>8</xdr:col>
                <xdr:colOff>412750</xdr:colOff>
                <xdr:row>15</xdr:row>
                <xdr:rowOff>152400</xdr:rowOff>
              </from>
              <to>
                <xdr:col>10</xdr:col>
                <xdr:colOff>590550</xdr:colOff>
                <xdr:row>19</xdr:row>
                <xdr:rowOff>38100</xdr:rowOff>
              </to>
            </anchor>
          </controlPr>
        </control>
      </mc:Choice>
      <mc:Fallback>
        <control shapeId="197635" r:id="rId8" name="CommandButton3"/>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6"/>
  <sheetViews>
    <sheetView workbookViewId="0">
      <selection activeCell="G29" sqref="G29"/>
    </sheetView>
  </sheetViews>
  <sheetFormatPr defaultRowHeight="14.5" x14ac:dyDescent="0.35"/>
  <sheetData>
    <row r="1" spans="1:6" x14ac:dyDescent="0.35">
      <c r="A1" t="s">
        <v>56</v>
      </c>
      <c r="B1">
        <v>32</v>
      </c>
      <c r="C1">
        <v>32</v>
      </c>
      <c r="D1">
        <v>32</v>
      </c>
      <c r="E1">
        <v>32</v>
      </c>
      <c r="F1">
        <f t="shared" ref="F1:F11" si="0">E1 * 1.5</f>
        <v>48</v>
      </c>
    </row>
    <row r="2" spans="1:6" x14ac:dyDescent="0.35">
      <c r="A2" t="s">
        <v>55</v>
      </c>
      <c r="B2">
        <v>48</v>
      </c>
      <c r="C2">
        <v>48</v>
      </c>
      <c r="D2">
        <v>48</v>
      </c>
      <c r="E2">
        <v>48</v>
      </c>
      <c r="F2">
        <f t="shared" si="0"/>
        <v>72</v>
      </c>
    </row>
    <row r="3" spans="1:6" x14ac:dyDescent="0.35">
      <c r="A3" t="s">
        <v>54</v>
      </c>
      <c r="B3">
        <v>64</v>
      </c>
      <c r="C3">
        <v>64</v>
      </c>
      <c r="D3">
        <v>64</v>
      </c>
      <c r="E3">
        <v>64</v>
      </c>
      <c r="F3">
        <f t="shared" si="0"/>
        <v>96</v>
      </c>
    </row>
    <row r="4" spans="1:6" x14ac:dyDescent="0.35">
      <c r="A4" t="s">
        <v>53</v>
      </c>
      <c r="B4">
        <v>80</v>
      </c>
      <c r="C4">
        <v>80</v>
      </c>
      <c r="D4">
        <v>80</v>
      </c>
      <c r="E4">
        <v>80</v>
      </c>
      <c r="F4">
        <f t="shared" si="0"/>
        <v>120</v>
      </c>
    </row>
    <row r="5" spans="1:6" x14ac:dyDescent="0.35">
      <c r="A5" t="s">
        <v>174</v>
      </c>
      <c r="B5">
        <v>96</v>
      </c>
      <c r="C5">
        <v>96</v>
      </c>
      <c r="D5">
        <v>96</v>
      </c>
      <c r="E5">
        <v>96</v>
      </c>
      <c r="F5">
        <f t="shared" si="0"/>
        <v>144</v>
      </c>
    </row>
    <row r="6" spans="1:6" x14ac:dyDescent="0.35">
      <c r="A6" t="s">
        <v>49</v>
      </c>
      <c r="B6">
        <v>112</v>
      </c>
      <c r="C6">
        <v>112</v>
      </c>
      <c r="D6">
        <v>112</v>
      </c>
      <c r="E6">
        <v>112</v>
      </c>
      <c r="F6">
        <f t="shared" si="0"/>
        <v>168</v>
      </c>
    </row>
    <row r="7" spans="1:6" x14ac:dyDescent="0.35">
      <c r="A7" t="s">
        <v>50</v>
      </c>
      <c r="B7">
        <v>112</v>
      </c>
      <c r="C7">
        <v>112</v>
      </c>
      <c r="D7">
        <v>112</v>
      </c>
      <c r="E7">
        <v>112</v>
      </c>
      <c r="F7">
        <f t="shared" si="0"/>
        <v>168</v>
      </c>
    </row>
    <row r="8" spans="1:6" x14ac:dyDescent="0.35">
      <c r="A8" t="s">
        <v>51</v>
      </c>
      <c r="B8">
        <v>128</v>
      </c>
      <c r="C8">
        <v>128</v>
      </c>
      <c r="D8">
        <v>128</v>
      </c>
      <c r="E8">
        <v>128</v>
      </c>
      <c r="F8">
        <f t="shared" si="0"/>
        <v>192</v>
      </c>
    </row>
    <row r="9" spans="1:6" x14ac:dyDescent="0.35">
      <c r="A9" t="s">
        <v>52</v>
      </c>
      <c r="B9">
        <v>128</v>
      </c>
      <c r="C9">
        <v>128</v>
      </c>
      <c r="D9">
        <v>128</v>
      </c>
      <c r="E9">
        <v>128</v>
      </c>
      <c r="F9">
        <f t="shared" si="0"/>
        <v>192</v>
      </c>
    </row>
    <row r="10" spans="1:6" x14ac:dyDescent="0.35">
      <c r="A10" t="s">
        <v>57</v>
      </c>
      <c r="B10">
        <v>0</v>
      </c>
      <c r="C10">
        <v>0</v>
      </c>
      <c r="D10">
        <v>0</v>
      </c>
      <c r="E10">
        <v>0</v>
      </c>
      <c r="F10">
        <f t="shared" si="0"/>
        <v>0</v>
      </c>
    </row>
    <row r="11" spans="1:6" x14ac:dyDescent="0.35">
      <c r="A11" t="s">
        <v>66</v>
      </c>
      <c r="B11">
        <v>0</v>
      </c>
      <c r="C11">
        <v>0</v>
      </c>
      <c r="D11">
        <v>0</v>
      </c>
      <c r="E11">
        <v>0</v>
      </c>
      <c r="F11">
        <f t="shared" si="0"/>
        <v>0</v>
      </c>
    </row>
    <row r="12" spans="1:6" x14ac:dyDescent="0.35">
      <c r="A12" t="s">
        <v>107</v>
      </c>
    </row>
    <row r="16" spans="1:6" x14ac:dyDescent="0.35">
      <c r="A16" t="s">
        <v>6</v>
      </c>
      <c r="B16">
        <f>SUM(B1:B15)</f>
        <v>800</v>
      </c>
      <c r="C16">
        <f>SUM(C1:C15)</f>
        <v>800</v>
      </c>
      <c r="D16">
        <f>SUM(D1:D15)</f>
        <v>800</v>
      </c>
      <c r="E16">
        <f>SUM(E1:E15)</f>
        <v>800</v>
      </c>
      <c r="F16">
        <f>SUM(F1:F15)</f>
        <v>1200</v>
      </c>
    </row>
  </sheetData>
  <sortState xmlns:xlrd2="http://schemas.microsoft.com/office/spreadsheetml/2017/richdata2" ref="U1:V300">
    <sortCondition descending="1" ref="U1:U1048576"/>
  </sortState>
  <pageMargins left="0.7" right="0.7" top="0.75" bottom="0.75" header="0.3" footer="0.3"/>
  <pageSetup orientation="portrait" r:id="rId1"/>
  <drawing r:id="rId2"/>
  <legacyDrawing r:id="rId3"/>
  <controls>
    <mc:AlternateContent xmlns:mc="http://schemas.openxmlformats.org/markup-compatibility/2006">
      <mc:Choice Requires="x14">
        <control shapeId="5121" r:id="rId4" name="CommandButton1">
          <controlPr defaultSize="0" autoLine="0" r:id="rId5">
            <anchor moveWithCells="1">
              <from>
                <xdr:col>2</xdr:col>
                <xdr:colOff>450850</xdr:colOff>
                <xdr:row>20</xdr:row>
                <xdr:rowOff>31750</xdr:rowOff>
              </from>
              <to>
                <xdr:col>5</xdr:col>
                <xdr:colOff>19050</xdr:colOff>
                <xdr:row>23</xdr:row>
                <xdr:rowOff>31750</xdr:rowOff>
              </to>
            </anchor>
          </controlPr>
        </control>
      </mc:Choice>
      <mc:Fallback>
        <control shapeId="5121" r:id="rId4" name="CommandButton1"/>
      </mc:Fallback>
    </mc:AlternateContent>
    <mc:AlternateContent xmlns:mc="http://schemas.openxmlformats.org/markup-compatibility/2006">
      <mc:Choice Requires="x14">
        <control shapeId="5122" r:id="rId6" name="CommandButton2">
          <controlPr defaultSize="0" autoLine="0" r:id="rId7">
            <anchor moveWithCells="1">
              <from>
                <xdr:col>2</xdr:col>
                <xdr:colOff>450850</xdr:colOff>
                <xdr:row>24</xdr:row>
                <xdr:rowOff>50800</xdr:rowOff>
              </from>
              <to>
                <xdr:col>4</xdr:col>
                <xdr:colOff>450850</xdr:colOff>
                <xdr:row>26</xdr:row>
                <xdr:rowOff>184150</xdr:rowOff>
              </to>
            </anchor>
          </controlPr>
        </control>
      </mc:Choice>
      <mc:Fallback>
        <control shapeId="5122" r:id="rId6" name="CommandButton2"/>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829E-0FC5-4D5F-BE44-EA5ED541B3AD}">
  <sheetPr codeName="Sheet24"/>
  <dimension ref="A1:AW326"/>
  <sheetViews>
    <sheetView zoomScale="84" zoomScaleNormal="84" workbookViewId="0">
      <selection activeCell="O71" sqref="O71"/>
    </sheetView>
  </sheetViews>
  <sheetFormatPr defaultColWidth="8.81640625" defaultRowHeight="14.5" x14ac:dyDescent="0.35"/>
  <cols>
    <col min="1" max="1" width="23.453125" customWidth="1"/>
    <col min="2" max="2" width="19.453125" customWidth="1"/>
    <col min="3" max="3" width="17.54296875" customWidth="1"/>
    <col min="4" max="4" width="20.54296875" customWidth="1"/>
    <col min="5" max="5" width="14.7265625" customWidth="1"/>
    <col min="6" max="6" width="13.81640625" customWidth="1"/>
    <col min="7" max="7" width="15.26953125" customWidth="1"/>
    <col min="8" max="8" width="13.453125" customWidth="1"/>
    <col min="9" max="9" width="20.453125" customWidth="1"/>
    <col min="10" max="10" width="15.81640625" customWidth="1"/>
    <col min="11" max="11" width="25.26953125" customWidth="1"/>
    <col min="12" max="12" width="28.453125" customWidth="1"/>
    <col min="13" max="13" width="16.1796875" customWidth="1"/>
    <col min="14" max="14" width="19.26953125" customWidth="1"/>
    <col min="15" max="15" width="25.1796875" customWidth="1"/>
    <col min="16" max="16" width="22.453125" customWidth="1"/>
    <col min="17" max="17" width="20.54296875" customWidth="1"/>
    <col min="18" max="18" width="20.26953125" customWidth="1"/>
    <col min="19" max="19" width="16.81640625" customWidth="1"/>
    <col min="20" max="20" width="19.26953125" customWidth="1"/>
    <col min="21" max="21" width="17.7265625" customWidth="1"/>
    <col min="22" max="22" width="20.453125" customWidth="1"/>
    <col min="23" max="24" width="10.26953125" bestFit="1" customWidth="1"/>
    <col min="25" max="25" width="12.26953125" customWidth="1"/>
    <col min="26" max="26" width="12.1796875" customWidth="1"/>
    <col min="27" max="27" width="16.7265625" customWidth="1"/>
    <col min="28" max="28" width="13.7265625" customWidth="1"/>
    <col min="29" max="34" width="9.26953125" bestFit="1" customWidth="1"/>
    <col min="35" max="35" width="8.81640625" customWidth="1"/>
    <col min="36" max="36" width="10.54296875" customWidth="1"/>
    <col min="37" max="37" width="10.1796875" customWidth="1"/>
    <col min="38" max="39" width="10.26953125" customWidth="1"/>
    <col min="40" max="40" width="10.81640625" customWidth="1"/>
    <col min="41" max="41" width="15.1796875" customWidth="1"/>
    <col min="42" max="42" width="17.26953125" customWidth="1"/>
    <col min="43" max="43" width="14.1796875" customWidth="1"/>
    <col min="44" max="47" width="15.7265625" bestFit="1" customWidth="1"/>
    <col min="48" max="48" width="14.453125" bestFit="1" customWidth="1"/>
    <col min="49" max="49" width="14" customWidth="1"/>
    <col min="50" max="50" width="12" bestFit="1" customWidth="1"/>
    <col min="51" max="51" width="10.26953125" customWidth="1"/>
    <col min="52" max="62" width="12" bestFit="1" customWidth="1"/>
  </cols>
  <sheetData>
    <row r="1" spans="1:32" ht="21" x14ac:dyDescent="0.5">
      <c r="A1" s="10" t="s">
        <v>126</v>
      </c>
      <c r="D1" t="s">
        <v>10</v>
      </c>
      <c r="E1" s="57">
        <f>L39</f>
        <v>5.9062852749015765E-2</v>
      </c>
      <c r="G1" t="s">
        <v>83</v>
      </c>
      <c r="H1" s="149">
        <f>E1 + K1  + N1</f>
        <v>0.98421665215534382</v>
      </c>
      <c r="I1" s="12"/>
      <c r="J1" s="114" t="s">
        <v>95</v>
      </c>
      <c r="K1" s="60">
        <f>B21 * F21</f>
        <v>0.13827438173816192</v>
      </c>
      <c r="M1" t="str">
        <f>BaseB!M1</f>
        <v>Bonus RTP:</v>
      </c>
      <c r="N1" s="40">
        <f>I15 * N15 + J15 * O15 + K15 * P15  +  L15 *  Q15</f>
        <v>0.78687941766816616</v>
      </c>
    </row>
    <row r="2" spans="1:32" ht="15.5" x14ac:dyDescent="0.35">
      <c r="A2" t="s">
        <v>8</v>
      </c>
      <c r="H2" t="s">
        <v>7</v>
      </c>
      <c r="M2" t="s">
        <v>48</v>
      </c>
      <c r="R2" s="1"/>
      <c r="AD2" s="13"/>
    </row>
    <row r="3" spans="1:32" x14ac:dyDescent="0.35">
      <c r="A3" t="s">
        <v>0</v>
      </c>
      <c r="B3" t="s">
        <v>1</v>
      </c>
      <c r="C3" t="s">
        <v>2</v>
      </c>
      <c r="D3" t="s">
        <v>3</v>
      </c>
      <c r="E3" t="s">
        <v>4</v>
      </c>
      <c r="F3" t="s">
        <v>5</v>
      </c>
      <c r="H3" t="s">
        <v>0</v>
      </c>
      <c r="I3" t="s">
        <v>45</v>
      </c>
      <c r="J3" t="s">
        <v>46</v>
      </c>
      <c r="K3" t="s">
        <v>47</v>
      </c>
      <c r="M3" t="s">
        <v>0</v>
      </c>
      <c r="N3" t="str">
        <f>I3</f>
        <v>3Hit</v>
      </c>
      <c r="O3" t="str">
        <f>J3</f>
        <v>4Hit</v>
      </c>
      <c r="P3" t="str">
        <f>K3</f>
        <v>5Hit</v>
      </c>
    </row>
    <row r="4" spans="1:32" ht="15.5" x14ac:dyDescent="0.35">
      <c r="A4" s="5" t="s">
        <v>37</v>
      </c>
      <c r="B4" s="53">
        <v>3</v>
      </c>
      <c r="C4" s="53">
        <v>3</v>
      </c>
      <c r="D4" s="53">
        <v>3</v>
      </c>
      <c r="E4" s="53">
        <v>3</v>
      </c>
      <c r="F4" s="53">
        <v>48</v>
      </c>
      <c r="H4" s="5" t="str">
        <f t="shared" ref="H4:H13" si="0">A4</f>
        <v>H1</v>
      </c>
      <c r="I4" s="55">
        <f t="shared" ref="I4:I12" si="1">(B4+B$13)/B$17   *  (C4+C$13)/C$17   *    (D4+D$13)/D$17   *    (E$17-E4-E$13)/E$17     -   (B$13)/B$17   *  (C$13)/C$17   *    (D$13)/D$17      *    (E$17-E4-E$13)/E$17</f>
        <v>5.6837187997476512E-5</v>
      </c>
      <c r="J4" s="56">
        <f>(B4+B$13)/B$17   *  (C4+C$13)/C$17   *    (D4+D$13)/D$17   *    (E4+E$13)/E$17   *    (F$17 - F4-F$13)/F$17      -   (B$13)/B$17   *  (C$13)/C$17   *    (D$13)/D$17   *    (E$13)/E$17   *     (F$17 - F4-F$13)/F$17</f>
        <v>2.212118654311399E-6</v>
      </c>
      <c r="K4" s="56">
        <f>(B4+B$13)/B$17   *  (C4+C$13)/C$17   *    (D4+D$13)/D$17   *    (E4+E$13)/E$17   *    (F4+F$13)/F$17     -   (B$13)/B$17   *  (C$13)/C$17   *    (D$13)/D$17   *    (E$13)/E$17   *    (F$13)/F$17</f>
        <v>9.2091669910621979E-8</v>
      </c>
      <c r="M4" s="5" t="str">
        <f t="shared" ref="M4:M13" si="2">H4</f>
        <v>H1</v>
      </c>
      <c r="N4" s="131">
        <f>BaseA!N4</f>
        <v>20</v>
      </c>
      <c r="O4" s="131">
        <f>BaseA!O4</f>
        <v>80</v>
      </c>
      <c r="P4" s="131">
        <f>BaseA!P4</f>
        <v>400</v>
      </c>
      <c r="R4" s="5"/>
      <c r="S4" s="5"/>
      <c r="T4" s="240"/>
      <c r="U4" s="240"/>
      <c r="V4" s="70"/>
      <c r="W4" s="111"/>
      <c r="X4" s="111"/>
      <c r="Y4" s="111"/>
      <c r="AA4" s="66"/>
      <c r="AB4" s="2"/>
      <c r="AC4" s="2"/>
      <c r="AD4" s="2"/>
      <c r="AE4" s="2"/>
      <c r="AF4" s="2"/>
    </row>
    <row r="5" spans="1:32" ht="15.5" x14ac:dyDescent="0.35">
      <c r="A5" s="5" t="s">
        <v>38</v>
      </c>
      <c r="B5" s="53">
        <v>4</v>
      </c>
      <c r="C5" s="53">
        <v>4</v>
      </c>
      <c r="D5" s="53">
        <v>4</v>
      </c>
      <c r="E5" s="53">
        <v>4</v>
      </c>
      <c r="F5" s="53">
        <v>72</v>
      </c>
      <c r="H5" s="5" t="str">
        <f t="shared" si="0"/>
        <v>H2</v>
      </c>
      <c r="I5" s="55">
        <f t="shared" si="1"/>
        <v>1.3290457573784302E-4</v>
      </c>
      <c r="J5" s="56">
        <f>(B5+B$13)/B$17   *  (C5+C$13)/C$17   *    (D5+D$13)/D$17   *    (E5+E$13)/E$17   *    (F$17 - F5-F$13)/F$17      -   (B$13)/B$17   *  (C$13)/C$17   *    (D$13)/D$17   *    (E$13)/E$17   *     (F$17 - F5-F$13)/F$17</f>
        <v>6.8458597747550443E-6</v>
      </c>
      <c r="K5" s="56">
        <f t="shared" ref="K5:K10" si="3">(B5+B$13)/B$17   *  (C5+C$13)/C$17   *    (D5+D$13)/D$17   *    (E5+E$13)/E$17   *    (F5+F$13)/F$17     -   (B$13)/B$17   *  (C$13)/C$17   *    (D$13)/D$17   *    (E$13)/E$17   *    (F5 + F$13)/F$17</f>
        <v>4.3658273142813393E-7</v>
      </c>
      <c r="M5" s="5" t="str">
        <f t="shared" si="2"/>
        <v>H2</v>
      </c>
      <c r="N5" s="131">
        <f>BaseA!N5</f>
        <v>16</v>
      </c>
      <c r="O5" s="131">
        <f>BaseA!O5</f>
        <v>60</v>
      </c>
      <c r="P5" s="131">
        <f>BaseA!P5</f>
        <v>200</v>
      </c>
      <c r="R5" s="5"/>
      <c r="S5" s="5"/>
      <c r="T5" s="240"/>
      <c r="U5" s="240"/>
      <c r="V5" s="70"/>
      <c r="W5" s="111"/>
      <c r="X5" s="111"/>
      <c r="Y5" s="111"/>
      <c r="AA5" s="66"/>
      <c r="AB5" s="2"/>
      <c r="AC5" s="2"/>
      <c r="AD5" s="2"/>
      <c r="AE5" s="2"/>
      <c r="AF5" s="2"/>
    </row>
    <row r="6" spans="1:32" ht="15.5" x14ac:dyDescent="0.35">
      <c r="A6" s="5" t="s">
        <v>39</v>
      </c>
      <c r="B6" s="53">
        <v>5</v>
      </c>
      <c r="C6" s="53">
        <v>5</v>
      </c>
      <c r="D6" s="53">
        <v>5</v>
      </c>
      <c r="E6" s="53">
        <v>5</v>
      </c>
      <c r="F6" s="53">
        <v>96</v>
      </c>
      <c r="H6" s="5" t="str">
        <f t="shared" si="0"/>
        <v>H3</v>
      </c>
      <c r="I6" s="55">
        <f t="shared" si="1"/>
        <v>2.5602336935800233E-4</v>
      </c>
      <c r="J6" s="56">
        <f>(B6+B$13)/B$17   *  (C6+C$13)/C$17   *    (D6+D$13)/D$17   *    (E6+E$13)/E$17   *    (F$17 - F6-F$13)/F$17      -   (B$13)/B$17   *  (C$13)/C$17   *    (D$13)/D$17   *    (E6 + E$13)/E$17   *     (F$17 - F6-F$13)/F$17</f>
        <v>1.635823290432698E-5</v>
      </c>
      <c r="K6" s="56">
        <f t="shared" si="3"/>
        <v>1.4211677455342896E-6</v>
      </c>
      <c r="M6" s="5" t="str">
        <f t="shared" si="2"/>
        <v>H3</v>
      </c>
      <c r="N6" s="131">
        <f>BaseA!N6</f>
        <v>12</v>
      </c>
      <c r="O6" s="131">
        <f>BaseA!O6</f>
        <v>40</v>
      </c>
      <c r="P6" s="131">
        <f>BaseA!P6</f>
        <v>120</v>
      </c>
      <c r="R6" s="5"/>
      <c r="S6" s="5"/>
      <c r="T6" s="240"/>
      <c r="U6" s="240"/>
      <c r="V6" s="70"/>
      <c r="W6" s="111"/>
      <c r="X6" s="111"/>
      <c r="Y6" s="111"/>
      <c r="AA6" s="66"/>
      <c r="AB6" s="2"/>
      <c r="AC6" s="2"/>
      <c r="AD6" s="2"/>
      <c r="AE6" s="2"/>
      <c r="AF6" s="2"/>
    </row>
    <row r="7" spans="1:32" ht="15.5" x14ac:dyDescent="0.35">
      <c r="A7" s="5" t="s">
        <v>40</v>
      </c>
      <c r="B7" s="53">
        <v>6</v>
      </c>
      <c r="C7" s="53">
        <v>6</v>
      </c>
      <c r="D7" s="53">
        <v>6</v>
      </c>
      <c r="E7" s="53">
        <v>6</v>
      </c>
      <c r="F7" s="53">
        <v>120</v>
      </c>
      <c r="H7" s="5" t="str">
        <f t="shared" si="0"/>
        <v>H4</v>
      </c>
      <c r="I7" s="55">
        <f t="shared" si="1"/>
        <v>4.36263821386036E-4</v>
      </c>
      <c r="J7" s="56">
        <f t="shared" ref="J7:J12" si="4">(B7+B$13)/B$17   *  (C7+C$13)/C$17   *    (D7+D$13)/D$17   *    (E7+E$13)/E$17   *    (F$17 - F7-F$13)/F$17      -   (B$13)/B$17   *  (C$13)/C$17   *    (D$13)/D$17   *    (E7 + E$13)/E$17   *     (F$17 - F7-F$13)/F$17</f>
        <v>3.3183698391127458E-5</v>
      </c>
      <c r="K7" s="56">
        <f t="shared" si="3"/>
        <v>3.6836667964248796E-6</v>
      </c>
      <c r="M7" s="5" t="str">
        <f t="shared" si="2"/>
        <v>H4</v>
      </c>
      <c r="N7" s="131">
        <f>BaseA!N7</f>
        <v>8</v>
      </c>
      <c r="O7" s="131">
        <f>BaseA!O7</f>
        <v>28</v>
      </c>
      <c r="P7" s="131">
        <f>BaseA!P7</f>
        <v>80</v>
      </c>
      <c r="R7" s="5"/>
      <c r="S7" s="5"/>
      <c r="T7" s="240"/>
      <c r="U7" s="240"/>
      <c r="V7" s="70"/>
      <c r="W7" s="111"/>
      <c r="X7" s="111"/>
      <c r="Y7" s="111"/>
      <c r="AA7" s="66"/>
      <c r="AB7" s="66"/>
      <c r="AC7" s="66"/>
      <c r="AD7" s="66"/>
      <c r="AE7" s="70"/>
    </row>
    <row r="8" spans="1:32" ht="15.5" x14ac:dyDescent="0.35">
      <c r="A8" s="5" t="s">
        <v>173</v>
      </c>
      <c r="B8" s="53">
        <v>7</v>
      </c>
      <c r="C8" s="53">
        <v>7</v>
      </c>
      <c r="D8" s="53">
        <v>7</v>
      </c>
      <c r="E8" s="53">
        <v>7</v>
      </c>
      <c r="F8" s="53">
        <v>144</v>
      </c>
      <c r="H8" s="5" t="str">
        <f t="shared" si="0"/>
        <v>H5</v>
      </c>
      <c r="I8" s="55">
        <f t="shared" si="1"/>
        <v>6.8301345536507074E-4</v>
      </c>
      <c r="J8" s="56">
        <f t="shared" si="4"/>
        <v>6.0112008519640285E-5</v>
      </c>
      <c r="K8" s="56">
        <f t="shared" si="3"/>
        <v>8.1893370168667935E-6</v>
      </c>
      <c r="M8" s="5" t="str">
        <f t="shared" si="2"/>
        <v>H5</v>
      </c>
      <c r="N8" s="131">
        <f>BaseA!N8</f>
        <v>8</v>
      </c>
      <c r="O8" s="131">
        <f>BaseA!O8</f>
        <v>28</v>
      </c>
      <c r="P8" s="131">
        <f>BaseA!P8</f>
        <v>80</v>
      </c>
      <c r="R8" s="5"/>
      <c r="S8" s="5"/>
      <c r="T8" s="240"/>
      <c r="U8" s="240"/>
      <c r="V8" s="70"/>
      <c r="W8" s="111"/>
      <c r="X8" s="111"/>
      <c r="Y8" s="111"/>
      <c r="AA8" s="66"/>
      <c r="AB8" s="66"/>
      <c r="AC8" s="66"/>
      <c r="AD8" s="66"/>
      <c r="AE8" s="70"/>
    </row>
    <row r="9" spans="1:32" ht="15.5" x14ac:dyDescent="0.35">
      <c r="A9" s="5" t="s">
        <v>41</v>
      </c>
      <c r="B9" s="53">
        <v>8</v>
      </c>
      <c r="C9" s="53">
        <v>8</v>
      </c>
      <c r="D9" s="53">
        <v>8</v>
      </c>
      <c r="E9" s="53">
        <v>8</v>
      </c>
      <c r="F9" s="53">
        <v>168</v>
      </c>
      <c r="H9" s="5" t="str">
        <f t="shared" si="0"/>
        <v>L1</v>
      </c>
      <c r="I9" s="55">
        <f t="shared" si="1"/>
        <v>1.0049770658532786E-3</v>
      </c>
      <c r="J9" s="56">
        <f t="shared" si="4"/>
        <v>1.0021999145894719E-4</v>
      </c>
      <c r="K9" s="56">
        <f t="shared" si="3"/>
        <v>1.629908863998367E-5</v>
      </c>
      <c r="M9" s="5" t="str">
        <f t="shared" si="2"/>
        <v>L1</v>
      </c>
      <c r="N9" s="131">
        <f>BaseA!N9</f>
        <v>8</v>
      </c>
      <c r="O9" s="131">
        <f>BaseA!O9</f>
        <v>16</v>
      </c>
      <c r="P9" s="131">
        <f>BaseA!P9</f>
        <v>60</v>
      </c>
      <c r="R9" s="5"/>
      <c r="S9" s="5"/>
      <c r="T9" s="240"/>
      <c r="U9" s="240"/>
      <c r="V9" s="70"/>
      <c r="W9" s="111"/>
      <c r="X9" s="111"/>
      <c r="Y9" s="111"/>
      <c r="AA9" s="66"/>
      <c r="AB9" s="91"/>
      <c r="AC9" s="91"/>
      <c r="AD9" s="91"/>
      <c r="AE9" s="91"/>
      <c r="AF9" s="91"/>
    </row>
    <row r="10" spans="1:32" ht="15.5" x14ac:dyDescent="0.35">
      <c r="A10" s="5" t="s">
        <v>42</v>
      </c>
      <c r="B10" s="53">
        <v>8</v>
      </c>
      <c r="C10" s="53">
        <v>8</v>
      </c>
      <c r="D10" s="53">
        <v>8</v>
      </c>
      <c r="E10" s="53">
        <v>8</v>
      </c>
      <c r="F10" s="53">
        <v>168</v>
      </c>
      <c r="H10" s="5" t="str">
        <f t="shared" si="0"/>
        <v>L2</v>
      </c>
      <c r="I10" s="55">
        <f t="shared" si="1"/>
        <v>1.0049770658532786E-3</v>
      </c>
      <c r="J10" s="56">
        <f t="shared" si="4"/>
        <v>1.0021999145894719E-4</v>
      </c>
      <c r="K10" s="56">
        <f t="shared" si="3"/>
        <v>1.629908863998367E-5</v>
      </c>
      <c r="M10" s="5" t="str">
        <f t="shared" si="2"/>
        <v>L2</v>
      </c>
      <c r="N10" s="131">
        <f>BaseA!N10</f>
        <v>8</v>
      </c>
      <c r="O10" s="131">
        <f>BaseA!O10</f>
        <v>16</v>
      </c>
      <c r="P10" s="131">
        <f>BaseA!P10</f>
        <v>60</v>
      </c>
      <c r="R10" s="5"/>
      <c r="S10" s="5"/>
      <c r="T10" s="240"/>
      <c r="U10" s="240"/>
      <c r="V10" s="70"/>
      <c r="W10" s="111"/>
      <c r="X10" s="111"/>
      <c r="Y10" s="111"/>
      <c r="AA10" s="66"/>
      <c r="AB10" s="91"/>
      <c r="AC10" s="91"/>
      <c r="AD10" s="91"/>
      <c r="AE10" s="91"/>
      <c r="AF10" s="91"/>
    </row>
    <row r="11" spans="1:32" ht="15.5" x14ac:dyDescent="0.35">
      <c r="A11" s="5" t="s">
        <v>43</v>
      </c>
      <c r="B11" s="53">
        <v>9</v>
      </c>
      <c r="C11" s="53">
        <v>9</v>
      </c>
      <c r="D11" s="53">
        <v>9</v>
      </c>
      <c r="E11" s="53">
        <v>9</v>
      </c>
      <c r="F11" s="53">
        <v>192</v>
      </c>
      <c r="H11" s="5" t="str">
        <f t="shared" si="0"/>
        <v>L3</v>
      </c>
      <c r="I11" s="55">
        <f t="shared" si="1"/>
        <v>1.4101767184238768E-3</v>
      </c>
      <c r="J11" s="56">
        <f t="shared" si="4"/>
        <v>1.5680333521094218E-4</v>
      </c>
      <c r="K11" s="56">
        <f>(B11+B$13)/B$17   *  (C11+C$13)/C$17   *    (D11+D$13)/D$17   *    (E11+E$13)/E$17   *    (F11+F$13)/F$17     -   (B$13)/B$17   *  (C$13)/C$17   *    (D$13)/D$17   *    (E11+E$13)/E$17   *    (F11 + F$13)/F$17</f>
        <v>2.9837701051041524E-5</v>
      </c>
      <c r="M11" s="5" t="str">
        <f t="shared" si="2"/>
        <v>L3</v>
      </c>
      <c r="N11" s="131">
        <f>BaseA!N11</f>
        <v>4</v>
      </c>
      <c r="O11" s="131">
        <f>BaseA!O11</f>
        <v>12</v>
      </c>
      <c r="P11" s="131">
        <f>BaseA!P11</f>
        <v>40</v>
      </c>
      <c r="R11" s="5"/>
      <c r="S11" s="5"/>
      <c r="T11" s="240"/>
      <c r="U11" s="240"/>
      <c r="V11" s="70"/>
      <c r="W11" s="111"/>
      <c r="X11" s="111"/>
      <c r="Y11" s="111"/>
      <c r="AA11" s="66"/>
      <c r="AB11" s="66"/>
      <c r="AC11" s="66"/>
      <c r="AD11" s="66"/>
      <c r="AE11" s="70"/>
    </row>
    <row r="12" spans="1:32" ht="15.5" x14ac:dyDescent="0.35">
      <c r="A12" s="5" t="s">
        <v>44</v>
      </c>
      <c r="B12" s="53">
        <v>9</v>
      </c>
      <c r="C12" s="53">
        <v>9</v>
      </c>
      <c r="D12" s="53">
        <v>9</v>
      </c>
      <c r="E12" s="53">
        <v>9</v>
      </c>
      <c r="F12" s="53">
        <v>192</v>
      </c>
      <c r="H12" s="5" t="str">
        <f t="shared" si="0"/>
        <v>L4</v>
      </c>
      <c r="I12" s="55">
        <f t="shared" si="1"/>
        <v>1.4101767184238768E-3</v>
      </c>
      <c r="J12" s="56">
        <f t="shared" si="4"/>
        <v>1.5680333521094218E-4</v>
      </c>
      <c r="K12" s="56">
        <f>(B12+B$13)/B$17   *  (C12+C$13)/C$17   *    (D12+D$13)/D$17   *    (E12+E$13)/E$17   *    (F12+F$13)/F$17     -   (B$13)/B$17   *  (C$13)/C$17   *    (D$13)/D$17   *    (E12+E$13)/E$17   *    (F12 + F$13)/F$17</f>
        <v>2.9837701051041524E-5</v>
      </c>
      <c r="M12" s="5" t="str">
        <f t="shared" si="2"/>
        <v>L4</v>
      </c>
      <c r="N12" s="131">
        <f>BaseA!N12</f>
        <v>4</v>
      </c>
      <c r="O12" s="131">
        <f>BaseA!O12</f>
        <v>12</v>
      </c>
      <c r="P12" s="131">
        <f>BaseA!P12</f>
        <v>40</v>
      </c>
      <c r="R12" s="5"/>
      <c r="S12" s="5"/>
      <c r="T12" s="240"/>
      <c r="U12" s="240"/>
      <c r="V12" s="70"/>
      <c r="W12" s="111"/>
      <c r="X12" s="111"/>
      <c r="Y12" s="111"/>
      <c r="AA12" s="66"/>
      <c r="AB12" s="66"/>
      <c r="AC12" s="66"/>
      <c r="AD12" s="66"/>
      <c r="AE12" s="6"/>
    </row>
    <row r="13" spans="1:32" x14ac:dyDescent="0.35">
      <c r="A13" s="5" t="s">
        <v>36</v>
      </c>
      <c r="B13" s="53">
        <v>0</v>
      </c>
      <c r="C13" s="53">
        <v>0</v>
      </c>
      <c r="D13" s="53">
        <v>0</v>
      </c>
      <c r="E13" s="53">
        <v>0</v>
      </c>
      <c r="F13" s="53">
        <v>0</v>
      </c>
      <c r="H13" s="5" t="str">
        <f t="shared" si="0"/>
        <v>W</v>
      </c>
      <c r="I13" s="55">
        <f>(B$13)/B$17   *  (C$13)/C$17   *    (D$13)/D$17   *    (E$17 - E$13-E4-E5)/E$17     -      (B$13)/B$17   *  (C$13)/C$17   *    (D$13)/D$17   *  (    E6/E17   *  (F6 + F13)/F17      +     E7/E17   *  (F7 + F13)/F17      +   E8/E17   *  (F8 + F13)/F17      +     E9/E17  *  (F9+F13)/F17           +     E10/E17  *  (F10+F13)/F17                                )</f>
        <v>0</v>
      </c>
      <c r="J13" s="56">
        <f>(B$13)/B$17   *  (C$13)/C$17   *    (D$13)/D$17   *    (E$13)/E$17   *    (F$17 - F$13-F4)/F$17</f>
        <v>0</v>
      </c>
      <c r="K13" s="56">
        <f>(B$13)/B$17   *  (C$13)/C$17   *    (D$13)/D$17   *    (E$13)/E$17   *    (F$13)/F$17</f>
        <v>0</v>
      </c>
      <c r="M13" s="5" t="str">
        <f t="shared" si="2"/>
        <v>W</v>
      </c>
      <c r="N13" s="131">
        <f>BaseA!N13</f>
        <v>40</v>
      </c>
      <c r="O13" s="131">
        <f>BaseA!O13</f>
        <v>200</v>
      </c>
      <c r="P13" s="131">
        <f>BaseA!P13</f>
        <v>1000</v>
      </c>
      <c r="R13" s="5"/>
      <c r="S13" s="5"/>
      <c r="T13" s="240"/>
      <c r="U13" s="240"/>
      <c r="V13" s="6"/>
    </row>
    <row r="14" spans="1:32" x14ac:dyDescent="0.35">
      <c r="A14" s="5"/>
      <c r="B14" s="53"/>
      <c r="C14" s="53"/>
      <c r="D14" s="53"/>
      <c r="E14" s="53"/>
      <c r="F14" s="53"/>
      <c r="H14" s="5"/>
      <c r="I14" s="73"/>
      <c r="J14" s="74"/>
      <c r="K14" s="74"/>
      <c r="M14" s="5"/>
      <c r="N14" s="52"/>
      <c r="O14" s="52"/>
      <c r="P14" s="52"/>
      <c r="R14" s="5"/>
      <c r="S14" s="66"/>
      <c r="T14" s="66"/>
      <c r="U14" s="66"/>
      <c r="V14" s="6"/>
      <c r="Y14" s="2"/>
      <c r="Z14" s="14"/>
      <c r="AC14" s="66"/>
      <c r="AD14" s="66"/>
      <c r="AE14" s="6"/>
    </row>
    <row r="15" spans="1:32" x14ac:dyDescent="0.35">
      <c r="A15" s="5" t="s">
        <v>93</v>
      </c>
      <c r="B15" s="53">
        <v>0</v>
      </c>
      <c r="C15" s="53">
        <v>0</v>
      </c>
      <c r="D15" s="53">
        <v>0</v>
      </c>
      <c r="E15" s="53">
        <v>0</v>
      </c>
      <c r="F15" s="53">
        <v>1</v>
      </c>
      <c r="H15" s="5" t="s">
        <v>159</v>
      </c>
      <c r="I15" s="56">
        <f>P68</f>
        <v>6.7554976978083667E-3</v>
      </c>
      <c r="J15" s="56">
        <f>P69</f>
        <v>6.2828697973847008E-3</v>
      </c>
      <c r="K15" s="56">
        <f>P70</f>
        <v>6.0612882147376467E-3</v>
      </c>
      <c r="L15" s="23">
        <f>P71</f>
        <v>5.8433417428200626E-3</v>
      </c>
      <c r="M15" s="5" t="str">
        <f>BaseB!M15</f>
        <v>Bonus Game:</v>
      </c>
      <c r="N15" s="52">
        <f>BaseB!N15</f>
        <v>28.718256245000003</v>
      </c>
      <c r="O15" s="52">
        <f>BaseB!O15</f>
        <v>31.00371105</v>
      </c>
      <c r="P15" s="52">
        <f>BaseB!P15</f>
        <v>32.782395392176042</v>
      </c>
      <c r="Q15">
        <f>Bonus_Game4!B22</f>
        <v>34.120454680000009</v>
      </c>
      <c r="S15" s="3"/>
      <c r="T15" s="69"/>
      <c r="U15" s="69"/>
      <c r="AA15" s="5"/>
      <c r="AB15" s="31"/>
      <c r="AC15" s="69"/>
      <c r="AE15" s="70"/>
    </row>
    <row r="16" spans="1:32" x14ac:dyDescent="0.35">
      <c r="A16" s="5" t="s">
        <v>59</v>
      </c>
      <c r="B16" s="53">
        <f>B56 * 3  +  B57 * 2 + B58 * 1</f>
        <v>18</v>
      </c>
      <c r="C16" s="53">
        <f t="shared" ref="C16:E16" si="5">C56 * 3  +  C57 * 2 + C58 * 1</f>
        <v>18</v>
      </c>
      <c r="D16" s="53">
        <f t="shared" si="5"/>
        <v>18</v>
      </c>
      <c r="E16" s="53">
        <f t="shared" si="5"/>
        <v>18</v>
      </c>
      <c r="F16" s="53">
        <v>0</v>
      </c>
      <c r="H16" s="5"/>
      <c r="I16" s="14"/>
      <c r="K16" s="14"/>
      <c r="M16" s="5"/>
      <c r="N16" s="52"/>
      <c r="O16" s="54"/>
      <c r="P16" s="54"/>
      <c r="Q16" s="1"/>
      <c r="R16" s="3"/>
      <c r="T16" s="69"/>
      <c r="U16" s="69"/>
      <c r="AB16" s="31"/>
      <c r="AC16" s="69"/>
      <c r="AE16" s="70"/>
    </row>
    <row r="17" spans="1:32" x14ac:dyDescent="0.35">
      <c r="A17" s="5" t="s">
        <v>6</v>
      </c>
      <c r="B17">
        <f>SUM(B4:B16)</f>
        <v>77</v>
      </c>
      <c r="C17">
        <f>SUM(C4:C16)</f>
        <v>77</v>
      </c>
      <c r="D17">
        <f>SUM(D4:D16)</f>
        <v>77</v>
      </c>
      <c r="E17">
        <f>SUM(E4:E16)</f>
        <v>77</v>
      </c>
      <c r="F17">
        <f>SUM(F4:F16)</f>
        <v>1201</v>
      </c>
      <c r="H17" s="5"/>
      <c r="I17" s="5"/>
      <c r="J17" s="5"/>
      <c r="M17" s="5"/>
      <c r="N17" s="52"/>
      <c r="O17" s="18"/>
      <c r="P17" s="18"/>
      <c r="Q17" s="1"/>
      <c r="T17" s="5"/>
      <c r="Z17" s="5"/>
      <c r="AB17" s="31"/>
      <c r="AE17" s="70"/>
    </row>
    <row r="18" spans="1:32" x14ac:dyDescent="0.35">
      <c r="A18" s="5"/>
      <c r="H18" s="5"/>
      <c r="I18" s="19"/>
      <c r="J18" s="5"/>
      <c r="K18" s="14"/>
      <c r="M18" s="5"/>
      <c r="N18" s="5"/>
      <c r="Q18" s="1"/>
      <c r="AB18" s="31"/>
      <c r="AE18" s="70"/>
    </row>
    <row r="19" spans="1:32" x14ac:dyDescent="0.35">
      <c r="A19" s="5"/>
      <c r="H19" s="5"/>
      <c r="I19" s="19"/>
      <c r="K19" s="14"/>
      <c r="M19" s="5"/>
      <c r="N19" s="5"/>
      <c r="O19" s="6"/>
      <c r="Q19" s="1"/>
      <c r="AB19" s="31"/>
      <c r="AE19" s="70"/>
    </row>
    <row r="20" spans="1:32" x14ac:dyDescent="0.35">
      <c r="A20" s="5"/>
      <c r="J20" s="17"/>
      <c r="K20" s="20"/>
      <c r="M20" s="5"/>
      <c r="O20" s="3"/>
      <c r="R20" s="3"/>
      <c r="S20" s="3"/>
      <c r="AE20" s="70"/>
    </row>
    <row r="21" spans="1:32" x14ac:dyDescent="0.35">
      <c r="A21" s="1" t="s">
        <v>94</v>
      </c>
      <c r="B21" s="60">
        <f>F15/F17  *  4</f>
        <v>3.3305578684429643E-3</v>
      </c>
      <c r="C21" t="s">
        <v>96</v>
      </c>
      <c r="D21" s="83">
        <f>1/B21</f>
        <v>300.25</v>
      </c>
      <c r="E21" t="s">
        <v>99</v>
      </c>
      <c r="F21" s="26">
        <f>SUM(B27:F27)</f>
        <v>41.516883116883115</v>
      </c>
      <c r="J21" s="15"/>
      <c r="K21" s="15"/>
      <c r="O21" s="88"/>
      <c r="P21" s="6"/>
      <c r="S21" s="3"/>
      <c r="AA21" s="3"/>
      <c r="AE21" s="70"/>
    </row>
    <row r="22" spans="1:32" ht="16.899999999999999" customHeight="1" x14ac:dyDescent="0.35">
      <c r="A22" s="1"/>
      <c r="B22" s="26"/>
      <c r="F22" s="26"/>
      <c r="O22" s="85"/>
      <c r="Q22" s="5"/>
      <c r="AE22" s="12"/>
    </row>
    <row r="23" spans="1:32" x14ac:dyDescent="0.35">
      <c r="H23" t="s">
        <v>9</v>
      </c>
      <c r="O23" s="28"/>
      <c r="P23" s="27"/>
      <c r="S23" s="16"/>
      <c r="U23" s="16"/>
      <c r="AB23" s="60"/>
      <c r="AC23" s="16"/>
      <c r="AD23" s="16"/>
      <c r="AE23" s="25"/>
    </row>
    <row r="24" spans="1:32" ht="24" customHeight="1" x14ac:dyDescent="0.35">
      <c r="B24" t="str">
        <f>B3</f>
        <v>Reel1</v>
      </c>
      <c r="C24" t="str">
        <f t="shared" ref="C24:F24" si="6">C3</f>
        <v>Reel2</v>
      </c>
      <c r="D24" t="str">
        <f t="shared" si="6"/>
        <v>Reel3</v>
      </c>
      <c r="E24" t="str">
        <f t="shared" si="6"/>
        <v>Reel4</v>
      </c>
      <c r="F24" t="str">
        <f t="shared" si="6"/>
        <v>Reel5</v>
      </c>
      <c r="G24" s="21"/>
      <c r="H24" t="str">
        <f>H3</f>
        <v>Pattern</v>
      </c>
      <c r="I24" t="str">
        <f>I3</f>
        <v>3Hit</v>
      </c>
      <c r="J24" t="str">
        <f>J3</f>
        <v>4Hit</v>
      </c>
      <c r="K24" t="str">
        <f>K3</f>
        <v>5Hit</v>
      </c>
      <c r="L24" t="s">
        <v>6</v>
      </c>
      <c r="N24" s="1" t="s">
        <v>112</v>
      </c>
      <c r="O24" s="130" t="s">
        <v>12</v>
      </c>
      <c r="P24" s="127" t="s">
        <v>9</v>
      </c>
      <c r="Q24" s="1"/>
      <c r="AB24" s="80"/>
      <c r="AE24" s="70"/>
    </row>
    <row r="25" spans="1:32" x14ac:dyDescent="0.35">
      <c r="A25" t="s">
        <v>98</v>
      </c>
      <c r="B25" s="148">
        <f>B16/B17  *  4</f>
        <v>0.93506493506493504</v>
      </c>
      <c r="C25" s="148">
        <f t="shared" ref="C25:F25" si="7">C16/C17  *  4</f>
        <v>0.93506493506493504</v>
      </c>
      <c r="D25" s="148">
        <f t="shared" si="7"/>
        <v>0.93506493506493504</v>
      </c>
      <c r="E25" s="148">
        <f t="shared" si="7"/>
        <v>0.93506493506493504</v>
      </c>
      <c r="F25" s="148">
        <f t="shared" si="7"/>
        <v>0</v>
      </c>
      <c r="G25" s="22"/>
      <c r="H25" s="5" t="str">
        <f t="shared" ref="H25:H34" si="8">A4</f>
        <v>H1</v>
      </c>
      <c r="I25" s="72">
        <f t="shared" ref="I25:K34" si="9">I4 * N4</f>
        <v>1.1367437599495303E-3</v>
      </c>
      <c r="J25" s="72">
        <f t="shared" si="9"/>
        <v>1.7696949234491193E-4</v>
      </c>
      <c r="K25" s="72">
        <f t="shared" si="9"/>
        <v>3.6836667964248791E-5</v>
      </c>
      <c r="L25" s="72">
        <f t="shared" ref="L25:L34" si="10">SUM(I25:K25)</f>
        <v>1.350549920258691E-3</v>
      </c>
      <c r="N25" s="244">
        <f>BaseB!N25</f>
        <v>0.5</v>
      </c>
      <c r="O25" s="193">
        <v>0.05</v>
      </c>
      <c r="P25" s="181">
        <f>N25 * O25</f>
        <v>2.5000000000000001E-2</v>
      </c>
      <c r="R25" s="6">
        <f>SUM(O$25:O25)  * 10000</f>
        <v>500</v>
      </c>
      <c r="T25" s="23"/>
      <c r="V25" s="70"/>
      <c r="AA25" s="70"/>
      <c r="AB25" s="80"/>
    </row>
    <row r="26" spans="1:32" x14ac:dyDescent="0.35">
      <c r="A26" t="s">
        <v>97</v>
      </c>
      <c r="B26" s="147">
        <f>$P46</f>
        <v>11.1</v>
      </c>
      <c r="C26" s="147">
        <f>$P46</f>
        <v>11.1</v>
      </c>
      <c r="D26" s="147">
        <f>$P46</f>
        <v>11.1</v>
      </c>
      <c r="E26" s="147">
        <f>$P46</f>
        <v>11.1</v>
      </c>
      <c r="F26" s="147">
        <f>$P46</f>
        <v>11.1</v>
      </c>
      <c r="H26" s="5" t="str">
        <f t="shared" si="8"/>
        <v>H2</v>
      </c>
      <c r="I26" s="72">
        <f t="shared" si="9"/>
        <v>2.1264732118054883E-3</v>
      </c>
      <c r="J26" s="72">
        <f t="shared" si="9"/>
        <v>4.1075158648530265E-4</v>
      </c>
      <c r="K26" s="72">
        <f t="shared" si="9"/>
        <v>8.731654628562679E-5</v>
      </c>
      <c r="L26" s="72">
        <f t="shared" si="10"/>
        <v>2.6245413445764175E-3</v>
      </c>
      <c r="N26" s="244">
        <f>BaseB!N26</f>
        <v>1</v>
      </c>
      <c r="O26" s="193">
        <v>0.05</v>
      </c>
      <c r="P26" s="181">
        <f t="shared" ref="P26:P45" si="11">N26 * O26</f>
        <v>0.05</v>
      </c>
      <c r="R26" s="6">
        <f>SUM(O$25:O26)  * 10000</f>
        <v>1000</v>
      </c>
      <c r="T26" s="23"/>
      <c r="V26" s="70"/>
      <c r="AB26" s="80"/>
      <c r="AD26" s="70"/>
      <c r="AE26" s="70"/>
    </row>
    <row r="27" spans="1:32" x14ac:dyDescent="0.35">
      <c r="A27" t="s">
        <v>9</v>
      </c>
      <c r="B27" s="26">
        <f>B25 * B26</f>
        <v>10.379220779220779</v>
      </c>
      <c r="C27" s="26">
        <f t="shared" ref="C27:F27" si="12">C25 * C26</f>
        <v>10.379220779220779</v>
      </c>
      <c r="D27" s="26">
        <f t="shared" si="12"/>
        <v>10.379220779220779</v>
      </c>
      <c r="E27" s="26">
        <f t="shared" si="12"/>
        <v>10.379220779220779</v>
      </c>
      <c r="F27" s="26">
        <f t="shared" si="12"/>
        <v>0</v>
      </c>
      <c r="H27" s="5" t="str">
        <f t="shared" si="8"/>
        <v>H3</v>
      </c>
      <c r="I27" s="72">
        <f t="shared" si="9"/>
        <v>3.0722804322960281E-3</v>
      </c>
      <c r="J27" s="72">
        <f t="shared" si="9"/>
        <v>6.5432931617307919E-4</v>
      </c>
      <c r="K27" s="72">
        <f t="shared" si="9"/>
        <v>1.7054012946411475E-4</v>
      </c>
      <c r="L27" s="72">
        <f t="shared" si="10"/>
        <v>3.8971498779332221E-3</v>
      </c>
      <c r="N27" s="244">
        <f>BaseB!N27</f>
        <v>1.5</v>
      </c>
      <c r="O27" s="193">
        <v>0.05</v>
      </c>
      <c r="P27" s="181">
        <f t="shared" si="11"/>
        <v>7.5000000000000011E-2</v>
      </c>
      <c r="R27" s="6">
        <f>SUM(O$25:O27)  * 10000</f>
        <v>1500.0000000000002</v>
      </c>
      <c r="T27" s="23"/>
      <c r="V27" s="70"/>
      <c r="AA27" s="70"/>
      <c r="AB27" s="80"/>
      <c r="AD27" s="70"/>
      <c r="AE27" s="70"/>
    </row>
    <row r="28" spans="1:32" x14ac:dyDescent="0.35">
      <c r="H28" s="5" t="str">
        <f t="shared" si="8"/>
        <v>H4</v>
      </c>
      <c r="I28" s="72">
        <f t="shared" si="9"/>
        <v>3.490110571088288E-3</v>
      </c>
      <c r="J28" s="72">
        <f t="shared" si="9"/>
        <v>9.2914355495156886E-4</v>
      </c>
      <c r="K28" s="72">
        <f t="shared" si="9"/>
        <v>2.9469334371399038E-4</v>
      </c>
      <c r="L28" s="72">
        <f t="shared" si="10"/>
        <v>4.7139474697538465E-3</v>
      </c>
      <c r="N28" s="244">
        <f>BaseB!N28</f>
        <v>2</v>
      </c>
      <c r="O28" s="193">
        <v>0.05</v>
      </c>
      <c r="P28" s="181">
        <f t="shared" si="11"/>
        <v>0.1</v>
      </c>
      <c r="R28" s="6">
        <f>SUM(O$25:O28)  * 10000</f>
        <v>2000</v>
      </c>
      <c r="T28" s="23"/>
      <c r="V28" s="81"/>
      <c r="AA28" s="70"/>
      <c r="AE28" s="81"/>
    </row>
    <row r="29" spans="1:32" ht="15.5" x14ac:dyDescent="0.35">
      <c r="H29" s="5" t="str">
        <f t="shared" si="8"/>
        <v>H5</v>
      </c>
      <c r="I29" s="72">
        <f t="shared" si="9"/>
        <v>5.4641076429205659E-3</v>
      </c>
      <c r="J29" s="72">
        <f t="shared" si="9"/>
        <v>1.6831362385499281E-3</v>
      </c>
      <c r="K29" s="72">
        <f t="shared" si="9"/>
        <v>6.5514696134934345E-4</v>
      </c>
      <c r="L29" s="72">
        <f t="shared" si="10"/>
        <v>7.8023908428198376E-3</v>
      </c>
      <c r="N29" s="244">
        <f>BaseB!N29</f>
        <v>2.5</v>
      </c>
      <c r="O29" s="193">
        <v>0.05</v>
      </c>
      <c r="P29" s="181">
        <f t="shared" si="11"/>
        <v>0.125</v>
      </c>
      <c r="R29" s="6">
        <f>SUM(O$25:O29)  * 10000</f>
        <v>2500</v>
      </c>
      <c r="T29" s="23"/>
      <c r="V29" s="70"/>
      <c r="Z29" s="13"/>
      <c r="AD29" s="70"/>
      <c r="AE29" s="70"/>
    </row>
    <row r="30" spans="1:32" ht="15.5" x14ac:dyDescent="0.35">
      <c r="H30" s="5" t="str">
        <f t="shared" si="8"/>
        <v>L1</v>
      </c>
      <c r="I30" s="72">
        <f t="shared" si="9"/>
        <v>8.0398165268262285E-3</v>
      </c>
      <c r="J30" s="72">
        <f t="shared" si="9"/>
        <v>1.6035198633431551E-3</v>
      </c>
      <c r="K30" s="72">
        <f t="shared" si="9"/>
        <v>9.7794531839902029E-4</v>
      </c>
      <c r="L30" s="72">
        <f t="shared" si="10"/>
        <v>1.0621281708568403E-2</v>
      </c>
      <c r="N30" s="244">
        <f>BaseB!N30</f>
        <v>3</v>
      </c>
      <c r="O30" s="193">
        <v>0.05</v>
      </c>
      <c r="P30" s="181">
        <f t="shared" si="11"/>
        <v>0.15000000000000002</v>
      </c>
      <c r="R30" s="6">
        <f>SUM(O$25:O30)  * 10000</f>
        <v>3000</v>
      </c>
      <c r="V30" s="70"/>
      <c r="Z30" s="13"/>
      <c r="AA30" s="70"/>
      <c r="AB30" s="70"/>
      <c r="AD30" s="70"/>
      <c r="AE30" s="70"/>
    </row>
    <row r="31" spans="1:32" ht="15.5" x14ac:dyDescent="0.35">
      <c r="A31" t="s">
        <v>230</v>
      </c>
      <c r="B31" t="str">
        <f>B3</f>
        <v>Reel1</v>
      </c>
      <c r="C31" t="str">
        <f t="shared" ref="C31:E31" si="13">C3</f>
        <v>Reel2</v>
      </c>
      <c r="D31" t="str">
        <f t="shared" si="13"/>
        <v>Reel3</v>
      </c>
      <c r="E31" t="str">
        <f t="shared" si="13"/>
        <v>Reel4</v>
      </c>
      <c r="H31" s="5" t="str">
        <f t="shared" si="8"/>
        <v>L2</v>
      </c>
      <c r="I31" s="72">
        <f t="shared" si="9"/>
        <v>8.0398165268262285E-3</v>
      </c>
      <c r="J31" s="72">
        <f t="shared" si="9"/>
        <v>1.6035198633431551E-3</v>
      </c>
      <c r="K31" s="72">
        <f t="shared" si="9"/>
        <v>9.7794531839902029E-4</v>
      </c>
      <c r="L31" s="72">
        <f t="shared" si="10"/>
        <v>1.0621281708568403E-2</v>
      </c>
      <c r="N31" s="244">
        <f>BaseB!N31</f>
        <v>3.5</v>
      </c>
      <c r="O31" s="193">
        <v>0.05</v>
      </c>
      <c r="P31" s="181">
        <f t="shared" si="11"/>
        <v>0.17500000000000002</v>
      </c>
      <c r="R31" s="6">
        <f>SUM(O$25:O31)  * 10000</f>
        <v>3500</v>
      </c>
      <c r="T31" s="23"/>
      <c r="V31" s="70"/>
      <c r="W31" s="3"/>
      <c r="Z31" s="82"/>
      <c r="AD31" s="70"/>
      <c r="AE31" s="70"/>
      <c r="AF31" s="3"/>
    </row>
    <row r="32" spans="1:32" ht="15.5" x14ac:dyDescent="0.35">
      <c r="A32" t="s">
        <v>231</v>
      </c>
      <c r="B32" s="17">
        <f>SUM(B62:B64)</f>
        <v>0.62337662337662336</v>
      </c>
      <c r="C32" s="17">
        <f t="shared" ref="C32:E32" si="14">SUM(C62:C64)</f>
        <v>0.62337662337662336</v>
      </c>
      <c r="D32" s="17">
        <f t="shared" si="14"/>
        <v>0.62337662337662336</v>
      </c>
      <c r="E32" s="17">
        <f t="shared" si="14"/>
        <v>0.62337662337662336</v>
      </c>
      <c r="H32" s="5" t="str">
        <f t="shared" si="8"/>
        <v>L3</v>
      </c>
      <c r="I32" s="72">
        <f t="shared" si="9"/>
        <v>5.6407068736955071E-3</v>
      </c>
      <c r="J32" s="72">
        <f t="shared" si="9"/>
        <v>1.8816400225313062E-3</v>
      </c>
      <c r="K32" s="72">
        <f t="shared" si="9"/>
        <v>1.193508042041661E-3</v>
      </c>
      <c r="L32" s="72">
        <f t="shared" si="10"/>
        <v>8.7158549382684736E-3</v>
      </c>
      <c r="N32" s="244">
        <f>BaseB!N32</f>
        <v>4</v>
      </c>
      <c r="O32" s="193">
        <v>0.05</v>
      </c>
      <c r="P32" s="181">
        <f t="shared" si="11"/>
        <v>0.2</v>
      </c>
      <c r="R32" s="6">
        <f>SUM(O$25:O32)  * 10000</f>
        <v>3999.9999999999995</v>
      </c>
      <c r="T32" s="23"/>
      <c r="V32" s="70"/>
      <c r="W32" s="3"/>
      <c r="Z32" s="82"/>
      <c r="AA32" s="70"/>
      <c r="AB32" s="70"/>
      <c r="AD32" s="70"/>
      <c r="AE32" s="70"/>
      <c r="AF32" s="3"/>
    </row>
    <row r="33" spans="1:31" ht="15.5" x14ac:dyDescent="0.35">
      <c r="A33" t="s">
        <v>232</v>
      </c>
      <c r="B33" s="17">
        <f>B65</f>
        <v>0.37662337662337664</v>
      </c>
      <c r="C33" s="17">
        <f t="shared" ref="C33:E33" si="15">C65</f>
        <v>0.37662337662337664</v>
      </c>
      <c r="D33" s="17">
        <f t="shared" si="15"/>
        <v>0.37662337662337664</v>
      </c>
      <c r="E33" s="17">
        <f t="shared" si="15"/>
        <v>0.37662337662337664</v>
      </c>
      <c r="F33" s="3"/>
      <c r="G33" s="3"/>
      <c r="H33" s="5" t="str">
        <f t="shared" si="8"/>
        <v>L4</v>
      </c>
      <c r="I33" s="72">
        <f t="shared" si="9"/>
        <v>5.6407068736955071E-3</v>
      </c>
      <c r="J33" s="72">
        <f t="shared" si="9"/>
        <v>1.8816400225313062E-3</v>
      </c>
      <c r="K33" s="72">
        <f t="shared" si="9"/>
        <v>1.193508042041661E-3</v>
      </c>
      <c r="L33" s="72">
        <f t="shared" si="10"/>
        <v>8.7158549382684736E-3</v>
      </c>
      <c r="N33" s="244">
        <f>BaseB!N33</f>
        <v>5</v>
      </c>
      <c r="O33" s="193">
        <v>0.05</v>
      </c>
      <c r="P33" s="181">
        <f t="shared" si="11"/>
        <v>0.25</v>
      </c>
      <c r="R33" s="6">
        <f>SUM(O$25:O33)  * 10000</f>
        <v>4500</v>
      </c>
      <c r="T33" s="3"/>
      <c r="V33" s="70"/>
      <c r="Z33" s="82"/>
      <c r="AA33" s="70"/>
      <c r="AB33" s="70"/>
      <c r="AD33" s="70"/>
      <c r="AE33" s="70"/>
    </row>
    <row r="34" spans="1:31" ht="15.5" x14ac:dyDescent="0.35">
      <c r="H34" s="5" t="str">
        <f t="shared" si="8"/>
        <v>W</v>
      </c>
      <c r="I34" s="72">
        <f t="shared" si="9"/>
        <v>0</v>
      </c>
      <c r="J34" s="72">
        <f t="shared" si="9"/>
        <v>0</v>
      </c>
      <c r="K34" s="72">
        <f t="shared" si="9"/>
        <v>0</v>
      </c>
      <c r="L34" s="72">
        <f t="shared" si="10"/>
        <v>0</v>
      </c>
      <c r="N34" s="244">
        <f>BaseB!N34</f>
        <v>6</v>
      </c>
      <c r="O34" s="193">
        <v>0.05</v>
      </c>
      <c r="P34" s="181">
        <f t="shared" si="11"/>
        <v>0.30000000000000004</v>
      </c>
      <c r="R34" s="6">
        <f>SUM(O$25:O34)  * 10000</f>
        <v>4999.9999999999991</v>
      </c>
      <c r="T34" s="23"/>
      <c r="V34" s="70"/>
      <c r="Z34" s="82"/>
      <c r="AA34" s="70"/>
      <c r="AB34" s="70"/>
      <c r="AD34" s="70"/>
      <c r="AE34" s="70"/>
    </row>
    <row r="35" spans="1:31" ht="15.5" x14ac:dyDescent="0.35">
      <c r="A35" s="11" t="s">
        <v>233</v>
      </c>
      <c r="B35" s="72">
        <f>B33 * C33 * D33 * E33</f>
        <v>2.0120051633655253E-2</v>
      </c>
      <c r="H35" s="5"/>
      <c r="I35" s="11"/>
      <c r="J35" s="11"/>
      <c r="K35" s="11"/>
      <c r="L35" s="72"/>
      <c r="M35" s="13"/>
      <c r="N35" s="244">
        <f>BaseB!N35</f>
        <v>7</v>
      </c>
      <c r="O35" s="193">
        <v>0.05</v>
      </c>
      <c r="P35" s="181">
        <f t="shared" si="11"/>
        <v>0.35000000000000003</v>
      </c>
      <c r="Q35" s="23"/>
      <c r="R35" s="6">
        <f>SUM(O$25:O35)  * 10000</f>
        <v>5499.9999999999991</v>
      </c>
      <c r="T35" s="81"/>
      <c r="V35" s="81"/>
      <c r="Z35" s="82"/>
      <c r="AA35" s="70"/>
      <c r="AB35" s="81"/>
      <c r="AD35" s="70"/>
      <c r="AE35" s="81"/>
    </row>
    <row r="36" spans="1:31" ht="15.5" x14ac:dyDescent="0.35">
      <c r="A36" s="11" t="s">
        <v>234</v>
      </c>
      <c r="B36" s="72">
        <f>1-B35</f>
        <v>0.97987994836634473</v>
      </c>
      <c r="H36" s="5"/>
      <c r="I36" s="11"/>
      <c r="J36" s="11"/>
      <c r="K36" s="11"/>
      <c r="L36" s="72"/>
      <c r="M36" s="13"/>
      <c r="N36" s="244">
        <f>BaseB!N36</f>
        <v>8</v>
      </c>
      <c r="O36" s="193">
        <v>0.05</v>
      </c>
      <c r="P36" s="181">
        <f t="shared" si="11"/>
        <v>0.4</v>
      </c>
      <c r="R36" s="6">
        <f>SUM(O$25:O36)  * 10000</f>
        <v>6000</v>
      </c>
      <c r="T36" s="3"/>
      <c r="Z36" s="82"/>
      <c r="AA36" s="3"/>
      <c r="AD36" s="29"/>
      <c r="AE36" s="70"/>
    </row>
    <row r="37" spans="1:31" ht="15.5" x14ac:dyDescent="0.35">
      <c r="A37" s="11" t="s">
        <v>94</v>
      </c>
      <c r="B37" s="262">
        <f>B21</f>
        <v>3.3305578684429643E-3</v>
      </c>
      <c r="C37" s="242"/>
      <c r="D37" s="138"/>
      <c r="E37" s="243"/>
      <c r="F37" s="26"/>
      <c r="G37" s="85"/>
      <c r="H37" s="5"/>
      <c r="I37" s="11"/>
      <c r="J37" s="11"/>
      <c r="K37" s="11"/>
      <c r="L37" s="72"/>
      <c r="M37" s="13"/>
      <c r="N37" s="244">
        <f>BaseB!N37</f>
        <v>9</v>
      </c>
      <c r="O37" s="193">
        <v>0.05</v>
      </c>
      <c r="P37" s="181">
        <f t="shared" si="11"/>
        <v>0.45</v>
      </c>
      <c r="Q37" s="80"/>
      <c r="R37" s="6">
        <f>SUM(O$25:O37)  * 10000</f>
        <v>6500</v>
      </c>
      <c r="T37" s="239"/>
      <c r="Z37" s="82"/>
      <c r="AA37" s="3"/>
      <c r="AE37" s="70"/>
    </row>
    <row r="38" spans="1:31" x14ac:dyDescent="0.35">
      <c r="B38" s="3"/>
      <c r="C38" s="242"/>
      <c r="D38" s="138"/>
      <c r="E38" s="243"/>
      <c r="F38" s="26"/>
      <c r="G38" s="85"/>
      <c r="H38" s="5"/>
      <c r="I38" s="11"/>
      <c r="J38" s="11"/>
      <c r="K38" s="11"/>
      <c r="L38" s="72"/>
      <c r="N38" s="244">
        <f>BaseB!N38</f>
        <v>10</v>
      </c>
      <c r="O38" s="193">
        <v>0.05</v>
      </c>
      <c r="P38" s="181">
        <f t="shared" si="11"/>
        <v>0.5</v>
      </c>
      <c r="Q38" s="34"/>
      <c r="R38" s="6">
        <f>SUM(O$25:O38)  * 10000</f>
        <v>7000.0000000000009</v>
      </c>
      <c r="T38" s="238"/>
      <c r="AA38" s="3"/>
    </row>
    <row r="39" spans="1:31" x14ac:dyDescent="0.35">
      <c r="A39" s="1" t="s">
        <v>235</v>
      </c>
      <c r="B39" s="23">
        <f>B36 * B37</f>
        <v>3.2635468721610148E-3</v>
      </c>
      <c r="C39" s="242"/>
      <c r="D39" s="138"/>
      <c r="E39" s="243"/>
      <c r="F39" s="26"/>
      <c r="G39" s="85"/>
      <c r="H39" s="5"/>
      <c r="I39" s="71">
        <f t="shared" ref="I39:K39" si="16">SUM(I25:I38)</f>
        <v>4.2650762419103372E-2</v>
      </c>
      <c r="J39" s="71">
        <f t="shared" si="16"/>
        <v>1.0824649960253716E-2</v>
      </c>
      <c r="K39" s="71">
        <f t="shared" si="16"/>
        <v>5.5874403696586873E-3</v>
      </c>
      <c r="L39" s="71">
        <f>SUM(L25:L38)</f>
        <v>5.9062852749015765E-2</v>
      </c>
      <c r="N39" s="244">
        <f>BaseB!N39</f>
        <v>12</v>
      </c>
      <c r="O39" s="193">
        <v>0.05</v>
      </c>
      <c r="P39" s="181">
        <f t="shared" si="11"/>
        <v>0.60000000000000009</v>
      </c>
      <c r="Q39" s="34"/>
      <c r="R39" s="6">
        <f>SUM(O$25:O39)  * 10000</f>
        <v>7500.0000000000009</v>
      </c>
      <c r="AA39" s="5"/>
      <c r="AB39" s="92"/>
      <c r="AC39" s="93"/>
    </row>
    <row r="40" spans="1:31" x14ac:dyDescent="0.35">
      <c r="B40" s="3"/>
      <c r="C40" s="242"/>
      <c r="D40" s="138"/>
      <c r="E40" s="243"/>
      <c r="F40" s="26"/>
      <c r="G40" s="85"/>
      <c r="H40" s="5"/>
      <c r="I40" s="25"/>
      <c r="J40" s="25"/>
      <c r="K40" s="25"/>
      <c r="L40" s="25"/>
      <c r="N40" s="244">
        <f>BaseB!N40</f>
        <v>15</v>
      </c>
      <c r="O40" s="193">
        <v>0.05</v>
      </c>
      <c r="P40" s="181">
        <f t="shared" si="11"/>
        <v>0.75</v>
      </c>
      <c r="R40" s="6">
        <f>SUM(O$25:O40)  * 10000</f>
        <v>8000.0000000000018</v>
      </c>
      <c r="T40" s="80"/>
      <c r="AA40" s="31"/>
      <c r="AB40" s="92"/>
      <c r="AC40" s="93"/>
    </row>
    <row r="41" spans="1:31" x14ac:dyDescent="0.35">
      <c r="B41" s="3"/>
      <c r="C41" s="242"/>
      <c r="D41" s="138"/>
      <c r="E41" s="243"/>
      <c r="F41" s="26"/>
      <c r="G41" s="85"/>
      <c r="I41" s="70"/>
      <c r="J41" s="70"/>
      <c r="K41" s="25"/>
      <c r="L41" s="25"/>
      <c r="N41" s="244">
        <f>BaseB!N41</f>
        <v>20</v>
      </c>
      <c r="O41" s="193">
        <v>0.04</v>
      </c>
      <c r="P41" s="181">
        <f t="shared" si="11"/>
        <v>0.8</v>
      </c>
      <c r="R41" s="6">
        <f>SUM(O$25:O41)  * 10000</f>
        <v>8400.0000000000018</v>
      </c>
      <c r="AA41" s="94"/>
      <c r="AB41" s="92"/>
      <c r="AC41" s="93"/>
    </row>
    <row r="42" spans="1:31" x14ac:dyDescent="0.35">
      <c r="B42" s="23"/>
      <c r="C42" s="23"/>
      <c r="D42" s="23"/>
      <c r="E42" s="23"/>
      <c r="F42" s="26"/>
      <c r="G42" s="85"/>
      <c r="N42" s="244">
        <f>BaseB!N42</f>
        <v>25</v>
      </c>
      <c r="O42" s="193">
        <v>0.04</v>
      </c>
      <c r="P42" s="181">
        <f t="shared" si="11"/>
        <v>1</v>
      </c>
      <c r="R42" s="6">
        <f>SUM(O$25:O42)  * 10000</f>
        <v>8800.0000000000018</v>
      </c>
      <c r="AA42" s="94"/>
      <c r="AB42" s="92"/>
      <c r="AC42" s="93"/>
    </row>
    <row r="43" spans="1:31" x14ac:dyDescent="0.35">
      <c r="I43" s="83"/>
      <c r="N43" s="244">
        <f>BaseB!N43</f>
        <v>30</v>
      </c>
      <c r="O43" s="193">
        <v>0.04</v>
      </c>
      <c r="P43" s="181">
        <f t="shared" si="11"/>
        <v>1.2</v>
      </c>
      <c r="R43" s="6">
        <f>SUM(O$25:O43)  * 10000</f>
        <v>9200.0000000000018</v>
      </c>
      <c r="AA43" s="94"/>
      <c r="AB43" s="92"/>
      <c r="AC43" s="93"/>
    </row>
    <row r="44" spans="1:31" x14ac:dyDescent="0.35">
      <c r="I44" s="83"/>
      <c r="J44" s="70"/>
      <c r="K44" s="20"/>
      <c r="N44" s="244">
        <f>BaseB!N44</f>
        <v>40</v>
      </c>
      <c r="O44" s="193">
        <v>0.04</v>
      </c>
      <c r="P44" s="181">
        <f t="shared" si="11"/>
        <v>1.6</v>
      </c>
      <c r="R44" s="6">
        <f>SUM(O$25:O44)  * 10000</f>
        <v>9600.0000000000036</v>
      </c>
      <c r="AA44" s="94"/>
      <c r="AB44" s="92"/>
      <c r="AC44" s="93"/>
    </row>
    <row r="45" spans="1:31" x14ac:dyDescent="0.35">
      <c r="K45" s="20"/>
      <c r="N45" s="244">
        <f>BaseB!N45</f>
        <v>50</v>
      </c>
      <c r="O45" s="193">
        <v>0.04</v>
      </c>
      <c r="P45" s="181">
        <f t="shared" si="11"/>
        <v>2</v>
      </c>
      <c r="R45" s="6">
        <f>SUM(O$25:O45)  * 10000</f>
        <v>10000.000000000002</v>
      </c>
      <c r="AA45" s="30"/>
      <c r="AB45" s="92"/>
    </row>
    <row r="46" spans="1:31" x14ac:dyDescent="0.35">
      <c r="C46" s="26"/>
      <c r="I46" s="83"/>
      <c r="J46" s="70"/>
      <c r="K46" s="20"/>
      <c r="O46" s="146">
        <f>SUM(O25:O45)</f>
        <v>1.0000000000000002</v>
      </c>
      <c r="P46" s="180">
        <f>SUM(P25:P45)</f>
        <v>11.1</v>
      </c>
      <c r="R46" s="6"/>
      <c r="S46" s="30"/>
      <c r="AA46" s="30"/>
    </row>
    <row r="47" spans="1:31" x14ac:dyDescent="0.35">
      <c r="B47" s="7"/>
      <c r="C47" s="7"/>
      <c r="D47" s="7"/>
      <c r="E47" s="7"/>
      <c r="F47" s="7"/>
      <c r="I47" s="83"/>
      <c r="J47" s="70"/>
      <c r="K47" s="20"/>
      <c r="O47" s="70"/>
      <c r="P47" s="138"/>
      <c r="Q47" s="33"/>
      <c r="R47" s="6"/>
      <c r="S47" s="30"/>
      <c r="AA47" s="30"/>
    </row>
    <row r="48" spans="1:31" x14ac:dyDescent="0.35">
      <c r="B48" s="7"/>
      <c r="C48" s="7"/>
      <c r="D48" s="7"/>
      <c r="E48" s="7"/>
      <c r="F48" s="7"/>
      <c r="I48" s="83"/>
      <c r="J48" s="70"/>
      <c r="K48" s="20"/>
      <c r="O48" s="70"/>
      <c r="P48" s="138"/>
      <c r="R48" s="6"/>
      <c r="S48" s="30"/>
      <c r="U48" s="50"/>
      <c r="AA48" s="30"/>
    </row>
    <row r="49" spans="1:49" x14ac:dyDescent="0.35">
      <c r="C49" s="26"/>
      <c r="I49" s="83"/>
      <c r="J49" s="70"/>
      <c r="K49" s="20"/>
      <c r="O49" s="70"/>
      <c r="P49" s="138"/>
      <c r="R49" s="6"/>
      <c r="S49" s="30"/>
      <c r="AA49" s="30"/>
    </row>
    <row r="50" spans="1:49" x14ac:dyDescent="0.35">
      <c r="C50" s="26"/>
      <c r="I50" s="83"/>
      <c r="J50" s="70"/>
      <c r="K50" s="20"/>
      <c r="S50" s="30"/>
      <c r="AA50" s="30"/>
    </row>
    <row r="51" spans="1:49" x14ac:dyDescent="0.35">
      <c r="I51" s="83"/>
      <c r="J51" s="76"/>
      <c r="K51" s="15"/>
      <c r="L51" s="25"/>
      <c r="S51" s="30"/>
      <c r="AA51" s="30"/>
      <c r="AG51" s="24"/>
      <c r="AH51" s="24"/>
      <c r="AI51" s="24"/>
      <c r="AJ51" s="24"/>
      <c r="AK51" s="24"/>
      <c r="AL51" s="24"/>
      <c r="AM51" s="24"/>
      <c r="AN51" s="24"/>
      <c r="AO51" s="24"/>
      <c r="AP51" s="24"/>
      <c r="AQ51" s="24"/>
      <c r="AR51" s="24"/>
      <c r="AS51" s="24"/>
      <c r="AT51" s="24"/>
      <c r="AU51" s="24"/>
      <c r="AV51" s="24"/>
    </row>
    <row r="52" spans="1:49" x14ac:dyDescent="0.35">
      <c r="C52" s="83"/>
      <c r="D52" s="70"/>
      <c r="I52" s="83"/>
      <c r="J52" s="70"/>
      <c r="K52" s="75"/>
      <c r="T52" s="2"/>
      <c r="W52" s="2"/>
      <c r="X52" s="2"/>
      <c r="Y52" s="2"/>
      <c r="Z52" s="2"/>
      <c r="AB52" s="2"/>
      <c r="AD52" s="2"/>
      <c r="AF52" s="2"/>
      <c r="AG52" s="2"/>
      <c r="AH52" s="2"/>
      <c r="AI52" s="2"/>
      <c r="AJ52" s="2"/>
      <c r="AK52" s="2"/>
      <c r="AL52" s="2"/>
      <c r="AM52" s="2"/>
      <c r="AN52" s="2"/>
      <c r="AO52" s="2"/>
      <c r="AP52" s="2"/>
      <c r="AQ52" s="2"/>
      <c r="AR52" s="2"/>
      <c r="AS52" s="2"/>
      <c r="AT52" s="2"/>
      <c r="AU52" s="2"/>
      <c r="AV52" s="2"/>
    </row>
    <row r="53" spans="1:49" x14ac:dyDescent="0.35">
      <c r="I53" s="83"/>
      <c r="J53" s="70"/>
      <c r="K53" s="20"/>
      <c r="AW53" s="25"/>
    </row>
    <row r="54" spans="1:49" x14ac:dyDescent="0.35">
      <c r="I54" s="83"/>
      <c r="J54" s="70"/>
      <c r="K54" s="20"/>
      <c r="AW54" s="25"/>
    </row>
    <row r="55" spans="1:49" ht="23.5" customHeight="1" x14ac:dyDescent="0.35">
      <c r="A55" t="s">
        <v>141</v>
      </c>
      <c r="B55" t="str">
        <f>B3</f>
        <v>Reel1</v>
      </c>
      <c r="C55" t="str">
        <f t="shared" ref="C55:E55" si="17">C3</f>
        <v>Reel2</v>
      </c>
      <c r="D55" t="str">
        <f t="shared" si="17"/>
        <v>Reel3</v>
      </c>
      <c r="E55" t="str">
        <f t="shared" si="17"/>
        <v>Reel4</v>
      </c>
      <c r="G55" s="14"/>
      <c r="I55" s="83"/>
      <c r="J55" s="70"/>
      <c r="K55" s="77"/>
      <c r="L55" s="15"/>
      <c r="AW55" s="25"/>
    </row>
    <row r="56" spans="1:49" x14ac:dyDescent="0.35">
      <c r="A56" s="11" t="s">
        <v>142</v>
      </c>
      <c r="B56" s="11">
        <v>2</v>
      </c>
      <c r="C56" s="11">
        <v>2</v>
      </c>
      <c r="D56" s="11">
        <v>2</v>
      </c>
      <c r="E56" s="11">
        <v>2</v>
      </c>
      <c r="I56" s="83"/>
      <c r="J56" s="70"/>
      <c r="K56" s="20"/>
      <c r="N56" s="87"/>
      <c r="AW56" s="25"/>
    </row>
    <row r="57" spans="1:49" x14ac:dyDescent="0.35">
      <c r="A57" s="11" t="s">
        <v>143</v>
      </c>
      <c r="B57" s="11">
        <v>4</v>
      </c>
      <c r="C57" s="11">
        <v>4</v>
      </c>
      <c r="D57" s="11">
        <v>4</v>
      </c>
      <c r="E57" s="11">
        <v>4</v>
      </c>
      <c r="I57" s="83"/>
      <c r="K57" s="20"/>
      <c r="N57" s="6"/>
      <c r="S57" s="3"/>
      <c r="AW57" s="25"/>
    </row>
    <row r="58" spans="1:49" ht="18.5" x14ac:dyDescent="0.45">
      <c r="A58" s="11" t="s">
        <v>144</v>
      </c>
      <c r="B58" s="195">
        <v>4</v>
      </c>
      <c r="C58" s="195">
        <v>4</v>
      </c>
      <c r="D58" s="195">
        <v>4</v>
      </c>
      <c r="E58" s="195">
        <v>4</v>
      </c>
      <c r="F58" s="87"/>
      <c r="I58" s="83"/>
      <c r="J58" s="70"/>
      <c r="K58" s="20"/>
      <c r="L58" s="42"/>
      <c r="M58" s="5"/>
      <c r="N58" s="33"/>
      <c r="S58" s="3"/>
      <c r="AW58" s="25"/>
    </row>
    <row r="59" spans="1:49" x14ac:dyDescent="0.35">
      <c r="B59" s="87"/>
      <c r="G59" s="23"/>
      <c r="I59" s="83"/>
      <c r="M59" s="5"/>
      <c r="N59" s="6"/>
      <c r="S59" s="3"/>
      <c r="AW59" s="25"/>
    </row>
    <row r="60" spans="1:49" x14ac:dyDescent="0.35">
      <c r="B60" s="124"/>
      <c r="C60" s="43"/>
      <c r="D60" s="43"/>
      <c r="E60" s="43"/>
      <c r="F60" s="43"/>
      <c r="G60" s="32"/>
      <c r="I60" s="83"/>
      <c r="S60" s="3"/>
      <c r="AW60" s="25"/>
    </row>
    <row r="61" spans="1:49" ht="15.5" x14ac:dyDescent="0.35">
      <c r="A61" s="5" t="s">
        <v>12</v>
      </c>
      <c r="B61" s="33" t="str">
        <f>B55</f>
        <v>Reel1</v>
      </c>
      <c r="C61" s="33" t="str">
        <f t="shared" ref="C61:E61" si="18">C55</f>
        <v>Reel2</v>
      </c>
      <c r="D61" s="33" t="str">
        <f t="shared" si="18"/>
        <v>Reel3</v>
      </c>
      <c r="E61" s="33" t="str">
        <f t="shared" si="18"/>
        <v>Reel4</v>
      </c>
      <c r="G61" s="23"/>
      <c r="I61" s="83"/>
      <c r="L61" s="41"/>
      <c r="N61" s="23"/>
      <c r="S61" s="3"/>
      <c r="AW61" s="25"/>
    </row>
    <row r="62" spans="1:49" ht="15.5" x14ac:dyDescent="0.35">
      <c r="A62" s="172">
        <v>3</v>
      </c>
      <c r="B62" s="196">
        <f>B56 * 2 /B17</f>
        <v>5.1948051948051951E-2</v>
      </c>
      <c r="C62" s="196">
        <f t="shared" ref="C62:E62" si="19">C56 * 2 /C17</f>
        <v>5.1948051948051951E-2</v>
      </c>
      <c r="D62" s="196">
        <f t="shared" si="19"/>
        <v>5.1948051948051951E-2</v>
      </c>
      <c r="E62" s="196">
        <f t="shared" si="19"/>
        <v>5.1948051948051951E-2</v>
      </c>
      <c r="G62" s="23"/>
      <c r="I62" s="83"/>
      <c r="L62" s="41"/>
      <c r="M62" s="5"/>
      <c r="S62" s="3"/>
      <c r="AW62" s="25"/>
    </row>
    <row r="63" spans="1:49" x14ac:dyDescent="0.35">
      <c r="A63" s="172">
        <v>2</v>
      </c>
      <c r="B63" s="197">
        <f>(B56 * 2    +  B57 * 3  )/B17</f>
        <v>0.20779220779220781</v>
      </c>
      <c r="C63" s="197">
        <f t="shared" ref="C63:E63" si="20">(C56 * 2    +  C57 * 3  )/C17</f>
        <v>0.20779220779220781</v>
      </c>
      <c r="D63" s="197">
        <f t="shared" si="20"/>
        <v>0.20779220779220781</v>
      </c>
      <c r="E63" s="197">
        <f t="shared" si="20"/>
        <v>0.20779220779220781</v>
      </c>
      <c r="F63" s="3"/>
      <c r="G63" s="23"/>
      <c r="I63" s="83"/>
      <c r="M63" s="5"/>
      <c r="S63" s="3"/>
      <c r="AW63" s="25"/>
    </row>
    <row r="64" spans="1:49" x14ac:dyDescent="0.35">
      <c r="A64" s="172">
        <v>1</v>
      </c>
      <c r="B64" s="197">
        <f>(B56 * 2  +  B57 * 2  +  B58 * 4) / B17</f>
        <v>0.36363636363636365</v>
      </c>
      <c r="C64" s="197">
        <f t="shared" ref="C64:E64" si="21">(C56 * 2  +  C57 * 2  +  C58 * 4) / C17</f>
        <v>0.36363636363636365</v>
      </c>
      <c r="D64" s="197">
        <f t="shared" si="21"/>
        <v>0.36363636363636365</v>
      </c>
      <c r="E64" s="197">
        <f t="shared" si="21"/>
        <v>0.36363636363636365</v>
      </c>
      <c r="I64" s="83"/>
      <c r="M64" s="5"/>
      <c r="S64" s="3"/>
      <c r="AW64" s="25"/>
    </row>
    <row r="65" spans="1:49" x14ac:dyDescent="0.35">
      <c r="A65" s="172">
        <v>0</v>
      </c>
      <c r="B65" s="197">
        <f>1-SUM(B62:B64)</f>
        <v>0.37662337662337664</v>
      </c>
      <c r="C65" s="197">
        <f t="shared" ref="C65:E65" si="22">1-SUM(C62:C64)</f>
        <v>0.37662337662337664</v>
      </c>
      <c r="D65" s="197">
        <f t="shared" si="22"/>
        <v>0.37662337662337664</v>
      </c>
      <c r="E65" s="197">
        <f t="shared" si="22"/>
        <v>0.37662337662337664</v>
      </c>
      <c r="G65" s="38"/>
      <c r="H65" s="39"/>
      <c r="I65" s="194"/>
      <c r="J65" s="39"/>
      <c r="M65" s="5"/>
      <c r="S65" s="3"/>
      <c r="AW65" s="25"/>
    </row>
    <row r="66" spans="1:49" x14ac:dyDescent="0.35">
      <c r="A66" s="5" t="s">
        <v>11</v>
      </c>
      <c r="B66" s="37">
        <f>SUM(B62:B65)</f>
        <v>1</v>
      </c>
      <c r="C66" s="37">
        <f t="shared" ref="C66:E66" si="23">SUM(C62:C65)</f>
        <v>1</v>
      </c>
      <c r="D66" s="37">
        <f t="shared" si="23"/>
        <v>1</v>
      </c>
      <c r="E66" s="37">
        <f t="shared" si="23"/>
        <v>1</v>
      </c>
      <c r="G66" s="23" t="str">
        <f>Summary!F9</f>
        <v>Bronze</v>
      </c>
      <c r="H66" s="16">
        <f>1/4</f>
        <v>0.25</v>
      </c>
      <c r="I66" s="83"/>
      <c r="M66" s="201" t="s">
        <v>149</v>
      </c>
      <c r="S66" s="3"/>
      <c r="AW66" s="25"/>
    </row>
    <row r="67" spans="1:49" x14ac:dyDescent="0.35">
      <c r="A67" s="5"/>
      <c r="B67" s="67"/>
      <c r="G67" s="23" t="str">
        <f>Summary!F10</f>
        <v>Silver</v>
      </c>
      <c r="H67" s="16">
        <f t="shared" ref="H67:H69" si="24">1/4</f>
        <v>0.25</v>
      </c>
      <c r="I67" s="83"/>
      <c r="M67" s="2" t="s">
        <v>153</v>
      </c>
      <c r="N67" s="2" t="s">
        <v>150</v>
      </c>
      <c r="O67" s="2" t="s">
        <v>151</v>
      </c>
      <c r="P67" s="2" t="s">
        <v>152</v>
      </c>
      <c r="Q67" s="2" t="s">
        <v>125</v>
      </c>
      <c r="S67" s="3"/>
      <c r="AW67" s="25"/>
    </row>
    <row r="68" spans="1:49" x14ac:dyDescent="0.35">
      <c r="A68" s="5"/>
      <c r="B68" s="37"/>
      <c r="C68" s="26"/>
      <c r="G68" s="23" t="str">
        <f>Summary!F11</f>
        <v>Gold</v>
      </c>
      <c r="H68" s="16">
        <f t="shared" si="24"/>
        <v>0.25</v>
      </c>
      <c r="I68" s="83"/>
      <c r="M68" s="260" t="s">
        <v>172</v>
      </c>
      <c r="N68" s="308">
        <f>I84</f>
        <v>0.61413615434621516</v>
      </c>
      <c r="O68" s="214">
        <f>BaseB!O68</f>
        <v>1.0999999999999999E-2</v>
      </c>
      <c r="P68" s="308">
        <f>N68 * O68</f>
        <v>6.7554976978083667E-3</v>
      </c>
      <c r="Q68" s="309">
        <f>1/P68</f>
        <v>148.02758356714742</v>
      </c>
      <c r="S68" s="3"/>
      <c r="AW68" s="25"/>
    </row>
    <row r="69" spans="1:49" x14ac:dyDescent="0.35">
      <c r="A69" s="5"/>
      <c r="B69" s="37"/>
      <c r="C69" s="26"/>
      <c r="G69" s="23" t="str">
        <f>Summary!F12</f>
        <v>Platinum</v>
      </c>
      <c r="H69" s="16">
        <f t="shared" si="24"/>
        <v>0.25</v>
      </c>
      <c r="I69" s="83"/>
      <c r="M69" s="260" t="s">
        <v>175</v>
      </c>
      <c r="N69" s="308">
        <f>J84</f>
        <v>0.61413615434621516</v>
      </c>
      <c r="O69" s="214">
        <f>BaseB!O69</f>
        <v>1.03E-2</v>
      </c>
      <c r="P69" s="308">
        <f>N69 * O69  *  (  1 - P68 )</f>
        <v>6.2828697973847008E-3</v>
      </c>
      <c r="Q69" s="309">
        <f t="shared" ref="Q69:Q71" si="25">1/P69</f>
        <v>159.16293544969827</v>
      </c>
      <c r="S69" s="3"/>
      <c r="AW69" s="25"/>
    </row>
    <row r="70" spans="1:49" x14ac:dyDescent="0.35">
      <c r="A70" s="5"/>
      <c r="B70" s="37"/>
      <c r="C70" s="26"/>
      <c r="G70" s="23" t="s">
        <v>145</v>
      </c>
      <c r="H70" t="s">
        <v>12</v>
      </c>
      <c r="I70" s="83" t="s">
        <v>146</v>
      </c>
      <c r="J70" t="s">
        <v>147</v>
      </c>
      <c r="K70" t="s">
        <v>148</v>
      </c>
      <c r="L70" t="str">
        <f>BaseB!L70</f>
        <v>Chance of at least 1 Platinum</v>
      </c>
      <c r="M70" s="260" t="s">
        <v>176</v>
      </c>
      <c r="N70" s="308">
        <f>K84</f>
        <v>0.61413615434621516</v>
      </c>
      <c r="O70" s="214">
        <f>BaseB!O70</f>
        <v>0.01</v>
      </c>
      <c r="P70" s="308">
        <f>N70 * O70  *   (  1 - P68 )   *   (  1 - N69 * O69 )</f>
        <v>6.0612882147376467E-3</v>
      </c>
      <c r="Q70" s="309">
        <f t="shared" si="25"/>
        <v>164.98143044387197</v>
      </c>
      <c r="S70" s="3"/>
      <c r="AW70" s="25"/>
    </row>
    <row r="71" spans="1:49" x14ac:dyDescent="0.35">
      <c r="A71" s="5">
        <v>12</v>
      </c>
      <c r="B71" s="37">
        <v>7.2824425061831791E-6</v>
      </c>
      <c r="C71" s="26"/>
      <c r="G71">
        <v>0</v>
      </c>
      <c r="H71" s="33">
        <f>SUMIFS(B$71:B$326,  A$71:A$326,  "="&amp;G71 )</f>
        <v>2.0120051633655253E-2</v>
      </c>
      <c r="I71" s="306"/>
      <c r="J71" s="260"/>
      <c r="K71" s="260"/>
      <c r="L71" s="215"/>
      <c r="M71" s="260" t="s">
        <v>276</v>
      </c>
      <c r="N71" s="310">
        <f>L84</f>
        <v>0.61413615434621516</v>
      </c>
      <c r="O71" s="214">
        <f>BaseB!O71</f>
        <v>9.7000000000000003E-3</v>
      </c>
      <c r="P71" s="254">
        <f>N71 * O71  *  (1 -P68 )  *  ( 1 - N69 * O69 )  *  ( 1 - N70 * O70 )</f>
        <v>5.8433417428200626E-3</v>
      </c>
      <c r="Q71" s="309">
        <f t="shared" si="25"/>
        <v>171.13495051504358</v>
      </c>
      <c r="S71" s="3"/>
      <c r="AW71" s="25"/>
    </row>
    <row r="72" spans="1:49" x14ac:dyDescent="0.35">
      <c r="A72" s="5">
        <v>11</v>
      </c>
      <c r="B72" s="33">
        <v>2.9129770024732716E-5</v>
      </c>
      <c r="C72" s="26"/>
      <c r="G72">
        <v>1</v>
      </c>
      <c r="H72" s="33">
        <f>SUMIFS(B$71:B$326,  A$71:A$326,  "="&amp;G72 )</f>
        <v>7.7705026998944424E-2</v>
      </c>
      <c r="I72" s="306">
        <f>(1 - BINOMDIST(0,G72,H$66, FALSE)  )   *  H72</f>
        <v>1.9426256749736106E-2</v>
      </c>
      <c r="J72" s="307">
        <f>(  1 - BINOMDIST(0,G72,H$67, FALSE)  )   *  H72</f>
        <v>1.9426256749736106E-2</v>
      </c>
      <c r="K72" s="215">
        <f>(1 - BINOMDIST(0,G72,H$68, FALSE)  )  *  H72</f>
        <v>1.9426256749736106E-2</v>
      </c>
      <c r="L72" s="215">
        <f>(1 - BINOMDIST(0,G72,H$69, FALSE)  )  *  H72</f>
        <v>1.9426256749736106E-2</v>
      </c>
      <c r="M72" s="2"/>
      <c r="N72" s="303"/>
      <c r="O72" s="2"/>
      <c r="P72" s="303">
        <f>SUM(P68:P71)</f>
        <v>2.4942997452750776E-2</v>
      </c>
      <c r="Q72" s="311">
        <f>1/P72</f>
        <v>40.091412505425147</v>
      </c>
      <c r="S72" s="3"/>
      <c r="AW72" s="25"/>
    </row>
    <row r="73" spans="1:49" x14ac:dyDescent="0.35">
      <c r="A73" s="5">
        <v>10</v>
      </c>
      <c r="B73" s="33">
        <v>5.0977097543282252E-5</v>
      </c>
      <c r="C73" s="26"/>
      <c r="G73">
        <v>2</v>
      </c>
      <c r="H73" s="33">
        <f t="shared" ref="H73:H83" si="26">SUMIFS(B$71:B$326,  A$71:A$326,  "="&amp;G73 )</f>
        <v>0.15694118753481387</v>
      </c>
      <c r="I73" s="306">
        <f t="shared" ref="I73:I83" si="27">(1 - BINOMDIST(0,G73,H$66, FALSE)  )   *  H73</f>
        <v>6.8661769546481066E-2</v>
      </c>
      <c r="J73" s="307">
        <f t="shared" ref="J73:J83" si="28">(  1 - BINOMDIST(0,G73,H$67, FALSE)  )   *  H73</f>
        <v>6.8661769546481066E-2</v>
      </c>
      <c r="K73" s="215">
        <f t="shared" ref="K73:K83" si="29">(1 - BINOMDIST(0,G73,H$68, FALSE)  )  *  H73</f>
        <v>6.8661769546481066E-2</v>
      </c>
      <c r="L73" s="215">
        <f t="shared" ref="L73:L83" si="30">(1 - BINOMDIST(0,G73,H$69, FALSE)  )  *  H73</f>
        <v>6.8661769546481066E-2</v>
      </c>
      <c r="S73" s="3"/>
      <c r="AW73" s="25"/>
    </row>
    <row r="74" spans="1:49" x14ac:dyDescent="0.35">
      <c r="A74" s="5">
        <v>9</v>
      </c>
      <c r="B74" s="33">
        <v>5.2797708169828052E-5</v>
      </c>
      <c r="C74" s="26"/>
      <c r="G74">
        <v>3</v>
      </c>
      <c r="H74" s="33">
        <f t="shared" si="26"/>
        <v>0.21215439085341156</v>
      </c>
      <c r="I74" s="306">
        <f t="shared" si="27"/>
        <v>0.12265175721212856</v>
      </c>
      <c r="J74" s="307">
        <f t="shared" si="28"/>
        <v>0.12265175721212856</v>
      </c>
      <c r="K74" s="215">
        <f t="shared" si="29"/>
        <v>0.12265175721212856</v>
      </c>
      <c r="L74" s="215">
        <f t="shared" si="30"/>
        <v>0.12265175721212856</v>
      </c>
      <c r="M74" s="5"/>
      <c r="S74" s="3"/>
      <c r="AW74" s="25"/>
    </row>
    <row r="75" spans="1:49" x14ac:dyDescent="0.35">
      <c r="A75" s="5">
        <v>11</v>
      </c>
      <c r="B75" s="33">
        <v>2.9129770024732716E-5</v>
      </c>
      <c r="C75" s="26"/>
      <c r="G75">
        <v>4</v>
      </c>
      <c r="H75" s="33">
        <f t="shared" si="26"/>
        <v>0.21056636323440689</v>
      </c>
      <c r="I75" s="306">
        <f t="shared" si="27"/>
        <v>0.14394184986727032</v>
      </c>
      <c r="J75" s="307">
        <f t="shared" si="28"/>
        <v>0.14394184986727032</v>
      </c>
      <c r="K75" s="215">
        <f t="shared" si="29"/>
        <v>0.14394184986727032</v>
      </c>
      <c r="L75" s="215">
        <f t="shared" si="30"/>
        <v>0.14394184986727032</v>
      </c>
      <c r="M75" s="5"/>
      <c r="S75" s="3"/>
      <c r="AW75" s="25"/>
    </row>
    <row r="76" spans="1:49" x14ac:dyDescent="0.35">
      <c r="A76" s="5">
        <v>10</v>
      </c>
      <c r="B76" s="33">
        <v>1.1651908009893087E-4</v>
      </c>
      <c r="C76" s="26"/>
      <c r="G76">
        <v>5</v>
      </c>
      <c r="H76" s="33">
        <f t="shared" si="26"/>
        <v>0.16034481910114132</v>
      </c>
      <c r="I76" s="306">
        <f t="shared" si="27"/>
        <v>0.12229424191210095</v>
      </c>
      <c r="J76" s="307">
        <f t="shared" si="28"/>
        <v>0.12229424191210095</v>
      </c>
      <c r="K76" s="215">
        <f t="shared" si="29"/>
        <v>0.12229424191210095</v>
      </c>
      <c r="L76" s="215">
        <f t="shared" si="30"/>
        <v>0.12229424191210095</v>
      </c>
      <c r="S76" s="3"/>
      <c r="AW76" s="25"/>
    </row>
    <row r="77" spans="1:49" x14ac:dyDescent="0.35">
      <c r="A77" s="5">
        <v>9</v>
      </c>
      <c r="B77" s="33">
        <v>2.0390839017312901E-4</v>
      </c>
      <c r="C77" s="26"/>
      <c r="G77">
        <v>6</v>
      </c>
      <c r="H77" s="33">
        <f t="shared" si="26"/>
        <v>9.5541094154556999E-2</v>
      </c>
      <c r="I77" s="306">
        <f t="shared" si="27"/>
        <v>7.8536832035740578E-2</v>
      </c>
      <c r="J77" s="307">
        <f t="shared" si="28"/>
        <v>7.8536832035740578E-2</v>
      </c>
      <c r="K77" s="215">
        <f t="shared" si="29"/>
        <v>7.8536832035740578E-2</v>
      </c>
      <c r="L77" s="215">
        <f t="shared" si="30"/>
        <v>7.8536832035740578E-2</v>
      </c>
      <c r="S77" s="3"/>
      <c r="AW77" s="25"/>
    </row>
    <row r="78" spans="1:49" x14ac:dyDescent="0.35">
      <c r="A78">
        <v>8</v>
      </c>
      <c r="B78" s="33">
        <v>2.1119083267931221E-4</v>
      </c>
      <c r="G78">
        <v>7</v>
      </c>
      <c r="H78" s="33">
        <f t="shared" si="26"/>
        <v>4.4750609200495624E-2</v>
      </c>
      <c r="I78" s="306">
        <f t="shared" si="27"/>
        <v>3.8777123951381616E-2</v>
      </c>
      <c r="J78" s="307">
        <f t="shared" si="28"/>
        <v>3.8777123951381616E-2</v>
      </c>
      <c r="K78" s="215">
        <f t="shared" si="29"/>
        <v>3.8777123951381616E-2</v>
      </c>
      <c r="L78" s="215">
        <f t="shared" si="30"/>
        <v>3.8777123951381616E-2</v>
      </c>
      <c r="M78" s="5"/>
      <c r="S78" s="3"/>
      <c r="AW78" s="25"/>
    </row>
    <row r="79" spans="1:49" x14ac:dyDescent="0.35">
      <c r="A79">
        <v>10</v>
      </c>
      <c r="B79">
        <v>5.0977097543282252E-5</v>
      </c>
      <c r="G79">
        <v>8</v>
      </c>
      <c r="H79" s="33">
        <f t="shared" si="26"/>
        <v>1.6327236098862687E-2</v>
      </c>
      <c r="I79" s="306">
        <f t="shared" si="27"/>
        <v>1.4692668898474533E-2</v>
      </c>
      <c r="J79" s="307">
        <f t="shared" si="28"/>
        <v>1.4692668898474533E-2</v>
      </c>
      <c r="K79" s="215">
        <f t="shared" si="29"/>
        <v>1.4692668898474533E-2</v>
      </c>
      <c r="L79" s="215">
        <f t="shared" si="30"/>
        <v>1.4692668898474533E-2</v>
      </c>
      <c r="S79" s="3"/>
      <c r="AW79" s="25"/>
    </row>
    <row r="80" spans="1:49" x14ac:dyDescent="0.35">
      <c r="A80">
        <v>9</v>
      </c>
      <c r="B80">
        <v>2.0390839017312901E-4</v>
      </c>
      <c r="G80">
        <v>9</v>
      </c>
      <c r="H80" s="33">
        <f t="shared" si="26"/>
        <v>4.5223967963397543E-3</v>
      </c>
      <c r="I80" s="306">
        <f t="shared" si="27"/>
        <v>4.1828340516560864E-3</v>
      </c>
      <c r="J80" s="307">
        <f t="shared" si="28"/>
        <v>4.1828340516560864E-3</v>
      </c>
      <c r="K80" s="215">
        <f t="shared" si="29"/>
        <v>4.1828340516560864E-3</v>
      </c>
      <c r="L80" s="215">
        <f t="shared" si="30"/>
        <v>4.1828340516560864E-3</v>
      </c>
      <c r="S80" s="3"/>
      <c r="AW80" s="25"/>
    </row>
    <row r="81" spans="1:49" x14ac:dyDescent="0.35">
      <c r="A81">
        <v>8</v>
      </c>
      <c r="B81">
        <v>3.5683968280297574E-4</v>
      </c>
      <c r="G81">
        <v>10</v>
      </c>
      <c r="H81" s="33">
        <f t="shared" si="26"/>
        <v>9.0302287076671434E-4</v>
      </c>
      <c r="I81" s="306">
        <f t="shared" si="27"/>
        <v>8.5217047905080279E-4</v>
      </c>
      <c r="J81" s="307">
        <f t="shared" si="28"/>
        <v>8.5217047905080279E-4</v>
      </c>
      <c r="K81" s="215">
        <f t="shared" si="29"/>
        <v>8.5217047905080279E-4</v>
      </c>
      <c r="L81" s="215">
        <f t="shared" si="30"/>
        <v>8.5217047905080279E-4</v>
      </c>
      <c r="M81" s="5"/>
      <c r="S81" s="3"/>
      <c r="AW81" s="25"/>
    </row>
    <row r="82" spans="1:49" x14ac:dyDescent="0.35">
      <c r="A82">
        <v>7</v>
      </c>
      <c r="B82">
        <v>3.6958395718879631E-4</v>
      </c>
      <c r="G82">
        <v>11</v>
      </c>
      <c r="H82" s="33">
        <f t="shared" si="26"/>
        <v>1.1651908009893087E-4</v>
      </c>
      <c r="I82" s="306">
        <f t="shared" si="27"/>
        <v>1.1159788090061684E-4</v>
      </c>
      <c r="J82" s="307">
        <f t="shared" si="28"/>
        <v>1.1159788090061684E-4</v>
      </c>
      <c r="K82" s="215">
        <f t="shared" si="29"/>
        <v>1.1159788090061684E-4</v>
      </c>
      <c r="L82" s="215">
        <f t="shared" si="30"/>
        <v>1.1159788090061684E-4</v>
      </c>
      <c r="S82" s="3"/>
      <c r="AW82" s="25"/>
    </row>
    <row r="83" spans="1:49" x14ac:dyDescent="0.35">
      <c r="A83">
        <v>9</v>
      </c>
      <c r="B83">
        <v>5.2797708169828046E-5</v>
      </c>
      <c r="G83">
        <v>12</v>
      </c>
      <c r="H83" s="33">
        <f t="shared" si="26"/>
        <v>7.2824425061831791E-6</v>
      </c>
      <c r="I83" s="306">
        <f t="shared" si="27"/>
        <v>7.0517612937622094E-6</v>
      </c>
      <c r="J83" s="307">
        <f t="shared" si="28"/>
        <v>7.0517612937622094E-6</v>
      </c>
      <c r="K83" s="215">
        <f t="shared" si="29"/>
        <v>7.0517612937622094E-6</v>
      </c>
      <c r="L83" s="215">
        <f t="shared" si="30"/>
        <v>7.0517612937622094E-6</v>
      </c>
      <c r="S83" s="3"/>
      <c r="AW83" s="25"/>
    </row>
    <row r="84" spans="1:49" x14ac:dyDescent="0.35">
      <c r="A84">
        <v>8</v>
      </c>
      <c r="B84">
        <v>2.1119083267931218E-4</v>
      </c>
      <c r="H84" s="33">
        <f>SUM(H71:H83)</f>
        <v>1.0000000000000002</v>
      </c>
      <c r="I84" s="199">
        <f>SUM(I72:I83)</f>
        <v>0.61413615434621516</v>
      </c>
      <c r="J84" s="199">
        <f t="shared" ref="J84:L84" si="31">SUM(J72:J83)</f>
        <v>0.61413615434621516</v>
      </c>
      <c r="K84" s="199">
        <f t="shared" si="31"/>
        <v>0.61413615434621516</v>
      </c>
      <c r="L84" s="218">
        <f t="shared" si="31"/>
        <v>0.61413615434621516</v>
      </c>
      <c r="S84" s="3"/>
      <c r="AW84" s="25"/>
    </row>
    <row r="85" spans="1:49" x14ac:dyDescent="0.35">
      <c r="A85">
        <v>7</v>
      </c>
      <c r="B85">
        <v>3.6958395718879631E-4</v>
      </c>
      <c r="I85" s="83"/>
      <c r="M85" s="5"/>
      <c r="S85" s="3"/>
      <c r="AW85" s="25"/>
    </row>
    <row r="86" spans="1:49" x14ac:dyDescent="0.35">
      <c r="A86">
        <v>6</v>
      </c>
      <c r="B86">
        <v>3.827833842312533E-4</v>
      </c>
      <c r="I86" s="83"/>
      <c r="M86" s="5"/>
      <c r="S86" s="3"/>
      <c r="AW86" s="25"/>
    </row>
    <row r="87" spans="1:49" x14ac:dyDescent="0.35">
      <c r="A87">
        <v>11</v>
      </c>
      <c r="B87">
        <v>2.9129770024732716E-5</v>
      </c>
      <c r="I87" s="83"/>
      <c r="S87" s="3"/>
      <c r="AW87" s="25"/>
    </row>
    <row r="88" spans="1:49" x14ac:dyDescent="0.35">
      <c r="A88">
        <v>10</v>
      </c>
      <c r="B88">
        <v>1.1651908009893087E-4</v>
      </c>
      <c r="I88" s="83"/>
      <c r="S88" s="3"/>
      <c r="AW88" s="25"/>
    </row>
    <row r="89" spans="1:49" x14ac:dyDescent="0.35">
      <c r="A89">
        <v>9</v>
      </c>
      <c r="B89">
        <v>2.0390839017312901E-4</v>
      </c>
      <c r="I89" s="83"/>
      <c r="M89" s="5"/>
      <c r="S89" s="3"/>
      <c r="AW89" s="25"/>
    </row>
    <row r="90" spans="1:49" x14ac:dyDescent="0.35">
      <c r="A90">
        <v>8</v>
      </c>
      <c r="B90">
        <v>2.1119083267931221E-4</v>
      </c>
      <c r="G90" s="23"/>
      <c r="I90" s="83"/>
      <c r="M90" s="5"/>
      <c r="S90" s="3"/>
      <c r="AW90" s="25"/>
    </row>
    <row r="91" spans="1:49" x14ac:dyDescent="0.35">
      <c r="A91">
        <v>10</v>
      </c>
      <c r="B91">
        <v>1.1651908009893087E-4</v>
      </c>
      <c r="G91" s="23"/>
      <c r="I91" s="83"/>
      <c r="S91" s="3"/>
      <c r="AW91" s="25"/>
    </row>
    <row r="92" spans="1:49" x14ac:dyDescent="0.35">
      <c r="A92">
        <v>9</v>
      </c>
      <c r="B92">
        <v>4.6607632039572346E-4</v>
      </c>
      <c r="G92" s="23"/>
      <c r="I92" s="83"/>
      <c r="S92" s="3"/>
      <c r="AW92" s="25"/>
    </row>
    <row r="93" spans="1:49" x14ac:dyDescent="0.35">
      <c r="A93">
        <v>8</v>
      </c>
      <c r="B93">
        <v>8.1563356069251603E-4</v>
      </c>
      <c r="G93" s="23"/>
      <c r="H93" s="33"/>
      <c r="I93" s="83"/>
      <c r="M93" s="5"/>
      <c r="S93" s="3"/>
      <c r="AW93" s="25"/>
    </row>
    <row r="94" spans="1:49" x14ac:dyDescent="0.35">
      <c r="A94">
        <v>7</v>
      </c>
      <c r="B94">
        <v>8.4476333071724884E-4</v>
      </c>
      <c r="G94" s="23"/>
      <c r="I94" s="83"/>
      <c r="S94" s="3"/>
      <c r="AW94" s="25"/>
    </row>
    <row r="95" spans="1:49" x14ac:dyDescent="0.35">
      <c r="A95">
        <v>9</v>
      </c>
      <c r="B95">
        <v>2.0390839017312901E-4</v>
      </c>
      <c r="G95" s="23"/>
      <c r="I95" s="83"/>
      <c r="S95" s="3"/>
      <c r="AW95" s="25"/>
    </row>
    <row r="96" spans="1:49" x14ac:dyDescent="0.35">
      <c r="A96">
        <v>8</v>
      </c>
      <c r="B96">
        <v>8.1563356069251603E-4</v>
      </c>
      <c r="G96" s="23"/>
      <c r="I96" s="83"/>
      <c r="S96" s="3"/>
      <c r="AW96" s="25"/>
    </row>
    <row r="97" spans="1:49" x14ac:dyDescent="0.35">
      <c r="A97">
        <v>7</v>
      </c>
      <c r="B97">
        <v>1.427358731211903E-3</v>
      </c>
      <c r="G97" s="23"/>
      <c r="I97" s="83"/>
      <c r="M97" s="5"/>
      <c r="S97" s="3"/>
      <c r="AW97" s="25"/>
    </row>
    <row r="98" spans="1:49" x14ac:dyDescent="0.35">
      <c r="A98">
        <v>6</v>
      </c>
      <c r="B98">
        <v>1.4783358287551852E-3</v>
      </c>
      <c r="G98" s="23"/>
      <c r="I98" s="83"/>
      <c r="M98" s="5"/>
      <c r="S98" s="3"/>
      <c r="AW98" s="25"/>
    </row>
    <row r="99" spans="1:49" x14ac:dyDescent="0.35">
      <c r="A99">
        <v>8</v>
      </c>
      <c r="B99">
        <v>2.1119083267931218E-4</v>
      </c>
      <c r="G99" s="23"/>
      <c r="I99" s="83"/>
      <c r="S99" s="3"/>
      <c r="AW99" s="25"/>
    </row>
    <row r="100" spans="1:49" x14ac:dyDescent="0.35">
      <c r="A100">
        <v>7</v>
      </c>
      <c r="B100">
        <v>8.4476333071724873E-4</v>
      </c>
      <c r="G100" s="23"/>
      <c r="I100" s="83"/>
      <c r="S100" s="3"/>
      <c r="AW100" s="25"/>
    </row>
    <row r="101" spans="1:49" x14ac:dyDescent="0.35">
      <c r="A101">
        <v>6</v>
      </c>
      <c r="B101">
        <v>1.4783358287551852E-3</v>
      </c>
      <c r="G101" s="23"/>
      <c r="I101" s="83"/>
      <c r="S101" s="3"/>
      <c r="AW101" s="25"/>
    </row>
    <row r="102" spans="1:49" x14ac:dyDescent="0.35">
      <c r="A102">
        <v>5</v>
      </c>
      <c r="B102">
        <v>1.5311335369250132E-3</v>
      </c>
      <c r="G102" s="23"/>
      <c r="I102" s="83"/>
      <c r="S102" s="3"/>
      <c r="AW102" s="25"/>
    </row>
    <row r="103" spans="1:49" x14ac:dyDescent="0.35">
      <c r="A103">
        <v>10</v>
      </c>
      <c r="B103">
        <v>5.0977097543282252E-5</v>
      </c>
      <c r="I103" s="83"/>
      <c r="S103" s="3"/>
      <c r="AW103" s="25"/>
    </row>
    <row r="104" spans="1:49" x14ac:dyDescent="0.35">
      <c r="A104">
        <v>9</v>
      </c>
      <c r="B104">
        <v>2.0390839017312901E-4</v>
      </c>
      <c r="I104" s="83"/>
      <c r="S104" s="3"/>
      <c r="AW104" s="25"/>
    </row>
    <row r="105" spans="1:49" x14ac:dyDescent="0.35">
      <c r="A105">
        <v>8</v>
      </c>
      <c r="B105">
        <v>3.5683968280297574E-4</v>
      </c>
      <c r="I105" s="83"/>
      <c r="S105" s="3"/>
      <c r="AW105" s="25"/>
    </row>
    <row r="106" spans="1:49" x14ac:dyDescent="0.35">
      <c r="A106">
        <v>7</v>
      </c>
      <c r="B106">
        <v>3.6958395718879631E-4</v>
      </c>
      <c r="I106" s="83"/>
      <c r="S106" s="3"/>
      <c r="AW106" s="25"/>
    </row>
    <row r="107" spans="1:49" x14ac:dyDescent="0.35">
      <c r="A107">
        <v>9</v>
      </c>
      <c r="B107">
        <v>2.0390839017312901E-4</v>
      </c>
      <c r="S107" s="3"/>
      <c r="AW107" s="25"/>
    </row>
    <row r="108" spans="1:49" x14ac:dyDescent="0.35">
      <c r="A108">
        <v>8</v>
      </c>
      <c r="B108">
        <v>8.1563356069251603E-4</v>
      </c>
      <c r="S108" s="3"/>
      <c r="AW108" s="25"/>
    </row>
    <row r="109" spans="1:49" x14ac:dyDescent="0.35">
      <c r="A109">
        <v>7</v>
      </c>
      <c r="B109">
        <v>1.427358731211903E-3</v>
      </c>
      <c r="S109" s="3"/>
      <c r="AW109" s="25"/>
    </row>
    <row r="110" spans="1:49" x14ac:dyDescent="0.35">
      <c r="A110">
        <v>6</v>
      </c>
      <c r="B110">
        <v>1.4783358287551852E-3</v>
      </c>
      <c r="S110" s="3"/>
      <c r="AW110" s="25"/>
    </row>
    <row r="111" spans="1:49" x14ac:dyDescent="0.35">
      <c r="A111">
        <v>8</v>
      </c>
      <c r="B111">
        <v>3.568396828029758E-4</v>
      </c>
      <c r="S111" s="3"/>
      <c r="AW111" s="25"/>
    </row>
    <row r="112" spans="1:49" x14ac:dyDescent="0.35">
      <c r="A112">
        <v>7</v>
      </c>
      <c r="B112">
        <v>1.4273587312119032E-3</v>
      </c>
      <c r="S112" s="3"/>
      <c r="AW112" s="25"/>
    </row>
    <row r="113" spans="1:49" x14ac:dyDescent="0.35">
      <c r="A113">
        <v>6</v>
      </c>
      <c r="B113">
        <v>2.4978777796208305E-3</v>
      </c>
      <c r="S113" s="3"/>
      <c r="AW113" s="25"/>
    </row>
    <row r="114" spans="1:49" x14ac:dyDescent="0.35">
      <c r="A114">
        <v>5</v>
      </c>
      <c r="B114">
        <v>2.5870877003215742E-3</v>
      </c>
      <c r="S114" s="3"/>
      <c r="AW114" s="25"/>
    </row>
    <row r="115" spans="1:49" x14ac:dyDescent="0.35">
      <c r="A115">
        <v>7</v>
      </c>
      <c r="B115">
        <v>3.6958395718879637E-4</v>
      </c>
      <c r="S115" s="3"/>
      <c r="AW115" s="25"/>
    </row>
    <row r="116" spans="1:49" x14ac:dyDescent="0.35">
      <c r="A116">
        <v>6</v>
      </c>
      <c r="B116">
        <v>1.4783358287551855E-3</v>
      </c>
      <c r="S116" s="3"/>
      <c r="AW116" s="25"/>
    </row>
    <row r="117" spans="1:49" x14ac:dyDescent="0.35">
      <c r="A117">
        <v>5</v>
      </c>
      <c r="B117">
        <v>2.5870877003215742E-3</v>
      </c>
      <c r="S117" s="3"/>
      <c r="AW117" s="25"/>
    </row>
    <row r="118" spans="1:49" x14ac:dyDescent="0.35">
      <c r="A118">
        <v>4</v>
      </c>
      <c r="B118">
        <v>2.6794836896187734E-3</v>
      </c>
      <c r="S118" s="3"/>
      <c r="AW118" s="25"/>
    </row>
    <row r="119" spans="1:49" x14ac:dyDescent="0.35">
      <c r="A119">
        <v>9</v>
      </c>
      <c r="B119">
        <v>5.2797708169828059E-5</v>
      </c>
      <c r="S119" s="3"/>
      <c r="T119" s="3"/>
      <c r="U119" s="3"/>
      <c r="V119" s="3"/>
      <c r="W119" s="3"/>
    </row>
    <row r="120" spans="1:49" x14ac:dyDescent="0.35">
      <c r="A120">
        <v>8</v>
      </c>
      <c r="B120">
        <v>2.1119083267931224E-4</v>
      </c>
    </row>
    <row r="121" spans="1:49" x14ac:dyDescent="0.35">
      <c r="A121">
        <v>7</v>
      </c>
      <c r="B121">
        <v>3.6958395718879637E-4</v>
      </c>
    </row>
    <row r="122" spans="1:49" x14ac:dyDescent="0.35">
      <c r="A122">
        <v>6</v>
      </c>
      <c r="B122">
        <v>3.8278338423125341E-4</v>
      </c>
    </row>
    <row r="123" spans="1:49" x14ac:dyDescent="0.35">
      <c r="A123">
        <v>8</v>
      </c>
      <c r="B123">
        <v>2.1119083267931224E-4</v>
      </c>
    </row>
    <row r="124" spans="1:49" x14ac:dyDescent="0.35">
      <c r="A124">
        <v>7</v>
      </c>
      <c r="B124">
        <v>8.4476333071724894E-4</v>
      </c>
    </row>
    <row r="125" spans="1:49" x14ac:dyDescent="0.35">
      <c r="A125">
        <v>6</v>
      </c>
      <c r="B125">
        <v>1.4783358287551855E-3</v>
      </c>
    </row>
    <row r="126" spans="1:49" x14ac:dyDescent="0.35">
      <c r="A126">
        <v>5</v>
      </c>
      <c r="B126">
        <v>1.5311335369250136E-3</v>
      </c>
    </row>
    <row r="127" spans="1:49" x14ac:dyDescent="0.35">
      <c r="A127">
        <v>7</v>
      </c>
      <c r="B127">
        <v>3.6958395718879637E-4</v>
      </c>
    </row>
    <row r="128" spans="1:49" x14ac:dyDescent="0.35">
      <c r="A128">
        <v>6</v>
      </c>
      <c r="B128">
        <v>1.4783358287551855E-3</v>
      </c>
    </row>
    <row r="129" spans="1:2" x14ac:dyDescent="0.35">
      <c r="A129">
        <v>5</v>
      </c>
      <c r="B129">
        <v>2.5870877003215742E-3</v>
      </c>
    </row>
    <row r="130" spans="1:2" x14ac:dyDescent="0.35">
      <c r="A130">
        <v>4</v>
      </c>
      <c r="B130">
        <v>2.6794836896187734E-3</v>
      </c>
    </row>
    <row r="131" spans="1:2" x14ac:dyDescent="0.35">
      <c r="A131">
        <v>6</v>
      </c>
      <c r="B131">
        <v>3.8278338423125341E-4</v>
      </c>
    </row>
    <row r="132" spans="1:2" x14ac:dyDescent="0.35">
      <c r="A132">
        <v>5</v>
      </c>
      <c r="B132">
        <v>1.5311335369250136E-3</v>
      </c>
    </row>
    <row r="133" spans="1:2" x14ac:dyDescent="0.35">
      <c r="A133">
        <v>4</v>
      </c>
      <c r="B133">
        <v>2.6794836896187738E-3</v>
      </c>
    </row>
    <row r="134" spans="1:2" x14ac:dyDescent="0.35">
      <c r="A134">
        <v>3</v>
      </c>
      <c r="B134">
        <v>2.7751795356765869E-3</v>
      </c>
    </row>
    <row r="135" spans="1:2" x14ac:dyDescent="0.35">
      <c r="A135">
        <v>11</v>
      </c>
      <c r="B135">
        <v>2.9129770024732716E-5</v>
      </c>
    </row>
    <row r="136" spans="1:2" x14ac:dyDescent="0.35">
      <c r="A136">
        <v>10</v>
      </c>
      <c r="B136">
        <v>1.1651908009893087E-4</v>
      </c>
    </row>
    <row r="137" spans="1:2" x14ac:dyDescent="0.35">
      <c r="A137">
        <v>9</v>
      </c>
      <c r="B137">
        <v>2.0390839017312901E-4</v>
      </c>
    </row>
    <row r="138" spans="1:2" x14ac:dyDescent="0.35">
      <c r="A138">
        <v>8</v>
      </c>
      <c r="B138">
        <v>2.1119083267931221E-4</v>
      </c>
    </row>
    <row r="139" spans="1:2" x14ac:dyDescent="0.35">
      <c r="A139">
        <v>10</v>
      </c>
      <c r="B139">
        <v>1.1651908009893087E-4</v>
      </c>
    </row>
    <row r="140" spans="1:2" x14ac:dyDescent="0.35">
      <c r="A140">
        <v>9</v>
      </c>
      <c r="B140">
        <v>4.6607632039572346E-4</v>
      </c>
    </row>
    <row r="141" spans="1:2" x14ac:dyDescent="0.35">
      <c r="A141">
        <v>8</v>
      </c>
      <c r="B141">
        <v>8.1563356069251603E-4</v>
      </c>
    </row>
    <row r="142" spans="1:2" x14ac:dyDescent="0.35">
      <c r="A142">
        <v>7</v>
      </c>
      <c r="B142">
        <v>8.4476333071724884E-4</v>
      </c>
    </row>
    <row r="143" spans="1:2" x14ac:dyDescent="0.35">
      <c r="A143">
        <v>9</v>
      </c>
      <c r="B143">
        <v>2.0390839017312901E-4</v>
      </c>
    </row>
    <row r="144" spans="1:2" x14ac:dyDescent="0.35">
      <c r="A144">
        <v>8</v>
      </c>
      <c r="B144">
        <v>8.1563356069251603E-4</v>
      </c>
    </row>
    <row r="145" spans="1:2" x14ac:dyDescent="0.35">
      <c r="A145">
        <v>7</v>
      </c>
      <c r="B145">
        <v>1.427358731211903E-3</v>
      </c>
    </row>
    <row r="146" spans="1:2" x14ac:dyDescent="0.35">
      <c r="A146">
        <v>6</v>
      </c>
      <c r="B146">
        <v>1.4783358287551852E-3</v>
      </c>
    </row>
    <row r="147" spans="1:2" x14ac:dyDescent="0.35">
      <c r="A147">
        <v>8</v>
      </c>
      <c r="B147">
        <v>2.1119083267931218E-4</v>
      </c>
    </row>
    <row r="148" spans="1:2" x14ac:dyDescent="0.35">
      <c r="A148">
        <v>7</v>
      </c>
      <c r="B148">
        <v>8.4476333071724873E-4</v>
      </c>
    </row>
    <row r="149" spans="1:2" x14ac:dyDescent="0.35">
      <c r="A149">
        <v>6</v>
      </c>
      <c r="B149">
        <v>1.4783358287551852E-3</v>
      </c>
    </row>
    <row r="150" spans="1:2" x14ac:dyDescent="0.35">
      <c r="A150">
        <v>5</v>
      </c>
      <c r="B150">
        <v>1.5311335369250132E-3</v>
      </c>
    </row>
    <row r="151" spans="1:2" x14ac:dyDescent="0.35">
      <c r="A151">
        <v>10</v>
      </c>
      <c r="B151">
        <v>1.1651908009893087E-4</v>
      </c>
    </row>
    <row r="152" spans="1:2" x14ac:dyDescent="0.35">
      <c r="A152">
        <v>9</v>
      </c>
      <c r="B152">
        <v>4.6607632039572346E-4</v>
      </c>
    </row>
    <row r="153" spans="1:2" x14ac:dyDescent="0.35">
      <c r="A153">
        <v>8</v>
      </c>
      <c r="B153">
        <v>8.1563356069251603E-4</v>
      </c>
    </row>
    <row r="154" spans="1:2" x14ac:dyDescent="0.35">
      <c r="A154">
        <v>7</v>
      </c>
      <c r="B154">
        <v>8.4476333071724884E-4</v>
      </c>
    </row>
    <row r="155" spans="1:2" x14ac:dyDescent="0.35">
      <c r="A155">
        <v>9</v>
      </c>
      <c r="B155">
        <v>4.6607632039572346E-4</v>
      </c>
    </row>
    <row r="156" spans="1:2" x14ac:dyDescent="0.35">
      <c r="A156">
        <v>8</v>
      </c>
      <c r="B156">
        <v>1.8643052815828938E-3</v>
      </c>
    </row>
    <row r="157" spans="1:2" x14ac:dyDescent="0.35">
      <c r="A157">
        <v>7</v>
      </c>
      <c r="B157">
        <v>3.2625342427700641E-3</v>
      </c>
    </row>
    <row r="158" spans="1:2" x14ac:dyDescent="0.35">
      <c r="A158">
        <v>6</v>
      </c>
      <c r="B158">
        <v>3.3790533228689953E-3</v>
      </c>
    </row>
    <row r="159" spans="1:2" x14ac:dyDescent="0.35">
      <c r="A159">
        <v>8</v>
      </c>
      <c r="B159">
        <v>8.1563356069251603E-4</v>
      </c>
    </row>
    <row r="160" spans="1:2" x14ac:dyDescent="0.35">
      <c r="A160">
        <v>7</v>
      </c>
      <c r="B160">
        <v>3.2625342427700641E-3</v>
      </c>
    </row>
    <row r="161" spans="1:2" x14ac:dyDescent="0.35">
      <c r="A161">
        <v>6</v>
      </c>
      <c r="B161">
        <v>5.7094349248476119E-3</v>
      </c>
    </row>
    <row r="162" spans="1:2" x14ac:dyDescent="0.35">
      <c r="A162">
        <v>5</v>
      </c>
      <c r="B162">
        <v>5.913343315020741E-3</v>
      </c>
    </row>
    <row r="163" spans="1:2" x14ac:dyDescent="0.35">
      <c r="A163">
        <v>7</v>
      </c>
      <c r="B163">
        <v>8.4476333071724873E-4</v>
      </c>
    </row>
    <row r="164" spans="1:2" x14ac:dyDescent="0.35">
      <c r="A164">
        <v>6</v>
      </c>
      <c r="B164">
        <v>3.3790533228689949E-3</v>
      </c>
    </row>
    <row r="165" spans="1:2" x14ac:dyDescent="0.35">
      <c r="A165">
        <v>5</v>
      </c>
      <c r="B165">
        <v>5.913343315020741E-3</v>
      </c>
    </row>
    <row r="166" spans="1:2" x14ac:dyDescent="0.35">
      <c r="A166">
        <v>4</v>
      </c>
      <c r="B166">
        <v>6.1245341477000528E-3</v>
      </c>
    </row>
    <row r="167" spans="1:2" x14ac:dyDescent="0.35">
      <c r="A167">
        <v>9</v>
      </c>
      <c r="B167">
        <v>2.0390839017312901E-4</v>
      </c>
    </row>
    <row r="168" spans="1:2" x14ac:dyDescent="0.35">
      <c r="A168">
        <v>8</v>
      </c>
      <c r="B168">
        <v>8.1563356069251603E-4</v>
      </c>
    </row>
    <row r="169" spans="1:2" x14ac:dyDescent="0.35">
      <c r="A169">
        <v>7</v>
      </c>
      <c r="B169">
        <v>1.427358731211903E-3</v>
      </c>
    </row>
    <row r="170" spans="1:2" x14ac:dyDescent="0.35">
      <c r="A170">
        <v>6</v>
      </c>
      <c r="B170">
        <v>1.4783358287551852E-3</v>
      </c>
    </row>
    <row r="171" spans="1:2" x14ac:dyDescent="0.35">
      <c r="A171">
        <v>8</v>
      </c>
      <c r="B171">
        <v>8.1563356069251603E-4</v>
      </c>
    </row>
    <row r="172" spans="1:2" x14ac:dyDescent="0.35">
      <c r="A172">
        <v>7</v>
      </c>
      <c r="B172">
        <v>3.2625342427700641E-3</v>
      </c>
    </row>
    <row r="173" spans="1:2" x14ac:dyDescent="0.35">
      <c r="A173">
        <v>6</v>
      </c>
      <c r="B173">
        <v>5.7094349248476119E-3</v>
      </c>
    </row>
    <row r="174" spans="1:2" x14ac:dyDescent="0.35">
      <c r="A174">
        <v>5</v>
      </c>
      <c r="B174">
        <v>5.913343315020741E-3</v>
      </c>
    </row>
    <row r="175" spans="1:2" x14ac:dyDescent="0.35">
      <c r="A175">
        <v>7</v>
      </c>
      <c r="B175">
        <v>1.4273587312119032E-3</v>
      </c>
    </row>
    <row r="176" spans="1:2" x14ac:dyDescent="0.35">
      <c r="A176">
        <v>6</v>
      </c>
      <c r="B176">
        <v>5.7094349248476128E-3</v>
      </c>
    </row>
    <row r="177" spans="1:2" x14ac:dyDescent="0.35">
      <c r="A177">
        <v>5</v>
      </c>
      <c r="B177">
        <v>9.9915111184833219E-3</v>
      </c>
    </row>
    <row r="178" spans="1:2" x14ac:dyDescent="0.35">
      <c r="A178">
        <v>4</v>
      </c>
      <c r="B178">
        <v>1.0348350801286297E-2</v>
      </c>
    </row>
    <row r="179" spans="1:2" x14ac:dyDescent="0.35">
      <c r="A179">
        <v>6</v>
      </c>
      <c r="B179">
        <v>1.4783358287551855E-3</v>
      </c>
    </row>
    <row r="180" spans="1:2" x14ac:dyDescent="0.35">
      <c r="A180">
        <v>5</v>
      </c>
      <c r="B180">
        <v>5.9133433150207419E-3</v>
      </c>
    </row>
    <row r="181" spans="1:2" x14ac:dyDescent="0.35">
      <c r="A181">
        <v>4</v>
      </c>
      <c r="B181">
        <v>1.0348350801286297E-2</v>
      </c>
    </row>
    <row r="182" spans="1:2" x14ac:dyDescent="0.35">
      <c r="A182">
        <v>3</v>
      </c>
      <c r="B182">
        <v>1.0717934758475094E-2</v>
      </c>
    </row>
    <row r="183" spans="1:2" x14ac:dyDescent="0.35">
      <c r="A183">
        <v>8</v>
      </c>
      <c r="B183">
        <v>2.1119083267931224E-4</v>
      </c>
    </row>
    <row r="184" spans="1:2" x14ac:dyDescent="0.35">
      <c r="A184">
        <v>7</v>
      </c>
      <c r="B184">
        <v>8.4476333071724894E-4</v>
      </c>
    </row>
    <row r="185" spans="1:2" x14ac:dyDescent="0.35">
      <c r="A185">
        <v>6</v>
      </c>
      <c r="B185">
        <v>1.4783358287551855E-3</v>
      </c>
    </row>
    <row r="186" spans="1:2" x14ac:dyDescent="0.35">
      <c r="A186">
        <v>5</v>
      </c>
      <c r="B186">
        <v>1.5311335369250136E-3</v>
      </c>
    </row>
    <row r="187" spans="1:2" x14ac:dyDescent="0.35">
      <c r="A187">
        <v>7</v>
      </c>
      <c r="B187">
        <v>8.4476333071724894E-4</v>
      </c>
    </row>
    <row r="188" spans="1:2" x14ac:dyDescent="0.35">
      <c r="A188">
        <v>6</v>
      </c>
      <c r="B188">
        <v>3.3790533228689958E-3</v>
      </c>
    </row>
    <row r="189" spans="1:2" x14ac:dyDescent="0.35">
      <c r="A189">
        <v>5</v>
      </c>
      <c r="B189">
        <v>5.9133433150207419E-3</v>
      </c>
    </row>
    <row r="190" spans="1:2" x14ac:dyDescent="0.35">
      <c r="A190">
        <v>4</v>
      </c>
      <c r="B190">
        <v>6.1245341477000545E-3</v>
      </c>
    </row>
    <row r="191" spans="1:2" x14ac:dyDescent="0.35">
      <c r="A191">
        <v>6</v>
      </c>
      <c r="B191">
        <v>1.4783358287551855E-3</v>
      </c>
    </row>
    <row r="192" spans="1:2" x14ac:dyDescent="0.35">
      <c r="A192">
        <v>5</v>
      </c>
      <c r="B192">
        <v>5.9133433150207419E-3</v>
      </c>
    </row>
    <row r="193" spans="1:2" x14ac:dyDescent="0.35">
      <c r="A193">
        <v>4</v>
      </c>
      <c r="B193">
        <v>1.0348350801286297E-2</v>
      </c>
    </row>
    <row r="194" spans="1:2" x14ac:dyDescent="0.35">
      <c r="A194">
        <v>3</v>
      </c>
      <c r="B194">
        <v>1.0717934758475094E-2</v>
      </c>
    </row>
    <row r="195" spans="1:2" x14ac:dyDescent="0.35">
      <c r="A195">
        <v>5</v>
      </c>
      <c r="B195">
        <v>1.5311335369250136E-3</v>
      </c>
    </row>
    <row r="196" spans="1:2" x14ac:dyDescent="0.35">
      <c r="A196">
        <v>4</v>
      </c>
      <c r="B196">
        <v>6.1245341477000545E-3</v>
      </c>
    </row>
    <row r="197" spans="1:2" x14ac:dyDescent="0.35">
      <c r="A197">
        <v>3</v>
      </c>
      <c r="B197">
        <v>1.0717934758475095E-2</v>
      </c>
    </row>
    <row r="198" spans="1:2" x14ac:dyDescent="0.35">
      <c r="A198">
        <v>2</v>
      </c>
      <c r="B198">
        <v>1.1100718142706347E-2</v>
      </c>
    </row>
    <row r="199" spans="1:2" x14ac:dyDescent="0.35">
      <c r="A199">
        <v>10</v>
      </c>
      <c r="B199">
        <v>5.0977097543282252E-5</v>
      </c>
    </row>
    <row r="200" spans="1:2" x14ac:dyDescent="0.35">
      <c r="A200">
        <v>9</v>
      </c>
      <c r="B200">
        <v>2.0390839017312901E-4</v>
      </c>
    </row>
    <row r="201" spans="1:2" x14ac:dyDescent="0.35">
      <c r="A201">
        <v>8</v>
      </c>
      <c r="B201">
        <v>3.5683968280297574E-4</v>
      </c>
    </row>
    <row r="202" spans="1:2" x14ac:dyDescent="0.35">
      <c r="A202">
        <v>7</v>
      </c>
      <c r="B202">
        <v>3.6958395718879631E-4</v>
      </c>
    </row>
    <row r="203" spans="1:2" x14ac:dyDescent="0.35">
      <c r="A203">
        <v>9</v>
      </c>
      <c r="B203">
        <v>2.0390839017312901E-4</v>
      </c>
    </row>
    <row r="204" spans="1:2" x14ac:dyDescent="0.35">
      <c r="A204">
        <v>8</v>
      </c>
      <c r="B204">
        <v>8.1563356069251603E-4</v>
      </c>
    </row>
    <row r="205" spans="1:2" x14ac:dyDescent="0.35">
      <c r="A205">
        <v>7</v>
      </c>
      <c r="B205">
        <v>1.427358731211903E-3</v>
      </c>
    </row>
    <row r="206" spans="1:2" x14ac:dyDescent="0.35">
      <c r="A206">
        <v>6</v>
      </c>
      <c r="B206">
        <v>1.4783358287551852E-3</v>
      </c>
    </row>
    <row r="207" spans="1:2" x14ac:dyDescent="0.35">
      <c r="A207">
        <v>8</v>
      </c>
      <c r="B207">
        <v>3.568396828029758E-4</v>
      </c>
    </row>
    <row r="208" spans="1:2" x14ac:dyDescent="0.35">
      <c r="A208">
        <v>7</v>
      </c>
      <c r="B208">
        <v>1.4273587312119032E-3</v>
      </c>
    </row>
    <row r="209" spans="1:2" x14ac:dyDescent="0.35">
      <c r="A209">
        <v>6</v>
      </c>
      <c r="B209">
        <v>2.4978777796208305E-3</v>
      </c>
    </row>
    <row r="210" spans="1:2" x14ac:dyDescent="0.35">
      <c r="A210">
        <v>5</v>
      </c>
      <c r="B210">
        <v>2.5870877003215742E-3</v>
      </c>
    </row>
    <row r="211" spans="1:2" x14ac:dyDescent="0.35">
      <c r="A211">
        <v>7</v>
      </c>
      <c r="B211">
        <v>3.6958395718879637E-4</v>
      </c>
    </row>
    <row r="212" spans="1:2" x14ac:dyDescent="0.35">
      <c r="A212">
        <v>6</v>
      </c>
      <c r="B212">
        <v>1.4783358287551855E-3</v>
      </c>
    </row>
    <row r="213" spans="1:2" x14ac:dyDescent="0.35">
      <c r="A213">
        <v>5</v>
      </c>
      <c r="B213">
        <v>2.5870877003215742E-3</v>
      </c>
    </row>
    <row r="214" spans="1:2" x14ac:dyDescent="0.35">
      <c r="A214">
        <v>4</v>
      </c>
      <c r="B214">
        <v>2.6794836896187734E-3</v>
      </c>
    </row>
    <row r="215" spans="1:2" x14ac:dyDescent="0.35">
      <c r="A215">
        <v>9</v>
      </c>
      <c r="B215">
        <v>2.0390839017312901E-4</v>
      </c>
    </row>
    <row r="216" spans="1:2" x14ac:dyDescent="0.35">
      <c r="A216">
        <v>8</v>
      </c>
      <c r="B216">
        <v>8.1563356069251603E-4</v>
      </c>
    </row>
    <row r="217" spans="1:2" x14ac:dyDescent="0.35">
      <c r="A217">
        <v>7</v>
      </c>
      <c r="B217">
        <v>1.427358731211903E-3</v>
      </c>
    </row>
    <row r="218" spans="1:2" x14ac:dyDescent="0.35">
      <c r="A218">
        <v>6</v>
      </c>
      <c r="B218">
        <v>1.4783358287551852E-3</v>
      </c>
    </row>
    <row r="219" spans="1:2" x14ac:dyDescent="0.35">
      <c r="A219">
        <v>8</v>
      </c>
      <c r="B219">
        <v>8.1563356069251603E-4</v>
      </c>
    </row>
    <row r="220" spans="1:2" x14ac:dyDescent="0.35">
      <c r="A220">
        <v>7</v>
      </c>
      <c r="B220">
        <v>3.2625342427700641E-3</v>
      </c>
    </row>
    <row r="221" spans="1:2" x14ac:dyDescent="0.35">
      <c r="A221">
        <v>6</v>
      </c>
      <c r="B221">
        <v>5.7094349248476119E-3</v>
      </c>
    </row>
    <row r="222" spans="1:2" x14ac:dyDescent="0.35">
      <c r="A222">
        <v>5</v>
      </c>
      <c r="B222">
        <v>5.913343315020741E-3</v>
      </c>
    </row>
    <row r="223" spans="1:2" x14ac:dyDescent="0.35">
      <c r="A223">
        <v>7</v>
      </c>
      <c r="B223">
        <v>1.4273587312119032E-3</v>
      </c>
    </row>
    <row r="224" spans="1:2" x14ac:dyDescent="0.35">
      <c r="A224">
        <v>6</v>
      </c>
      <c r="B224">
        <v>5.7094349248476128E-3</v>
      </c>
    </row>
    <row r="225" spans="1:2" x14ac:dyDescent="0.35">
      <c r="A225">
        <v>5</v>
      </c>
      <c r="B225">
        <v>9.9915111184833219E-3</v>
      </c>
    </row>
    <row r="226" spans="1:2" x14ac:dyDescent="0.35">
      <c r="A226">
        <v>4</v>
      </c>
      <c r="B226">
        <v>1.0348350801286297E-2</v>
      </c>
    </row>
    <row r="227" spans="1:2" x14ac:dyDescent="0.35">
      <c r="A227">
        <v>6</v>
      </c>
      <c r="B227">
        <v>1.4783358287551855E-3</v>
      </c>
    </row>
    <row r="228" spans="1:2" x14ac:dyDescent="0.35">
      <c r="A228">
        <v>5</v>
      </c>
      <c r="B228">
        <v>5.9133433150207419E-3</v>
      </c>
    </row>
    <row r="229" spans="1:2" x14ac:dyDescent="0.35">
      <c r="A229">
        <v>4</v>
      </c>
      <c r="B229">
        <v>1.0348350801286297E-2</v>
      </c>
    </row>
    <row r="230" spans="1:2" x14ac:dyDescent="0.35">
      <c r="A230">
        <v>3</v>
      </c>
      <c r="B230">
        <v>1.0717934758475094E-2</v>
      </c>
    </row>
    <row r="231" spans="1:2" x14ac:dyDescent="0.35">
      <c r="A231">
        <v>8</v>
      </c>
      <c r="B231">
        <v>3.568396828029758E-4</v>
      </c>
    </row>
    <row r="232" spans="1:2" x14ac:dyDescent="0.35">
      <c r="A232">
        <v>7</v>
      </c>
      <c r="B232">
        <v>1.4273587312119032E-3</v>
      </c>
    </row>
    <row r="233" spans="1:2" x14ac:dyDescent="0.35">
      <c r="A233">
        <v>6</v>
      </c>
      <c r="B233">
        <v>2.4978777796208305E-3</v>
      </c>
    </row>
    <row r="234" spans="1:2" x14ac:dyDescent="0.35">
      <c r="A234">
        <v>5</v>
      </c>
      <c r="B234">
        <v>2.5870877003215742E-3</v>
      </c>
    </row>
    <row r="235" spans="1:2" x14ac:dyDescent="0.35">
      <c r="A235">
        <v>7</v>
      </c>
      <c r="B235">
        <v>1.4273587312119032E-3</v>
      </c>
    </row>
    <row r="236" spans="1:2" x14ac:dyDescent="0.35">
      <c r="A236">
        <v>6</v>
      </c>
      <c r="B236">
        <v>5.7094349248476128E-3</v>
      </c>
    </row>
    <row r="237" spans="1:2" x14ac:dyDescent="0.35">
      <c r="A237">
        <v>5</v>
      </c>
      <c r="B237">
        <v>9.9915111184833219E-3</v>
      </c>
    </row>
    <row r="238" spans="1:2" x14ac:dyDescent="0.35">
      <c r="A238">
        <v>4</v>
      </c>
      <c r="B238">
        <v>1.0348350801286297E-2</v>
      </c>
    </row>
    <row r="239" spans="1:2" x14ac:dyDescent="0.35">
      <c r="A239">
        <v>6</v>
      </c>
      <c r="B239">
        <v>2.49787777962083E-3</v>
      </c>
    </row>
    <row r="240" spans="1:2" x14ac:dyDescent="0.35">
      <c r="A240">
        <v>5</v>
      </c>
      <c r="B240">
        <v>9.9915111184833202E-3</v>
      </c>
    </row>
    <row r="241" spans="1:2" x14ac:dyDescent="0.35">
      <c r="A241">
        <v>4</v>
      </c>
      <c r="B241">
        <v>1.7485144457345812E-2</v>
      </c>
    </row>
    <row r="242" spans="1:2" x14ac:dyDescent="0.35">
      <c r="A242">
        <v>3</v>
      </c>
      <c r="B242">
        <v>1.8109613902251021E-2</v>
      </c>
    </row>
    <row r="243" spans="1:2" x14ac:dyDescent="0.35">
      <c r="A243">
        <v>5</v>
      </c>
      <c r="B243">
        <v>2.5870877003215742E-3</v>
      </c>
    </row>
    <row r="244" spans="1:2" x14ac:dyDescent="0.35">
      <c r="A244">
        <v>4</v>
      </c>
      <c r="B244">
        <v>1.0348350801286297E-2</v>
      </c>
    </row>
    <row r="245" spans="1:2" x14ac:dyDescent="0.35">
      <c r="A245">
        <v>3</v>
      </c>
      <c r="B245">
        <v>1.8109613902251017E-2</v>
      </c>
    </row>
    <row r="246" spans="1:2" x14ac:dyDescent="0.35">
      <c r="A246">
        <v>2</v>
      </c>
      <c r="B246">
        <v>1.8756385827331412E-2</v>
      </c>
    </row>
    <row r="247" spans="1:2" x14ac:dyDescent="0.35">
      <c r="A247">
        <v>7</v>
      </c>
      <c r="B247">
        <v>3.6958395718879637E-4</v>
      </c>
    </row>
    <row r="248" spans="1:2" x14ac:dyDescent="0.35">
      <c r="A248">
        <v>6</v>
      </c>
      <c r="B248">
        <v>1.4783358287551855E-3</v>
      </c>
    </row>
    <row r="249" spans="1:2" x14ac:dyDescent="0.35">
      <c r="A249">
        <v>5</v>
      </c>
      <c r="B249">
        <v>2.5870877003215742E-3</v>
      </c>
    </row>
    <row r="250" spans="1:2" x14ac:dyDescent="0.35">
      <c r="A250">
        <v>4</v>
      </c>
      <c r="B250">
        <v>2.6794836896187734E-3</v>
      </c>
    </row>
    <row r="251" spans="1:2" x14ac:dyDescent="0.35">
      <c r="A251">
        <v>6</v>
      </c>
      <c r="B251">
        <v>1.4783358287551855E-3</v>
      </c>
    </row>
    <row r="252" spans="1:2" x14ac:dyDescent="0.35">
      <c r="A252">
        <v>5</v>
      </c>
      <c r="B252">
        <v>5.9133433150207419E-3</v>
      </c>
    </row>
    <row r="253" spans="1:2" x14ac:dyDescent="0.35">
      <c r="A253">
        <v>4</v>
      </c>
      <c r="B253">
        <v>1.0348350801286297E-2</v>
      </c>
    </row>
    <row r="254" spans="1:2" x14ac:dyDescent="0.35">
      <c r="A254">
        <v>3</v>
      </c>
      <c r="B254">
        <v>1.0717934758475094E-2</v>
      </c>
    </row>
    <row r="255" spans="1:2" x14ac:dyDescent="0.35">
      <c r="A255">
        <v>5</v>
      </c>
      <c r="B255">
        <v>2.5870877003215742E-3</v>
      </c>
    </row>
    <row r="256" spans="1:2" x14ac:dyDescent="0.35">
      <c r="A256">
        <v>4</v>
      </c>
      <c r="B256">
        <v>1.0348350801286297E-2</v>
      </c>
    </row>
    <row r="257" spans="1:2" x14ac:dyDescent="0.35">
      <c r="A257">
        <v>3</v>
      </c>
      <c r="B257">
        <v>1.8109613902251017E-2</v>
      </c>
    </row>
    <row r="258" spans="1:2" x14ac:dyDescent="0.35">
      <c r="A258">
        <v>2</v>
      </c>
      <c r="B258">
        <v>1.8756385827331412E-2</v>
      </c>
    </row>
    <row r="259" spans="1:2" x14ac:dyDescent="0.35">
      <c r="A259">
        <v>4</v>
      </c>
      <c r="B259">
        <v>2.6794836896187734E-3</v>
      </c>
    </row>
    <row r="260" spans="1:2" x14ac:dyDescent="0.35">
      <c r="A260">
        <v>3</v>
      </c>
      <c r="B260">
        <v>1.0717934758475094E-2</v>
      </c>
    </row>
    <row r="261" spans="1:2" x14ac:dyDescent="0.35">
      <c r="A261">
        <v>2</v>
      </c>
      <c r="B261">
        <v>1.8756385827331412E-2</v>
      </c>
    </row>
    <row r="262" spans="1:2" x14ac:dyDescent="0.35">
      <c r="A262">
        <v>1</v>
      </c>
      <c r="B262">
        <v>1.9426256749736106E-2</v>
      </c>
    </row>
    <row r="263" spans="1:2" x14ac:dyDescent="0.35">
      <c r="A263">
        <v>9</v>
      </c>
      <c r="B263">
        <v>5.2797708169828059E-5</v>
      </c>
    </row>
    <row r="264" spans="1:2" x14ac:dyDescent="0.35">
      <c r="A264">
        <v>8</v>
      </c>
      <c r="B264">
        <v>2.1119083267931224E-4</v>
      </c>
    </row>
    <row r="265" spans="1:2" x14ac:dyDescent="0.35">
      <c r="A265">
        <v>7</v>
      </c>
      <c r="B265">
        <v>3.6958395718879637E-4</v>
      </c>
    </row>
    <row r="266" spans="1:2" x14ac:dyDescent="0.35">
      <c r="A266">
        <v>6</v>
      </c>
      <c r="B266">
        <v>3.8278338423125341E-4</v>
      </c>
    </row>
    <row r="267" spans="1:2" x14ac:dyDescent="0.35">
      <c r="A267">
        <v>8</v>
      </c>
      <c r="B267">
        <v>2.1119083267931224E-4</v>
      </c>
    </row>
    <row r="268" spans="1:2" x14ac:dyDescent="0.35">
      <c r="A268">
        <v>7</v>
      </c>
      <c r="B268">
        <v>8.4476333071724894E-4</v>
      </c>
    </row>
    <row r="269" spans="1:2" x14ac:dyDescent="0.35">
      <c r="A269">
        <v>6</v>
      </c>
      <c r="B269">
        <v>1.4783358287551855E-3</v>
      </c>
    </row>
    <row r="270" spans="1:2" x14ac:dyDescent="0.35">
      <c r="A270">
        <v>5</v>
      </c>
      <c r="B270">
        <v>1.5311335369250136E-3</v>
      </c>
    </row>
    <row r="271" spans="1:2" x14ac:dyDescent="0.35">
      <c r="A271">
        <v>7</v>
      </c>
      <c r="B271">
        <v>3.6958395718879637E-4</v>
      </c>
    </row>
    <row r="272" spans="1:2" x14ac:dyDescent="0.35">
      <c r="A272">
        <v>6</v>
      </c>
      <c r="B272">
        <v>1.4783358287551855E-3</v>
      </c>
    </row>
    <row r="273" spans="1:2" x14ac:dyDescent="0.35">
      <c r="A273">
        <v>5</v>
      </c>
      <c r="B273">
        <v>2.5870877003215742E-3</v>
      </c>
    </row>
    <row r="274" spans="1:2" x14ac:dyDescent="0.35">
      <c r="A274">
        <v>4</v>
      </c>
      <c r="B274">
        <v>2.6794836896187734E-3</v>
      </c>
    </row>
    <row r="275" spans="1:2" x14ac:dyDescent="0.35">
      <c r="A275">
        <v>6</v>
      </c>
      <c r="B275">
        <v>3.8278338423125341E-4</v>
      </c>
    </row>
    <row r="276" spans="1:2" x14ac:dyDescent="0.35">
      <c r="A276">
        <v>5</v>
      </c>
      <c r="B276">
        <v>1.5311335369250136E-3</v>
      </c>
    </row>
    <row r="277" spans="1:2" x14ac:dyDescent="0.35">
      <c r="A277">
        <v>4</v>
      </c>
      <c r="B277">
        <v>2.6794836896187738E-3</v>
      </c>
    </row>
    <row r="278" spans="1:2" x14ac:dyDescent="0.35">
      <c r="A278">
        <v>3</v>
      </c>
      <c r="B278">
        <v>2.7751795356765869E-3</v>
      </c>
    </row>
    <row r="279" spans="1:2" x14ac:dyDescent="0.35">
      <c r="A279">
        <v>8</v>
      </c>
      <c r="B279">
        <v>2.1119083267931224E-4</v>
      </c>
    </row>
    <row r="280" spans="1:2" x14ac:dyDescent="0.35">
      <c r="A280">
        <v>7</v>
      </c>
      <c r="B280">
        <v>8.4476333071724894E-4</v>
      </c>
    </row>
    <row r="281" spans="1:2" x14ac:dyDescent="0.35">
      <c r="A281">
        <v>6</v>
      </c>
      <c r="B281">
        <v>1.4783358287551855E-3</v>
      </c>
    </row>
    <row r="282" spans="1:2" x14ac:dyDescent="0.35">
      <c r="A282">
        <v>5</v>
      </c>
      <c r="B282">
        <v>1.5311335369250136E-3</v>
      </c>
    </row>
    <row r="283" spans="1:2" x14ac:dyDescent="0.35">
      <c r="A283">
        <v>7</v>
      </c>
      <c r="B283">
        <v>8.4476333071724894E-4</v>
      </c>
    </row>
    <row r="284" spans="1:2" x14ac:dyDescent="0.35">
      <c r="A284">
        <v>6</v>
      </c>
      <c r="B284">
        <v>3.3790533228689958E-3</v>
      </c>
    </row>
    <row r="285" spans="1:2" x14ac:dyDescent="0.35">
      <c r="A285">
        <v>5</v>
      </c>
      <c r="B285">
        <v>5.9133433150207419E-3</v>
      </c>
    </row>
    <row r="286" spans="1:2" x14ac:dyDescent="0.35">
      <c r="A286">
        <v>4</v>
      </c>
      <c r="B286">
        <v>6.1245341477000545E-3</v>
      </c>
    </row>
    <row r="287" spans="1:2" x14ac:dyDescent="0.35">
      <c r="A287">
        <v>6</v>
      </c>
      <c r="B287">
        <v>1.4783358287551855E-3</v>
      </c>
    </row>
    <row r="288" spans="1:2" x14ac:dyDescent="0.35">
      <c r="A288">
        <v>5</v>
      </c>
      <c r="B288">
        <v>5.9133433150207419E-3</v>
      </c>
    </row>
    <row r="289" spans="1:2" x14ac:dyDescent="0.35">
      <c r="A289">
        <v>4</v>
      </c>
      <c r="B289">
        <v>1.0348350801286297E-2</v>
      </c>
    </row>
    <row r="290" spans="1:2" x14ac:dyDescent="0.35">
      <c r="A290">
        <v>3</v>
      </c>
      <c r="B290">
        <v>1.0717934758475094E-2</v>
      </c>
    </row>
    <row r="291" spans="1:2" x14ac:dyDescent="0.35">
      <c r="A291">
        <v>5</v>
      </c>
      <c r="B291">
        <v>1.5311335369250136E-3</v>
      </c>
    </row>
    <row r="292" spans="1:2" x14ac:dyDescent="0.35">
      <c r="A292">
        <v>4</v>
      </c>
      <c r="B292">
        <v>6.1245341477000545E-3</v>
      </c>
    </row>
    <row r="293" spans="1:2" x14ac:dyDescent="0.35">
      <c r="A293">
        <v>3</v>
      </c>
      <c r="B293">
        <v>1.0717934758475095E-2</v>
      </c>
    </row>
    <row r="294" spans="1:2" x14ac:dyDescent="0.35">
      <c r="A294">
        <v>2</v>
      </c>
      <c r="B294">
        <v>1.1100718142706347E-2</v>
      </c>
    </row>
    <row r="295" spans="1:2" x14ac:dyDescent="0.35">
      <c r="A295">
        <v>7</v>
      </c>
      <c r="B295">
        <v>3.6958395718879637E-4</v>
      </c>
    </row>
    <row r="296" spans="1:2" x14ac:dyDescent="0.35">
      <c r="A296">
        <v>6</v>
      </c>
      <c r="B296">
        <v>1.4783358287551855E-3</v>
      </c>
    </row>
    <row r="297" spans="1:2" x14ac:dyDescent="0.35">
      <c r="A297">
        <v>5</v>
      </c>
      <c r="B297">
        <v>2.5870877003215742E-3</v>
      </c>
    </row>
    <row r="298" spans="1:2" x14ac:dyDescent="0.35">
      <c r="A298">
        <v>4</v>
      </c>
      <c r="B298">
        <v>2.6794836896187734E-3</v>
      </c>
    </row>
    <row r="299" spans="1:2" x14ac:dyDescent="0.35">
      <c r="A299">
        <v>6</v>
      </c>
      <c r="B299">
        <v>1.4783358287551855E-3</v>
      </c>
    </row>
    <row r="300" spans="1:2" x14ac:dyDescent="0.35">
      <c r="A300">
        <v>5</v>
      </c>
      <c r="B300">
        <v>5.9133433150207419E-3</v>
      </c>
    </row>
    <row r="301" spans="1:2" x14ac:dyDescent="0.35">
      <c r="A301">
        <v>4</v>
      </c>
      <c r="B301">
        <v>1.0348350801286297E-2</v>
      </c>
    </row>
    <row r="302" spans="1:2" x14ac:dyDescent="0.35">
      <c r="A302">
        <v>3</v>
      </c>
      <c r="B302">
        <v>1.0717934758475094E-2</v>
      </c>
    </row>
    <row r="303" spans="1:2" x14ac:dyDescent="0.35">
      <c r="A303">
        <v>5</v>
      </c>
      <c r="B303">
        <v>2.5870877003215742E-3</v>
      </c>
    </row>
    <row r="304" spans="1:2" x14ac:dyDescent="0.35">
      <c r="A304">
        <v>4</v>
      </c>
      <c r="B304">
        <v>1.0348350801286297E-2</v>
      </c>
    </row>
    <row r="305" spans="1:2" x14ac:dyDescent="0.35">
      <c r="A305">
        <v>3</v>
      </c>
      <c r="B305">
        <v>1.8109613902251017E-2</v>
      </c>
    </row>
    <row r="306" spans="1:2" x14ac:dyDescent="0.35">
      <c r="A306">
        <v>2</v>
      </c>
      <c r="B306">
        <v>1.8756385827331412E-2</v>
      </c>
    </row>
    <row r="307" spans="1:2" x14ac:dyDescent="0.35">
      <c r="A307">
        <v>4</v>
      </c>
      <c r="B307">
        <v>2.6794836896187734E-3</v>
      </c>
    </row>
    <row r="308" spans="1:2" x14ac:dyDescent="0.35">
      <c r="A308">
        <v>3</v>
      </c>
      <c r="B308">
        <v>1.0717934758475094E-2</v>
      </c>
    </row>
    <row r="309" spans="1:2" x14ac:dyDescent="0.35">
      <c r="A309">
        <v>2</v>
      </c>
      <c r="B309">
        <v>1.8756385827331412E-2</v>
      </c>
    </row>
    <row r="310" spans="1:2" x14ac:dyDescent="0.35">
      <c r="A310">
        <v>1</v>
      </c>
      <c r="B310">
        <v>1.9426256749736106E-2</v>
      </c>
    </row>
    <row r="311" spans="1:2" x14ac:dyDescent="0.35">
      <c r="A311">
        <v>6</v>
      </c>
      <c r="B311">
        <v>3.827833842312533E-4</v>
      </c>
    </row>
    <row r="312" spans="1:2" x14ac:dyDescent="0.35">
      <c r="A312">
        <v>5</v>
      </c>
      <c r="B312">
        <v>1.5311335369250132E-3</v>
      </c>
    </row>
    <row r="313" spans="1:2" x14ac:dyDescent="0.35">
      <c r="A313">
        <v>4</v>
      </c>
      <c r="B313">
        <v>2.679483689618773E-3</v>
      </c>
    </row>
    <row r="314" spans="1:2" x14ac:dyDescent="0.35">
      <c r="A314">
        <v>3</v>
      </c>
      <c r="B314">
        <v>2.7751795356765864E-3</v>
      </c>
    </row>
    <row r="315" spans="1:2" x14ac:dyDescent="0.35">
      <c r="A315">
        <v>5</v>
      </c>
      <c r="B315">
        <v>1.5311335369250132E-3</v>
      </c>
    </row>
    <row r="316" spans="1:2" x14ac:dyDescent="0.35">
      <c r="A316">
        <v>4</v>
      </c>
      <c r="B316">
        <v>6.1245341477000528E-3</v>
      </c>
    </row>
    <row r="317" spans="1:2" x14ac:dyDescent="0.35">
      <c r="A317">
        <v>3</v>
      </c>
      <c r="B317">
        <v>1.0717934758475092E-2</v>
      </c>
    </row>
    <row r="318" spans="1:2" x14ac:dyDescent="0.35">
      <c r="A318">
        <v>2</v>
      </c>
      <c r="B318">
        <v>1.1100718142706346E-2</v>
      </c>
    </row>
    <row r="319" spans="1:2" x14ac:dyDescent="0.35">
      <c r="A319">
        <v>4</v>
      </c>
      <c r="B319">
        <v>2.679483689618773E-3</v>
      </c>
    </row>
    <row r="320" spans="1:2" x14ac:dyDescent="0.35">
      <c r="A320">
        <v>3</v>
      </c>
      <c r="B320">
        <v>1.0717934758475092E-2</v>
      </c>
    </row>
    <row r="321" spans="1:2" x14ac:dyDescent="0.35">
      <c r="A321">
        <v>2</v>
      </c>
      <c r="B321">
        <v>1.8756385827331409E-2</v>
      </c>
    </row>
    <row r="322" spans="1:2" x14ac:dyDescent="0.35">
      <c r="A322">
        <v>1</v>
      </c>
      <c r="B322">
        <v>1.9426256749736102E-2</v>
      </c>
    </row>
    <row r="323" spans="1:2" x14ac:dyDescent="0.35">
      <c r="A323">
        <v>3</v>
      </c>
      <c r="B323">
        <v>2.7751795356765864E-3</v>
      </c>
    </row>
    <row r="324" spans="1:2" x14ac:dyDescent="0.35">
      <c r="A324">
        <v>2</v>
      </c>
      <c r="B324">
        <v>1.1100718142706346E-2</v>
      </c>
    </row>
    <row r="325" spans="1:2" x14ac:dyDescent="0.35">
      <c r="A325">
        <v>1</v>
      </c>
      <c r="B325">
        <v>1.9426256749736106E-2</v>
      </c>
    </row>
    <row r="326" spans="1:2" x14ac:dyDescent="0.35">
      <c r="A326">
        <v>0</v>
      </c>
      <c r="B326">
        <v>2.0120051633655253E-2</v>
      </c>
    </row>
  </sheetData>
  <phoneticPr fontId="10" type="noConversion"/>
  <pageMargins left="0.7" right="0.7" top="0.75" bottom="0.75" header="0.3" footer="0.3"/>
  <pageSetup orientation="portrait" r:id="rId1"/>
  <drawing r:id="rId2"/>
  <legacyDrawing r:id="rId3"/>
  <controls>
    <mc:AlternateContent xmlns:mc="http://schemas.openxmlformats.org/markup-compatibility/2006">
      <mc:Choice Requires="x14">
        <control shapeId="229377" r:id="rId4" name="CommandButton1">
          <controlPr defaultSize="0" autoLine="0" autoPict="0" r:id="rId5">
            <anchor moveWithCells="1">
              <from>
                <xdr:col>7</xdr:col>
                <xdr:colOff>374650</xdr:colOff>
                <xdr:row>16</xdr:row>
                <xdr:rowOff>88900</xdr:rowOff>
              </from>
              <to>
                <xdr:col>8</xdr:col>
                <xdr:colOff>666750</xdr:colOff>
                <xdr:row>20</xdr:row>
                <xdr:rowOff>57150</xdr:rowOff>
              </to>
            </anchor>
          </controlPr>
        </control>
      </mc:Choice>
      <mc:Fallback>
        <control shapeId="229377" r:id="rId4"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1427-3A62-4222-B430-D10663E3EAE7}">
  <sheetPr codeName="Sheet20"/>
  <dimension ref="A1:G1201"/>
  <sheetViews>
    <sheetView workbookViewId="0">
      <selection activeCell="G23" sqref="G23"/>
    </sheetView>
  </sheetViews>
  <sheetFormatPr defaultRowHeight="14.5" x14ac:dyDescent="0.35"/>
  <sheetData>
    <row r="1" spans="1:7" x14ac:dyDescent="0.35">
      <c r="A1" s="4" t="s">
        <v>51</v>
      </c>
      <c r="B1" s="4" t="s">
        <v>50</v>
      </c>
      <c r="C1" s="4" t="s">
        <v>174</v>
      </c>
      <c r="D1" s="4" t="s">
        <v>174</v>
      </c>
      <c r="E1" s="4" t="s">
        <v>56</v>
      </c>
      <c r="F1" s="4"/>
      <c r="G1" s="4"/>
    </row>
    <row r="2" spans="1:7" x14ac:dyDescent="0.35">
      <c r="A2" s="4" t="s">
        <v>50</v>
      </c>
      <c r="B2" s="4" t="s">
        <v>51</v>
      </c>
      <c r="C2" s="4" t="s">
        <v>52</v>
      </c>
      <c r="D2" s="4" t="s">
        <v>54</v>
      </c>
      <c r="E2" s="4" t="s">
        <v>55</v>
      </c>
      <c r="F2" s="4"/>
    </row>
    <row r="3" spans="1:7" x14ac:dyDescent="0.35">
      <c r="A3" s="4" t="s">
        <v>50</v>
      </c>
      <c r="B3" s="4" t="s">
        <v>53</v>
      </c>
      <c r="C3" s="4" t="s">
        <v>49</v>
      </c>
      <c r="D3" s="4" t="s">
        <v>56</v>
      </c>
      <c r="E3" s="4" t="s">
        <v>55</v>
      </c>
      <c r="F3" s="4"/>
    </row>
    <row r="4" spans="1:7" x14ac:dyDescent="0.35">
      <c r="A4" s="192" t="s">
        <v>60</v>
      </c>
      <c r="B4" s="192" t="s">
        <v>60</v>
      </c>
      <c r="C4" s="192" t="s">
        <v>60</v>
      </c>
      <c r="D4" s="192" t="s">
        <v>60</v>
      </c>
      <c r="E4" s="4" t="s">
        <v>56</v>
      </c>
      <c r="F4" s="4"/>
    </row>
    <row r="5" spans="1:7" x14ac:dyDescent="0.35">
      <c r="A5" s="4" t="s">
        <v>52</v>
      </c>
      <c r="B5" s="4" t="s">
        <v>49</v>
      </c>
      <c r="C5" s="4" t="s">
        <v>50</v>
      </c>
      <c r="D5" s="4" t="s">
        <v>52</v>
      </c>
      <c r="E5" s="4" t="s">
        <v>53</v>
      </c>
      <c r="F5" s="4"/>
    </row>
    <row r="6" spans="1:7" x14ac:dyDescent="0.35">
      <c r="A6" s="4" t="s">
        <v>53</v>
      </c>
      <c r="B6" s="4" t="s">
        <v>174</v>
      </c>
      <c r="C6" s="4" t="s">
        <v>52</v>
      </c>
      <c r="D6" s="4" t="s">
        <v>55</v>
      </c>
      <c r="E6" s="4" t="s">
        <v>56</v>
      </c>
      <c r="F6" s="4"/>
      <c r="G6" s="4"/>
    </row>
    <row r="7" spans="1:7" x14ac:dyDescent="0.35">
      <c r="A7" s="4" t="s">
        <v>174</v>
      </c>
      <c r="B7" s="4" t="s">
        <v>54</v>
      </c>
      <c r="C7" s="4" t="s">
        <v>54</v>
      </c>
      <c r="D7" s="4" t="s">
        <v>53</v>
      </c>
      <c r="E7" s="4" t="s">
        <v>54</v>
      </c>
      <c r="F7" s="4"/>
      <c r="G7" s="4"/>
    </row>
    <row r="8" spans="1:7" x14ac:dyDescent="0.35">
      <c r="A8" s="4" t="s">
        <v>52</v>
      </c>
      <c r="B8" s="4" t="s">
        <v>174</v>
      </c>
      <c r="C8" s="4" t="s">
        <v>51</v>
      </c>
      <c r="D8" s="4" t="s">
        <v>50</v>
      </c>
      <c r="E8" s="4" t="s">
        <v>55</v>
      </c>
      <c r="F8" s="4"/>
      <c r="G8" s="4" t="s">
        <v>107</v>
      </c>
    </row>
    <row r="9" spans="1:7" x14ac:dyDescent="0.35">
      <c r="A9" s="192" t="s">
        <v>60</v>
      </c>
      <c r="B9" s="192" t="s">
        <v>60</v>
      </c>
      <c r="C9" s="192" t="s">
        <v>60</v>
      </c>
      <c r="D9" s="192" t="s">
        <v>60</v>
      </c>
      <c r="E9" s="4" t="s">
        <v>56</v>
      </c>
      <c r="F9" s="4"/>
    </row>
    <row r="10" spans="1:7" x14ac:dyDescent="0.35">
      <c r="A10" s="192" t="s">
        <v>60</v>
      </c>
      <c r="B10" s="192" t="s">
        <v>60</v>
      </c>
      <c r="C10" s="192" t="s">
        <v>60</v>
      </c>
      <c r="D10" s="192" t="s">
        <v>60</v>
      </c>
      <c r="E10" s="4" t="s">
        <v>55</v>
      </c>
      <c r="F10" s="4"/>
      <c r="G10" s="4" t="s">
        <v>60</v>
      </c>
    </row>
    <row r="11" spans="1:7" x14ac:dyDescent="0.35">
      <c r="A11" s="192" t="s">
        <v>60</v>
      </c>
      <c r="B11" s="192" t="s">
        <v>60</v>
      </c>
      <c r="C11" s="192" t="s">
        <v>60</v>
      </c>
      <c r="D11" s="192" t="s">
        <v>60</v>
      </c>
      <c r="E11" s="4" t="s">
        <v>53</v>
      </c>
      <c r="F11" s="4"/>
      <c r="G11" s="4"/>
    </row>
    <row r="12" spans="1:7" x14ac:dyDescent="0.35">
      <c r="A12" s="4" t="s">
        <v>50</v>
      </c>
      <c r="B12" s="4" t="s">
        <v>52</v>
      </c>
      <c r="C12" s="4" t="s">
        <v>174</v>
      </c>
      <c r="D12" s="4" t="s">
        <v>51</v>
      </c>
      <c r="E12" s="4" t="s">
        <v>55</v>
      </c>
      <c r="F12" s="4"/>
      <c r="G12" s="4"/>
    </row>
    <row r="13" spans="1:7" x14ac:dyDescent="0.35">
      <c r="A13" s="4" t="s">
        <v>53</v>
      </c>
      <c r="B13" s="4" t="s">
        <v>53</v>
      </c>
      <c r="C13" s="4" t="s">
        <v>52</v>
      </c>
      <c r="D13" s="4" t="s">
        <v>53</v>
      </c>
      <c r="E13" s="4" t="s">
        <v>53</v>
      </c>
      <c r="F13" s="4"/>
    </row>
    <row r="14" spans="1:7" x14ac:dyDescent="0.35">
      <c r="A14" s="4" t="s">
        <v>53</v>
      </c>
      <c r="B14" s="4" t="s">
        <v>52</v>
      </c>
      <c r="C14" s="4" t="s">
        <v>50</v>
      </c>
      <c r="D14" s="4" t="s">
        <v>174</v>
      </c>
      <c r="E14" s="4" t="s">
        <v>55</v>
      </c>
      <c r="F14" s="4"/>
    </row>
    <row r="15" spans="1:7" x14ac:dyDescent="0.35">
      <c r="A15" s="4" t="s">
        <v>49</v>
      </c>
      <c r="B15" s="4" t="s">
        <v>52</v>
      </c>
      <c r="C15" s="4" t="s">
        <v>53</v>
      </c>
      <c r="D15" s="4" t="s">
        <v>49</v>
      </c>
      <c r="E15" s="4" t="s">
        <v>55</v>
      </c>
      <c r="F15" s="4"/>
    </row>
    <row r="16" spans="1:7" x14ac:dyDescent="0.35">
      <c r="A16" s="4" t="s">
        <v>49</v>
      </c>
      <c r="B16" s="4" t="s">
        <v>55</v>
      </c>
      <c r="C16" s="4" t="s">
        <v>53</v>
      </c>
      <c r="D16" s="4" t="s">
        <v>52</v>
      </c>
      <c r="E16" s="4" t="s">
        <v>55</v>
      </c>
      <c r="F16" s="4"/>
    </row>
    <row r="17" spans="1:6" x14ac:dyDescent="0.35">
      <c r="A17" s="192" t="s">
        <v>60</v>
      </c>
      <c r="B17" s="192" t="s">
        <v>60</v>
      </c>
      <c r="C17" s="192" t="s">
        <v>60</v>
      </c>
      <c r="D17" s="192" t="s">
        <v>60</v>
      </c>
      <c r="E17" s="4" t="s">
        <v>54</v>
      </c>
      <c r="F17" s="4"/>
    </row>
    <row r="18" spans="1:6" x14ac:dyDescent="0.35">
      <c r="A18" s="192" t="s">
        <v>60</v>
      </c>
      <c r="B18" s="192" t="s">
        <v>60</v>
      </c>
      <c r="C18" s="192" t="s">
        <v>60</v>
      </c>
      <c r="D18" s="192" t="s">
        <v>60</v>
      </c>
      <c r="E18" s="4" t="s">
        <v>56</v>
      </c>
      <c r="F18" s="4"/>
    </row>
    <row r="19" spans="1:6" x14ac:dyDescent="0.35">
      <c r="A19" s="4" t="s">
        <v>54</v>
      </c>
      <c r="B19" s="4" t="s">
        <v>174</v>
      </c>
      <c r="C19" s="4" t="s">
        <v>50</v>
      </c>
      <c r="D19" s="4" t="s">
        <v>52</v>
      </c>
      <c r="E19" s="4" t="s">
        <v>53</v>
      </c>
      <c r="F19" s="4"/>
    </row>
    <row r="20" spans="1:6" x14ac:dyDescent="0.35">
      <c r="A20" s="4" t="s">
        <v>51</v>
      </c>
      <c r="B20" s="4" t="s">
        <v>49</v>
      </c>
      <c r="C20" s="4" t="s">
        <v>54</v>
      </c>
      <c r="D20" s="4" t="s">
        <v>52</v>
      </c>
      <c r="E20" s="4" t="s">
        <v>53</v>
      </c>
      <c r="F20" s="4"/>
    </row>
    <row r="21" spans="1:6" x14ac:dyDescent="0.35">
      <c r="A21" s="4" t="s">
        <v>53</v>
      </c>
      <c r="B21" s="4" t="s">
        <v>52</v>
      </c>
      <c r="C21" s="4" t="s">
        <v>52</v>
      </c>
      <c r="D21" s="4" t="s">
        <v>174</v>
      </c>
      <c r="E21" s="128" t="s">
        <v>107</v>
      </c>
      <c r="F21" s="4"/>
    </row>
    <row r="22" spans="1:6" x14ac:dyDescent="0.35">
      <c r="A22" s="4" t="s">
        <v>55</v>
      </c>
      <c r="B22" s="4" t="s">
        <v>56</v>
      </c>
      <c r="C22" s="4" t="s">
        <v>49</v>
      </c>
      <c r="D22" s="4" t="s">
        <v>49</v>
      </c>
      <c r="E22" s="4" t="s">
        <v>54</v>
      </c>
      <c r="F22" s="4"/>
    </row>
    <row r="23" spans="1:6" x14ac:dyDescent="0.35">
      <c r="A23" s="4" t="s">
        <v>174</v>
      </c>
      <c r="B23" s="4" t="s">
        <v>55</v>
      </c>
      <c r="C23" s="4" t="s">
        <v>52</v>
      </c>
      <c r="D23" s="4" t="s">
        <v>51</v>
      </c>
      <c r="E23" s="4" t="s">
        <v>55</v>
      </c>
      <c r="F23" s="4"/>
    </row>
    <row r="24" spans="1:6" x14ac:dyDescent="0.35">
      <c r="A24" s="4" t="s">
        <v>54</v>
      </c>
      <c r="B24" s="4" t="s">
        <v>53</v>
      </c>
      <c r="C24" s="4" t="s">
        <v>54</v>
      </c>
      <c r="D24" s="4" t="s">
        <v>50</v>
      </c>
      <c r="E24" s="4" t="s">
        <v>53</v>
      </c>
      <c r="F24" s="4"/>
    </row>
    <row r="25" spans="1:6" x14ac:dyDescent="0.35">
      <c r="A25" s="4" t="s">
        <v>54</v>
      </c>
      <c r="B25" s="4" t="s">
        <v>51</v>
      </c>
      <c r="C25" s="4" t="s">
        <v>52</v>
      </c>
      <c r="D25" s="4" t="s">
        <v>174</v>
      </c>
      <c r="E25" s="4" t="s">
        <v>54</v>
      </c>
      <c r="F25" s="4"/>
    </row>
    <row r="26" spans="1:6" x14ac:dyDescent="0.35">
      <c r="A26" s="4" t="s">
        <v>56</v>
      </c>
      <c r="B26" s="4" t="s">
        <v>174</v>
      </c>
      <c r="C26" s="4" t="s">
        <v>54</v>
      </c>
      <c r="D26" s="4" t="s">
        <v>55</v>
      </c>
      <c r="E26" s="4" t="s">
        <v>53</v>
      </c>
      <c r="F26" s="4"/>
    </row>
    <row r="27" spans="1:6" x14ac:dyDescent="0.35">
      <c r="A27" s="192" t="s">
        <v>60</v>
      </c>
      <c r="B27" s="192" t="s">
        <v>60</v>
      </c>
      <c r="C27" s="192" t="s">
        <v>60</v>
      </c>
      <c r="D27" s="192" t="s">
        <v>60</v>
      </c>
      <c r="E27" s="4" t="s">
        <v>54</v>
      </c>
      <c r="F27" s="4"/>
    </row>
    <row r="28" spans="1:6" x14ac:dyDescent="0.35">
      <c r="A28" s="4" t="s">
        <v>50</v>
      </c>
      <c r="B28" s="4" t="s">
        <v>52</v>
      </c>
      <c r="C28" s="4" t="s">
        <v>174</v>
      </c>
      <c r="D28" s="4" t="s">
        <v>50</v>
      </c>
      <c r="E28" s="4" t="s">
        <v>55</v>
      </c>
      <c r="F28" s="4"/>
    </row>
    <row r="29" spans="1:6" x14ac:dyDescent="0.35">
      <c r="A29" s="4" t="s">
        <v>51</v>
      </c>
      <c r="B29" s="4" t="s">
        <v>54</v>
      </c>
      <c r="C29" s="4" t="s">
        <v>174</v>
      </c>
      <c r="D29" s="4" t="s">
        <v>52</v>
      </c>
      <c r="E29" s="4" t="s">
        <v>53</v>
      </c>
      <c r="F29" s="4"/>
    </row>
    <row r="30" spans="1:6" x14ac:dyDescent="0.35">
      <c r="A30" s="4" t="s">
        <v>49</v>
      </c>
      <c r="B30" s="4" t="s">
        <v>174</v>
      </c>
      <c r="C30" s="4" t="s">
        <v>51</v>
      </c>
      <c r="D30" s="4" t="s">
        <v>51</v>
      </c>
      <c r="E30" s="4" t="s">
        <v>54</v>
      </c>
      <c r="F30" s="4"/>
    </row>
    <row r="31" spans="1:6" x14ac:dyDescent="0.35">
      <c r="A31" s="4" t="s">
        <v>49</v>
      </c>
      <c r="B31" s="4" t="s">
        <v>49</v>
      </c>
      <c r="C31" s="4" t="s">
        <v>51</v>
      </c>
      <c r="D31" s="4" t="s">
        <v>53</v>
      </c>
      <c r="E31" s="4" t="s">
        <v>53</v>
      </c>
      <c r="F31" s="4"/>
    </row>
    <row r="32" spans="1:6" x14ac:dyDescent="0.35">
      <c r="A32" s="4" t="s">
        <v>174</v>
      </c>
      <c r="B32" s="4" t="s">
        <v>51</v>
      </c>
      <c r="C32" s="4" t="s">
        <v>174</v>
      </c>
      <c r="D32" s="4" t="s">
        <v>49</v>
      </c>
      <c r="E32" s="4" t="s">
        <v>54</v>
      </c>
      <c r="F32" s="4"/>
    </row>
    <row r="33" spans="1:6" x14ac:dyDescent="0.35">
      <c r="A33" s="4" t="s">
        <v>49</v>
      </c>
      <c r="B33" s="4" t="s">
        <v>49</v>
      </c>
      <c r="C33" s="4" t="s">
        <v>53</v>
      </c>
      <c r="D33" s="4" t="s">
        <v>49</v>
      </c>
      <c r="E33" s="4" t="s">
        <v>56</v>
      </c>
      <c r="F33" s="4"/>
    </row>
    <row r="34" spans="1:6" x14ac:dyDescent="0.35">
      <c r="A34" s="4" t="s">
        <v>56</v>
      </c>
      <c r="B34" s="4" t="s">
        <v>52</v>
      </c>
      <c r="C34" s="4" t="s">
        <v>49</v>
      </c>
      <c r="D34" s="4" t="s">
        <v>53</v>
      </c>
      <c r="E34" s="4" t="s">
        <v>54</v>
      </c>
      <c r="F34" s="4"/>
    </row>
    <row r="35" spans="1:6" x14ac:dyDescent="0.35">
      <c r="A35" s="192" t="s">
        <v>60</v>
      </c>
      <c r="B35" s="192" t="s">
        <v>60</v>
      </c>
      <c r="C35" s="192" t="s">
        <v>60</v>
      </c>
      <c r="D35" s="192" t="s">
        <v>60</v>
      </c>
      <c r="E35" s="4" t="s">
        <v>54</v>
      </c>
      <c r="F35" s="4"/>
    </row>
    <row r="36" spans="1:6" x14ac:dyDescent="0.35">
      <c r="A36" s="192" t="s">
        <v>60</v>
      </c>
      <c r="B36" s="192" t="s">
        <v>60</v>
      </c>
      <c r="C36" s="192" t="s">
        <v>60</v>
      </c>
      <c r="D36" s="192" t="s">
        <v>60</v>
      </c>
      <c r="E36" s="4" t="s">
        <v>53</v>
      </c>
      <c r="F36" s="4"/>
    </row>
    <row r="37" spans="1:6" x14ac:dyDescent="0.35">
      <c r="A37" s="4" t="s">
        <v>51</v>
      </c>
      <c r="B37" s="4" t="s">
        <v>49</v>
      </c>
      <c r="C37" s="4" t="s">
        <v>174</v>
      </c>
      <c r="D37" s="4" t="s">
        <v>51</v>
      </c>
      <c r="E37" s="4" t="s">
        <v>55</v>
      </c>
      <c r="F37" s="4"/>
    </row>
    <row r="38" spans="1:6" x14ac:dyDescent="0.35">
      <c r="A38" s="4" t="s">
        <v>50</v>
      </c>
      <c r="B38" s="4" t="s">
        <v>51</v>
      </c>
      <c r="C38" s="4" t="s">
        <v>53</v>
      </c>
      <c r="D38" s="4" t="s">
        <v>49</v>
      </c>
      <c r="E38" s="4" t="s">
        <v>54</v>
      </c>
      <c r="F38" s="4"/>
    </row>
    <row r="39" spans="1:6" x14ac:dyDescent="0.35">
      <c r="A39" s="4" t="s">
        <v>56</v>
      </c>
      <c r="B39" s="4" t="s">
        <v>51</v>
      </c>
      <c r="C39" s="4" t="s">
        <v>51</v>
      </c>
      <c r="D39" s="4" t="s">
        <v>174</v>
      </c>
      <c r="E39" s="4" t="s">
        <v>54</v>
      </c>
      <c r="F39" s="4"/>
    </row>
    <row r="40" spans="1:6" x14ac:dyDescent="0.35">
      <c r="A40" s="4" t="s">
        <v>174</v>
      </c>
      <c r="B40" s="4" t="s">
        <v>49</v>
      </c>
      <c r="C40" s="4" t="s">
        <v>55</v>
      </c>
      <c r="D40" s="4" t="s">
        <v>50</v>
      </c>
      <c r="E40" s="4" t="s">
        <v>54</v>
      </c>
      <c r="F40" s="4"/>
    </row>
    <row r="41" spans="1:6" x14ac:dyDescent="0.35">
      <c r="A41" s="192" t="s">
        <v>60</v>
      </c>
      <c r="B41" s="192" t="s">
        <v>60</v>
      </c>
      <c r="C41" s="192" t="s">
        <v>60</v>
      </c>
      <c r="D41" s="192" t="s">
        <v>60</v>
      </c>
      <c r="E41" s="4" t="s">
        <v>56</v>
      </c>
      <c r="F41" s="4"/>
    </row>
    <row r="42" spans="1:6" x14ac:dyDescent="0.35">
      <c r="A42" s="192" t="s">
        <v>60</v>
      </c>
      <c r="B42" s="192" t="s">
        <v>60</v>
      </c>
      <c r="C42" s="192" t="s">
        <v>60</v>
      </c>
      <c r="D42" s="192" t="s">
        <v>60</v>
      </c>
      <c r="E42" s="4" t="s">
        <v>54</v>
      </c>
      <c r="F42" s="4"/>
    </row>
    <row r="43" spans="1:6" x14ac:dyDescent="0.35">
      <c r="A43" s="192" t="s">
        <v>60</v>
      </c>
      <c r="B43" s="192" t="s">
        <v>60</v>
      </c>
      <c r="C43" s="192" t="s">
        <v>60</v>
      </c>
      <c r="D43" s="192" t="s">
        <v>60</v>
      </c>
      <c r="E43" s="4" t="s">
        <v>54</v>
      </c>
      <c r="F43" s="4"/>
    </row>
    <row r="44" spans="1:6" x14ac:dyDescent="0.35">
      <c r="A44" s="4" t="s">
        <v>174</v>
      </c>
      <c r="B44" s="4" t="s">
        <v>52</v>
      </c>
      <c r="C44" s="4" t="s">
        <v>52</v>
      </c>
      <c r="D44" s="4" t="s">
        <v>54</v>
      </c>
      <c r="E44" s="4" t="s">
        <v>53</v>
      </c>
      <c r="F44" s="4"/>
    </row>
    <row r="45" spans="1:6" x14ac:dyDescent="0.35">
      <c r="A45" s="4" t="s">
        <v>54</v>
      </c>
      <c r="B45" s="4" t="s">
        <v>54</v>
      </c>
      <c r="C45" s="4" t="s">
        <v>49</v>
      </c>
      <c r="D45" s="4" t="s">
        <v>51</v>
      </c>
      <c r="E45" s="4" t="s">
        <v>54</v>
      </c>
      <c r="F45" s="4"/>
    </row>
    <row r="46" spans="1:6" x14ac:dyDescent="0.35">
      <c r="A46" s="4" t="s">
        <v>52</v>
      </c>
      <c r="B46" s="4" t="s">
        <v>49</v>
      </c>
      <c r="C46" s="4" t="s">
        <v>51</v>
      </c>
      <c r="D46" s="4" t="s">
        <v>49</v>
      </c>
      <c r="E46" s="4" t="s">
        <v>54</v>
      </c>
      <c r="F46" s="4"/>
    </row>
    <row r="47" spans="1:6" x14ac:dyDescent="0.35">
      <c r="A47" s="4" t="s">
        <v>52</v>
      </c>
      <c r="B47" s="4" t="s">
        <v>174</v>
      </c>
      <c r="C47" s="4" t="s">
        <v>51</v>
      </c>
      <c r="D47" s="4" t="s">
        <v>49</v>
      </c>
      <c r="E47" s="4" t="s">
        <v>56</v>
      </c>
      <c r="F47" s="4"/>
    </row>
    <row r="48" spans="1:6" x14ac:dyDescent="0.35">
      <c r="A48" s="192" t="s">
        <v>60</v>
      </c>
      <c r="B48" s="192" t="s">
        <v>60</v>
      </c>
      <c r="C48" s="192" t="s">
        <v>60</v>
      </c>
      <c r="D48" s="192" t="s">
        <v>60</v>
      </c>
      <c r="E48" s="4" t="s">
        <v>54</v>
      </c>
      <c r="F48" s="4"/>
    </row>
    <row r="49" spans="1:6" x14ac:dyDescent="0.35">
      <c r="A49" s="4" t="s">
        <v>53</v>
      </c>
      <c r="B49" s="4" t="s">
        <v>56</v>
      </c>
      <c r="C49" s="4" t="s">
        <v>50</v>
      </c>
      <c r="D49" s="4" t="s">
        <v>174</v>
      </c>
      <c r="E49" s="4" t="s">
        <v>53</v>
      </c>
      <c r="F49" s="4"/>
    </row>
    <row r="50" spans="1:6" x14ac:dyDescent="0.35">
      <c r="A50" s="4" t="s">
        <v>174</v>
      </c>
      <c r="B50" s="4" t="s">
        <v>56</v>
      </c>
      <c r="C50" s="4" t="s">
        <v>50</v>
      </c>
      <c r="D50" s="4" t="s">
        <v>56</v>
      </c>
      <c r="E50" s="4" t="s">
        <v>54</v>
      </c>
      <c r="F50" s="4"/>
    </row>
    <row r="51" spans="1:6" x14ac:dyDescent="0.35">
      <c r="A51" s="4" t="s">
        <v>55</v>
      </c>
      <c r="B51" s="4" t="s">
        <v>50</v>
      </c>
      <c r="C51" s="4" t="s">
        <v>50</v>
      </c>
      <c r="D51" s="4" t="s">
        <v>53</v>
      </c>
      <c r="E51" s="4" t="s">
        <v>54</v>
      </c>
      <c r="F51" s="4"/>
    </row>
    <row r="52" spans="1:6" x14ac:dyDescent="0.35">
      <c r="A52" s="4" t="s">
        <v>52</v>
      </c>
      <c r="B52" s="4" t="s">
        <v>52</v>
      </c>
      <c r="C52" s="4" t="s">
        <v>51</v>
      </c>
      <c r="D52" s="4" t="s">
        <v>50</v>
      </c>
      <c r="E52" s="4" t="s">
        <v>53</v>
      </c>
      <c r="F52" s="4"/>
    </row>
    <row r="53" spans="1:6" x14ac:dyDescent="0.35">
      <c r="A53" s="4" t="s">
        <v>49</v>
      </c>
      <c r="B53" s="4" t="s">
        <v>50</v>
      </c>
      <c r="C53" s="4" t="s">
        <v>51</v>
      </c>
      <c r="D53" s="4" t="s">
        <v>51</v>
      </c>
      <c r="E53" s="4" t="s">
        <v>53</v>
      </c>
      <c r="F53" s="4"/>
    </row>
    <row r="54" spans="1:6" x14ac:dyDescent="0.35">
      <c r="A54" s="4" t="s">
        <v>52</v>
      </c>
      <c r="B54" s="4" t="s">
        <v>53</v>
      </c>
      <c r="C54" s="4" t="s">
        <v>56</v>
      </c>
      <c r="D54" s="4" t="s">
        <v>55</v>
      </c>
      <c r="E54" s="4" t="s">
        <v>53</v>
      </c>
      <c r="F54" s="4"/>
    </row>
    <row r="55" spans="1:6" x14ac:dyDescent="0.35">
      <c r="A55" s="4" t="s">
        <v>55</v>
      </c>
      <c r="B55" s="4" t="s">
        <v>51</v>
      </c>
      <c r="C55" s="4" t="s">
        <v>49</v>
      </c>
      <c r="D55" s="4" t="s">
        <v>53</v>
      </c>
      <c r="E55" s="4" t="s">
        <v>53</v>
      </c>
      <c r="F55" s="4"/>
    </row>
    <row r="56" spans="1:6" x14ac:dyDescent="0.35">
      <c r="A56" s="192" t="s">
        <v>60</v>
      </c>
      <c r="B56" s="192" t="s">
        <v>60</v>
      </c>
      <c r="C56" s="192" t="s">
        <v>60</v>
      </c>
      <c r="D56" s="192" t="s">
        <v>60</v>
      </c>
      <c r="E56" s="4" t="s">
        <v>54</v>
      </c>
      <c r="F56" s="4"/>
    </row>
    <row r="57" spans="1:6" x14ac:dyDescent="0.35">
      <c r="A57" s="192" t="s">
        <v>60</v>
      </c>
      <c r="B57" s="192" t="s">
        <v>60</v>
      </c>
      <c r="C57" s="192" t="s">
        <v>60</v>
      </c>
      <c r="D57" s="192" t="s">
        <v>60</v>
      </c>
      <c r="E57" s="4" t="s">
        <v>54</v>
      </c>
      <c r="F57" s="4"/>
    </row>
    <row r="58" spans="1:6" x14ac:dyDescent="0.35">
      <c r="A58" s="4" t="s">
        <v>51</v>
      </c>
      <c r="B58" s="4" t="s">
        <v>50</v>
      </c>
      <c r="C58" s="4" t="s">
        <v>52</v>
      </c>
      <c r="D58" s="4" t="s">
        <v>174</v>
      </c>
      <c r="E58" s="4" t="s">
        <v>54</v>
      </c>
      <c r="F58" s="4"/>
    </row>
    <row r="59" spans="1:6" x14ac:dyDescent="0.35">
      <c r="A59" s="4" t="s">
        <v>49</v>
      </c>
      <c r="B59" s="4" t="s">
        <v>55</v>
      </c>
      <c r="C59" s="4" t="s">
        <v>53</v>
      </c>
      <c r="D59" s="4" t="s">
        <v>50</v>
      </c>
      <c r="E59" s="4" t="s">
        <v>53</v>
      </c>
      <c r="F59" s="4"/>
    </row>
    <row r="60" spans="1:6" x14ac:dyDescent="0.35">
      <c r="A60" s="4" t="s">
        <v>52</v>
      </c>
      <c r="B60" s="4" t="s">
        <v>53</v>
      </c>
      <c r="C60" s="4" t="s">
        <v>49</v>
      </c>
      <c r="D60" s="4" t="s">
        <v>50</v>
      </c>
      <c r="E60" s="4" t="s">
        <v>55</v>
      </c>
      <c r="F60" s="4"/>
    </row>
    <row r="61" spans="1:6" x14ac:dyDescent="0.35">
      <c r="A61" s="4" t="s">
        <v>49</v>
      </c>
      <c r="B61" s="4" t="s">
        <v>50</v>
      </c>
      <c r="C61" s="4" t="s">
        <v>53</v>
      </c>
      <c r="D61" s="4" t="s">
        <v>50</v>
      </c>
      <c r="E61" s="4" t="s">
        <v>53</v>
      </c>
      <c r="F61" s="4"/>
    </row>
    <row r="62" spans="1:6" x14ac:dyDescent="0.35">
      <c r="A62" s="4" t="s">
        <v>50</v>
      </c>
      <c r="B62" s="4" t="s">
        <v>53</v>
      </c>
      <c r="C62" s="4" t="s">
        <v>55</v>
      </c>
      <c r="D62" s="4" t="s">
        <v>51</v>
      </c>
      <c r="E62" s="4" t="s">
        <v>53</v>
      </c>
      <c r="F62" s="4"/>
    </row>
    <row r="63" spans="1:6" x14ac:dyDescent="0.35">
      <c r="A63" s="4" t="s">
        <v>50</v>
      </c>
      <c r="B63" s="4" t="s">
        <v>51</v>
      </c>
      <c r="C63" s="4" t="s">
        <v>55</v>
      </c>
      <c r="D63" s="4" t="s">
        <v>54</v>
      </c>
      <c r="E63" s="4" t="s">
        <v>53</v>
      </c>
      <c r="F63" s="4"/>
    </row>
    <row r="64" spans="1:6" x14ac:dyDescent="0.35">
      <c r="A64" s="192" t="s">
        <v>60</v>
      </c>
      <c r="B64" s="192" t="s">
        <v>60</v>
      </c>
      <c r="C64" s="192" t="s">
        <v>60</v>
      </c>
      <c r="D64" s="192" t="s">
        <v>60</v>
      </c>
      <c r="E64" s="4" t="s">
        <v>54</v>
      </c>
      <c r="F64" s="4"/>
    </row>
    <row r="65" spans="1:6" x14ac:dyDescent="0.35">
      <c r="A65" s="192" t="s">
        <v>60</v>
      </c>
      <c r="B65" s="192" t="s">
        <v>60</v>
      </c>
      <c r="C65" s="192" t="s">
        <v>60</v>
      </c>
      <c r="D65" s="192" t="s">
        <v>60</v>
      </c>
      <c r="E65" s="4" t="s">
        <v>55</v>
      </c>
      <c r="F65" s="4"/>
    </row>
    <row r="66" spans="1:6" x14ac:dyDescent="0.35">
      <c r="A66" s="4" t="s">
        <v>52</v>
      </c>
      <c r="B66" s="4" t="s">
        <v>50</v>
      </c>
      <c r="C66" s="4" t="s">
        <v>49</v>
      </c>
      <c r="D66" s="4" t="s">
        <v>52</v>
      </c>
      <c r="E66" s="4" t="s">
        <v>54</v>
      </c>
      <c r="F66" s="4"/>
    </row>
    <row r="67" spans="1:6" x14ac:dyDescent="0.35">
      <c r="A67" s="4" t="s">
        <v>52</v>
      </c>
      <c r="B67" s="4" t="s">
        <v>55</v>
      </c>
      <c r="C67" s="4" t="s">
        <v>49</v>
      </c>
      <c r="D67" s="4" t="s">
        <v>51</v>
      </c>
      <c r="E67" s="4" t="s">
        <v>54</v>
      </c>
      <c r="F67" s="4"/>
    </row>
    <row r="68" spans="1:6" x14ac:dyDescent="0.35">
      <c r="A68" s="4" t="s">
        <v>50</v>
      </c>
      <c r="B68" s="4" t="s">
        <v>54</v>
      </c>
      <c r="C68" s="4" t="s">
        <v>50</v>
      </c>
      <c r="D68" s="4" t="s">
        <v>49</v>
      </c>
      <c r="E68" s="4" t="s">
        <v>53</v>
      </c>
      <c r="F68" s="4"/>
    </row>
    <row r="69" spans="1:6" x14ac:dyDescent="0.35">
      <c r="A69" s="4" t="s">
        <v>51</v>
      </c>
      <c r="B69" s="4" t="s">
        <v>51</v>
      </c>
      <c r="C69" s="4" t="s">
        <v>174</v>
      </c>
      <c r="D69" s="4" t="s">
        <v>52</v>
      </c>
      <c r="E69" s="4" t="s">
        <v>56</v>
      </c>
      <c r="F69" s="4"/>
    </row>
    <row r="70" spans="1:6" x14ac:dyDescent="0.35">
      <c r="A70" s="4" t="s">
        <v>51</v>
      </c>
      <c r="B70" s="4" t="s">
        <v>51</v>
      </c>
      <c r="C70" s="4" t="s">
        <v>54</v>
      </c>
      <c r="D70" s="4" t="s">
        <v>51</v>
      </c>
      <c r="E70" s="4" t="s">
        <v>55</v>
      </c>
      <c r="F70" s="4"/>
    </row>
    <row r="71" spans="1:6" x14ac:dyDescent="0.35">
      <c r="A71" s="4" t="s">
        <v>53</v>
      </c>
      <c r="B71" s="4" t="s">
        <v>52</v>
      </c>
      <c r="C71" s="4" t="s">
        <v>52</v>
      </c>
      <c r="D71" s="4" t="s">
        <v>55</v>
      </c>
      <c r="E71" s="4" t="s">
        <v>53</v>
      </c>
      <c r="F71" s="4"/>
    </row>
    <row r="72" spans="1:6" x14ac:dyDescent="0.35">
      <c r="A72" s="192" t="s">
        <v>60</v>
      </c>
      <c r="B72" s="192" t="s">
        <v>60</v>
      </c>
      <c r="C72" s="192" t="s">
        <v>60</v>
      </c>
      <c r="D72" s="192" t="s">
        <v>60</v>
      </c>
      <c r="E72" s="4" t="s">
        <v>55</v>
      </c>
      <c r="F72" s="4"/>
    </row>
    <row r="73" spans="1:6" x14ac:dyDescent="0.35">
      <c r="A73" s="4" t="s">
        <v>174</v>
      </c>
      <c r="B73" s="4" t="s">
        <v>174</v>
      </c>
      <c r="C73" s="4" t="s">
        <v>56</v>
      </c>
      <c r="D73" s="4" t="s">
        <v>54</v>
      </c>
      <c r="E73" s="4" t="s">
        <v>54</v>
      </c>
      <c r="F73" s="4"/>
    </row>
    <row r="74" spans="1:6" x14ac:dyDescent="0.35">
      <c r="A74" s="4" t="s">
        <v>51</v>
      </c>
      <c r="B74" s="4" t="s">
        <v>54</v>
      </c>
      <c r="C74" s="4" t="s">
        <v>51</v>
      </c>
      <c r="D74" s="4" t="s">
        <v>56</v>
      </c>
      <c r="E74" s="4" t="s">
        <v>53</v>
      </c>
      <c r="F74" s="4"/>
    </row>
    <row r="75" spans="1:6" x14ac:dyDescent="0.35">
      <c r="A75" s="4" t="s">
        <v>54</v>
      </c>
      <c r="B75" s="4" t="s">
        <v>50</v>
      </c>
      <c r="C75" s="4" t="s">
        <v>50</v>
      </c>
      <c r="D75" s="4" t="s">
        <v>52</v>
      </c>
      <c r="E75" s="4" t="s">
        <v>55</v>
      </c>
      <c r="F75" s="4"/>
    </row>
    <row r="76" spans="1:6" x14ac:dyDescent="0.35">
      <c r="A76" s="4" t="s">
        <v>51</v>
      </c>
      <c r="B76" s="4" t="s">
        <v>50</v>
      </c>
      <c r="C76" s="4" t="s">
        <v>56</v>
      </c>
      <c r="D76" s="4" t="s">
        <v>52</v>
      </c>
      <c r="E76" s="4" t="s">
        <v>53</v>
      </c>
      <c r="F76" s="4"/>
    </row>
    <row r="77" spans="1:6" x14ac:dyDescent="0.35">
      <c r="A77" s="4" t="s">
        <v>55</v>
      </c>
      <c r="B77" s="4" t="s">
        <v>49</v>
      </c>
      <c r="C77" s="4" t="s">
        <v>55</v>
      </c>
      <c r="D77" s="4" t="s">
        <v>54</v>
      </c>
      <c r="E77" s="4" t="s">
        <v>54</v>
      </c>
      <c r="F77" s="4"/>
    </row>
    <row r="78" spans="1:6" x14ac:dyDescent="0.35">
      <c r="A78" s="4"/>
      <c r="B78" s="4"/>
      <c r="C78" s="4"/>
      <c r="D78" s="4"/>
      <c r="E78" s="4" t="s">
        <v>53</v>
      </c>
      <c r="F78" s="4"/>
    </row>
    <row r="79" spans="1:6" x14ac:dyDescent="0.35">
      <c r="A79" s="4"/>
      <c r="B79" s="4"/>
      <c r="C79" s="4"/>
      <c r="D79" s="4"/>
      <c r="E79" s="4" t="s">
        <v>53</v>
      </c>
      <c r="F79" s="4"/>
    </row>
    <row r="80" spans="1:6" x14ac:dyDescent="0.35">
      <c r="A80" s="4"/>
      <c r="B80" s="4"/>
      <c r="C80" s="4"/>
      <c r="D80" s="4"/>
      <c r="E80" s="4" t="s">
        <v>54</v>
      </c>
      <c r="F80" s="4"/>
    </row>
    <row r="81" spans="1:6" x14ac:dyDescent="0.35">
      <c r="A81" s="4"/>
      <c r="B81" s="4"/>
      <c r="C81" s="4"/>
      <c r="D81" s="4"/>
      <c r="E81" s="4" t="s">
        <v>54</v>
      </c>
      <c r="F81" s="4"/>
    </row>
    <row r="82" spans="1:6" x14ac:dyDescent="0.35">
      <c r="A82" s="4"/>
      <c r="B82" s="4"/>
      <c r="C82" s="4"/>
      <c r="D82" s="4"/>
      <c r="E82" s="4" t="s">
        <v>55</v>
      </c>
      <c r="F82" s="4"/>
    </row>
    <row r="83" spans="1:6" x14ac:dyDescent="0.35">
      <c r="A83" s="4"/>
      <c r="B83" s="4"/>
      <c r="C83" s="4"/>
      <c r="D83" s="4"/>
      <c r="E83" s="4" t="s">
        <v>55</v>
      </c>
      <c r="F83" s="4"/>
    </row>
    <row r="84" spans="1:6" x14ac:dyDescent="0.35">
      <c r="A84" s="4"/>
      <c r="B84" s="4"/>
      <c r="C84" s="4"/>
      <c r="D84" s="4"/>
      <c r="E84" s="4" t="s">
        <v>54</v>
      </c>
      <c r="F84" s="4"/>
    </row>
    <row r="85" spans="1:6" x14ac:dyDescent="0.35">
      <c r="A85" s="4"/>
      <c r="B85" s="4"/>
      <c r="C85" s="4"/>
      <c r="D85" s="4"/>
      <c r="E85" s="4" t="s">
        <v>53</v>
      </c>
      <c r="F85" s="4"/>
    </row>
    <row r="86" spans="1:6" x14ac:dyDescent="0.35">
      <c r="A86" s="4"/>
      <c r="B86" s="4"/>
      <c r="C86" s="4"/>
      <c r="D86" s="4"/>
      <c r="E86" s="4" t="s">
        <v>54</v>
      </c>
      <c r="F86" s="4"/>
    </row>
    <row r="87" spans="1:6" x14ac:dyDescent="0.35">
      <c r="A87" s="4"/>
      <c r="B87" s="4"/>
      <c r="C87" s="4"/>
      <c r="D87" s="4"/>
      <c r="E87" s="4" t="s">
        <v>55</v>
      </c>
      <c r="F87" s="4"/>
    </row>
    <row r="88" spans="1:6" x14ac:dyDescent="0.35">
      <c r="A88" s="4"/>
      <c r="B88" s="4"/>
      <c r="C88" s="4"/>
      <c r="D88" s="4"/>
      <c r="E88" s="4" t="s">
        <v>54</v>
      </c>
      <c r="F88" s="4"/>
    </row>
    <row r="89" spans="1:6" x14ac:dyDescent="0.35">
      <c r="A89" s="4"/>
      <c r="B89" s="4"/>
      <c r="C89" s="4"/>
      <c r="D89" s="4"/>
      <c r="E89" s="4" t="s">
        <v>55</v>
      </c>
      <c r="F89" s="4"/>
    </row>
    <row r="90" spans="1:6" x14ac:dyDescent="0.35">
      <c r="A90" s="4"/>
      <c r="B90" s="4"/>
      <c r="C90" s="4"/>
      <c r="D90" s="4"/>
      <c r="E90" s="4" t="s">
        <v>54</v>
      </c>
      <c r="F90" s="4"/>
    </row>
    <row r="91" spans="1:6" x14ac:dyDescent="0.35">
      <c r="A91" s="4"/>
      <c r="B91" s="4"/>
      <c r="C91" s="4"/>
      <c r="D91" s="4"/>
      <c r="E91" s="4" t="s">
        <v>55</v>
      </c>
      <c r="F91" s="4"/>
    </row>
    <row r="92" spans="1:6" x14ac:dyDescent="0.35">
      <c r="A92" s="4"/>
      <c r="B92" s="4"/>
      <c r="C92" s="4"/>
      <c r="D92" s="4"/>
      <c r="E92" s="4" t="s">
        <v>54</v>
      </c>
      <c r="F92" s="4"/>
    </row>
    <row r="93" spans="1:6" x14ac:dyDescent="0.35">
      <c r="A93" s="4"/>
      <c r="B93" s="4"/>
      <c r="C93" s="4"/>
      <c r="D93" s="4"/>
      <c r="E93" s="4" t="s">
        <v>54</v>
      </c>
      <c r="F93" s="4"/>
    </row>
    <row r="94" spans="1:6" x14ac:dyDescent="0.35">
      <c r="A94" s="4"/>
      <c r="B94" s="4"/>
      <c r="C94" s="4"/>
      <c r="D94" s="4"/>
      <c r="E94" s="4" t="s">
        <v>54</v>
      </c>
      <c r="F94" s="4"/>
    </row>
    <row r="95" spans="1:6" x14ac:dyDescent="0.35">
      <c r="A95" s="4"/>
      <c r="B95" s="4"/>
      <c r="C95" s="4"/>
      <c r="D95" s="4"/>
      <c r="E95" s="4" t="s">
        <v>55</v>
      </c>
      <c r="F95" s="4"/>
    </row>
    <row r="96" spans="1:6" x14ac:dyDescent="0.35">
      <c r="A96" s="4"/>
      <c r="B96" s="4"/>
      <c r="C96" s="4"/>
      <c r="D96" s="4"/>
      <c r="E96" s="4" t="s">
        <v>53</v>
      </c>
      <c r="F96" s="4"/>
    </row>
    <row r="97" spans="1:6" x14ac:dyDescent="0.35">
      <c r="A97" s="4"/>
      <c r="B97" s="4"/>
      <c r="C97" s="4"/>
      <c r="D97" s="4"/>
      <c r="E97" s="4" t="s">
        <v>56</v>
      </c>
      <c r="F97" s="4"/>
    </row>
    <row r="98" spans="1:6" x14ac:dyDescent="0.35">
      <c r="A98" s="4"/>
      <c r="B98" s="4"/>
      <c r="C98" s="4"/>
      <c r="D98" s="4"/>
      <c r="E98" s="4" t="s">
        <v>56</v>
      </c>
      <c r="F98" s="4"/>
    </row>
    <row r="99" spans="1:6" x14ac:dyDescent="0.35">
      <c r="A99" s="4"/>
      <c r="B99" s="4"/>
      <c r="C99" s="4"/>
      <c r="D99" s="4"/>
      <c r="E99" s="4" t="s">
        <v>56</v>
      </c>
      <c r="F99" s="4"/>
    </row>
    <row r="100" spans="1:6" x14ac:dyDescent="0.35">
      <c r="A100" s="4"/>
      <c r="B100" s="4"/>
      <c r="C100" s="4"/>
      <c r="D100" s="4"/>
      <c r="E100" s="4" t="s">
        <v>55</v>
      </c>
      <c r="F100" s="4"/>
    </row>
    <row r="101" spans="1:6" x14ac:dyDescent="0.35">
      <c r="A101" s="4"/>
      <c r="B101" s="4"/>
      <c r="C101" s="4"/>
      <c r="D101" s="4"/>
      <c r="E101" s="4" t="s">
        <v>53</v>
      </c>
      <c r="F101" s="4"/>
    </row>
    <row r="102" spans="1:6" x14ac:dyDescent="0.35">
      <c r="A102" s="4"/>
      <c r="B102" s="4"/>
      <c r="C102" s="4"/>
      <c r="D102" s="4"/>
      <c r="E102" s="4" t="s">
        <v>53</v>
      </c>
      <c r="F102" s="4"/>
    </row>
    <row r="103" spans="1:6" x14ac:dyDescent="0.35">
      <c r="A103" s="4"/>
      <c r="B103" s="4"/>
      <c r="C103" s="4"/>
      <c r="D103" s="4"/>
      <c r="E103" s="4" t="s">
        <v>56</v>
      </c>
      <c r="F103" s="4"/>
    </row>
    <row r="104" spans="1:6" x14ac:dyDescent="0.35">
      <c r="A104" s="4"/>
      <c r="B104" s="4"/>
      <c r="C104" s="4"/>
      <c r="D104" s="4"/>
      <c r="E104" s="4" t="s">
        <v>54</v>
      </c>
      <c r="F104" s="4"/>
    </row>
    <row r="105" spans="1:6" x14ac:dyDescent="0.35">
      <c r="A105" s="4"/>
      <c r="B105" s="4"/>
      <c r="C105" s="4"/>
      <c r="D105" s="4"/>
      <c r="E105" s="4" t="s">
        <v>54</v>
      </c>
      <c r="F105" s="4"/>
    </row>
    <row r="106" spans="1:6" x14ac:dyDescent="0.35">
      <c r="A106" s="4"/>
      <c r="B106" s="4"/>
      <c r="C106" s="4"/>
      <c r="D106" s="4"/>
      <c r="E106" s="4" t="s">
        <v>53</v>
      </c>
      <c r="F106" s="4"/>
    </row>
    <row r="107" spans="1:6" x14ac:dyDescent="0.35">
      <c r="A107" s="4"/>
      <c r="B107" s="4"/>
      <c r="C107" s="4"/>
      <c r="D107" s="4"/>
      <c r="E107" s="4" t="s">
        <v>56</v>
      </c>
      <c r="F107" s="4"/>
    </row>
    <row r="108" spans="1:6" x14ac:dyDescent="0.35">
      <c r="A108" s="4"/>
      <c r="B108" s="4"/>
      <c r="C108" s="4"/>
      <c r="D108" s="4"/>
      <c r="E108" s="4" t="s">
        <v>54</v>
      </c>
      <c r="F108" s="4"/>
    </row>
    <row r="109" spans="1:6" x14ac:dyDescent="0.35">
      <c r="A109" s="4"/>
      <c r="B109" s="4"/>
      <c r="C109" s="4"/>
      <c r="D109" s="4"/>
      <c r="E109" s="4" t="s">
        <v>54</v>
      </c>
      <c r="F109" s="4"/>
    </row>
    <row r="110" spans="1:6" x14ac:dyDescent="0.35">
      <c r="A110" s="4"/>
      <c r="B110" s="4"/>
      <c r="C110" s="4"/>
      <c r="D110" s="4"/>
      <c r="E110" s="4" t="s">
        <v>55</v>
      </c>
      <c r="F110" s="4"/>
    </row>
    <row r="111" spans="1:6" x14ac:dyDescent="0.35">
      <c r="A111" s="4"/>
      <c r="B111" s="4"/>
      <c r="C111" s="4"/>
      <c r="D111" s="4"/>
      <c r="E111" s="4" t="s">
        <v>54</v>
      </c>
      <c r="F111" s="4"/>
    </row>
    <row r="112" spans="1:6" x14ac:dyDescent="0.35">
      <c r="A112" s="4"/>
      <c r="B112" s="4"/>
      <c r="C112" s="4"/>
      <c r="D112" s="4"/>
      <c r="E112" s="4" t="s">
        <v>56</v>
      </c>
      <c r="F112" s="4"/>
    </row>
    <row r="113" spans="1:6" x14ac:dyDescent="0.35">
      <c r="A113" s="4"/>
      <c r="B113" s="4"/>
      <c r="C113" s="4"/>
      <c r="D113" s="4"/>
      <c r="E113" s="4" t="s">
        <v>54</v>
      </c>
      <c r="F113" s="4"/>
    </row>
    <row r="114" spans="1:6" x14ac:dyDescent="0.35">
      <c r="A114" s="4"/>
      <c r="B114" s="4"/>
      <c r="C114" s="4"/>
      <c r="D114" s="4"/>
      <c r="E114" s="4" t="s">
        <v>54</v>
      </c>
      <c r="F114" s="4"/>
    </row>
    <row r="115" spans="1:6" x14ac:dyDescent="0.35">
      <c r="A115" s="4"/>
      <c r="B115" s="4"/>
      <c r="C115" s="4"/>
      <c r="D115" s="4"/>
      <c r="E115" s="4" t="s">
        <v>56</v>
      </c>
      <c r="F115" s="4"/>
    </row>
    <row r="116" spans="1:6" x14ac:dyDescent="0.35">
      <c r="A116" s="4"/>
      <c r="B116" s="4"/>
      <c r="C116" s="4"/>
      <c r="D116" s="4"/>
      <c r="E116" s="4" t="s">
        <v>54</v>
      </c>
      <c r="F116" s="4"/>
    </row>
    <row r="117" spans="1:6" x14ac:dyDescent="0.35">
      <c r="A117" s="4"/>
      <c r="B117" s="4"/>
      <c r="C117" s="4"/>
      <c r="D117" s="4"/>
      <c r="E117" s="4" t="s">
        <v>54</v>
      </c>
      <c r="F117" s="4"/>
    </row>
    <row r="118" spans="1:6" x14ac:dyDescent="0.35">
      <c r="A118" s="4"/>
      <c r="B118" s="4"/>
      <c r="C118" s="4"/>
      <c r="D118" s="4"/>
      <c r="E118" s="4" t="s">
        <v>55</v>
      </c>
      <c r="F118" s="4"/>
    </row>
    <row r="119" spans="1:6" x14ac:dyDescent="0.35">
      <c r="A119" s="4"/>
      <c r="B119" s="4"/>
      <c r="C119" s="4"/>
      <c r="D119" s="4"/>
      <c r="E119" s="4" t="s">
        <v>54</v>
      </c>
      <c r="F119" s="4"/>
    </row>
    <row r="120" spans="1:6" x14ac:dyDescent="0.35">
      <c r="A120" s="4"/>
      <c r="B120" s="4"/>
      <c r="C120" s="4"/>
      <c r="D120" s="4"/>
      <c r="E120" s="4" t="s">
        <v>54</v>
      </c>
      <c r="F120" s="4"/>
    </row>
    <row r="121" spans="1:6" x14ac:dyDescent="0.35">
      <c r="A121" s="4"/>
      <c r="B121" s="4"/>
      <c r="C121" s="4"/>
      <c r="D121" s="4"/>
      <c r="E121" s="4" t="s">
        <v>54</v>
      </c>
      <c r="F121" s="4"/>
    </row>
    <row r="122" spans="1:6" x14ac:dyDescent="0.35">
      <c r="A122" s="4"/>
      <c r="B122" s="4"/>
      <c r="C122" s="4"/>
      <c r="D122" s="4"/>
      <c r="E122" s="4" t="s">
        <v>54</v>
      </c>
      <c r="F122" s="4"/>
    </row>
    <row r="123" spans="1:6" x14ac:dyDescent="0.35">
      <c r="A123" s="4"/>
      <c r="B123" s="4"/>
      <c r="C123" s="4"/>
      <c r="D123" s="4"/>
      <c r="E123" s="4" t="s">
        <v>53</v>
      </c>
      <c r="F123" s="4"/>
    </row>
    <row r="124" spans="1:6" x14ac:dyDescent="0.35">
      <c r="A124" s="4"/>
      <c r="B124" s="4"/>
      <c r="C124" s="4"/>
      <c r="D124" s="4"/>
      <c r="E124" s="4" t="s">
        <v>55</v>
      </c>
      <c r="F124" s="4"/>
    </row>
    <row r="125" spans="1:6" x14ac:dyDescent="0.35">
      <c r="A125" s="4"/>
      <c r="B125" s="4"/>
      <c r="C125" s="4"/>
      <c r="D125" s="4"/>
      <c r="E125" s="4" t="s">
        <v>54</v>
      </c>
      <c r="F125" s="4"/>
    </row>
    <row r="126" spans="1:6" x14ac:dyDescent="0.35">
      <c r="A126" s="4"/>
      <c r="B126" s="4"/>
      <c r="C126" s="4"/>
      <c r="D126" s="4"/>
      <c r="E126" s="4" t="s">
        <v>54</v>
      </c>
      <c r="F126" s="4"/>
    </row>
    <row r="127" spans="1:6" x14ac:dyDescent="0.35">
      <c r="A127" s="4"/>
      <c r="B127" s="4"/>
      <c r="C127" s="4"/>
      <c r="D127" s="4"/>
      <c r="E127" s="4" t="s">
        <v>53</v>
      </c>
      <c r="F127" s="4"/>
    </row>
    <row r="128" spans="1:6" x14ac:dyDescent="0.35">
      <c r="A128" s="4"/>
      <c r="B128" s="4"/>
      <c r="C128" s="4"/>
      <c r="D128" s="4"/>
      <c r="E128" s="4" t="s">
        <v>54</v>
      </c>
      <c r="F128" s="4"/>
    </row>
    <row r="129" spans="1:6" x14ac:dyDescent="0.35">
      <c r="A129" s="4"/>
      <c r="B129" s="4"/>
      <c r="C129" s="4"/>
      <c r="D129" s="4"/>
      <c r="E129" s="4" t="s">
        <v>53</v>
      </c>
      <c r="F129" s="4"/>
    </row>
    <row r="130" spans="1:6" x14ac:dyDescent="0.35">
      <c r="A130" s="4"/>
      <c r="B130" s="4"/>
      <c r="C130" s="4"/>
      <c r="D130" s="4"/>
      <c r="E130" s="4" t="s">
        <v>54</v>
      </c>
      <c r="F130" s="4"/>
    </row>
    <row r="131" spans="1:6" x14ac:dyDescent="0.35">
      <c r="A131" s="4"/>
      <c r="B131" s="4"/>
      <c r="C131" s="4"/>
      <c r="D131" s="4"/>
      <c r="E131" s="4" t="s">
        <v>54</v>
      </c>
      <c r="F131" s="4"/>
    </row>
    <row r="132" spans="1:6" x14ac:dyDescent="0.35">
      <c r="A132" s="4"/>
      <c r="B132" s="4"/>
      <c r="C132" s="4"/>
      <c r="D132" s="4"/>
      <c r="E132" s="4" t="s">
        <v>56</v>
      </c>
      <c r="F132" s="4"/>
    </row>
    <row r="133" spans="1:6" x14ac:dyDescent="0.35">
      <c r="A133" s="4"/>
      <c r="B133" s="4"/>
      <c r="C133" s="4"/>
      <c r="D133" s="4"/>
      <c r="E133" s="4" t="s">
        <v>54</v>
      </c>
      <c r="F133" s="4"/>
    </row>
    <row r="134" spans="1:6" x14ac:dyDescent="0.35">
      <c r="A134" s="4"/>
      <c r="B134" s="4"/>
      <c r="C134" s="4"/>
      <c r="D134" s="4"/>
      <c r="E134" s="4" t="s">
        <v>55</v>
      </c>
      <c r="F134" s="4"/>
    </row>
    <row r="135" spans="1:6" x14ac:dyDescent="0.35">
      <c r="A135" s="4"/>
      <c r="B135" s="4"/>
      <c r="C135" s="4"/>
      <c r="D135" s="4"/>
      <c r="E135" s="4" t="s">
        <v>54</v>
      </c>
      <c r="F135" s="4"/>
    </row>
    <row r="136" spans="1:6" x14ac:dyDescent="0.35">
      <c r="A136" s="4"/>
      <c r="B136" s="4"/>
      <c r="C136" s="4"/>
      <c r="D136" s="4"/>
      <c r="E136" s="4" t="s">
        <v>55</v>
      </c>
      <c r="F136" s="4"/>
    </row>
    <row r="137" spans="1:6" x14ac:dyDescent="0.35">
      <c r="A137" s="4"/>
      <c r="B137" s="4"/>
      <c r="C137" s="4"/>
      <c r="D137" s="4"/>
      <c r="E137" s="4" t="s">
        <v>53</v>
      </c>
      <c r="F137" s="4"/>
    </row>
    <row r="138" spans="1:6" x14ac:dyDescent="0.35">
      <c r="A138" s="4"/>
      <c r="B138" s="4"/>
      <c r="C138" s="4"/>
      <c r="D138" s="4"/>
      <c r="E138" s="4" t="s">
        <v>55</v>
      </c>
      <c r="F138" s="4"/>
    </row>
    <row r="139" spans="1:6" x14ac:dyDescent="0.35">
      <c r="A139" s="4"/>
      <c r="B139" s="4"/>
      <c r="C139" s="4"/>
      <c r="D139" s="4"/>
      <c r="E139" s="4" t="s">
        <v>53</v>
      </c>
      <c r="F139" s="4"/>
    </row>
    <row r="140" spans="1:6" x14ac:dyDescent="0.35">
      <c r="A140" s="4"/>
      <c r="B140" s="4"/>
      <c r="C140" s="4"/>
      <c r="D140" s="4"/>
      <c r="E140" s="4" t="s">
        <v>53</v>
      </c>
      <c r="F140" s="4"/>
    </row>
    <row r="141" spans="1:6" x14ac:dyDescent="0.35">
      <c r="A141" s="4"/>
      <c r="B141" s="4"/>
      <c r="C141" s="4"/>
      <c r="D141" s="4"/>
      <c r="E141" s="4" t="s">
        <v>56</v>
      </c>
      <c r="F141" s="4"/>
    </row>
    <row r="142" spans="1:6" x14ac:dyDescent="0.35">
      <c r="A142" s="4"/>
      <c r="B142" s="4"/>
      <c r="C142" s="4"/>
      <c r="D142" s="4"/>
      <c r="E142" s="4" t="s">
        <v>55</v>
      </c>
      <c r="F142" s="4"/>
    </row>
    <row r="143" spans="1:6" x14ac:dyDescent="0.35">
      <c r="A143" s="4"/>
      <c r="B143" s="4"/>
      <c r="C143" s="4"/>
      <c r="D143" s="4"/>
      <c r="E143" s="4" t="s">
        <v>55</v>
      </c>
      <c r="F143" s="4"/>
    </row>
    <row r="144" spans="1:6" x14ac:dyDescent="0.35">
      <c r="A144" s="4"/>
      <c r="B144" s="4"/>
      <c r="C144" s="4"/>
      <c r="D144" s="4"/>
      <c r="E144" s="4" t="s">
        <v>54</v>
      </c>
      <c r="F144" s="4"/>
    </row>
    <row r="145" spans="1:6" x14ac:dyDescent="0.35">
      <c r="A145" s="4"/>
      <c r="B145" s="4"/>
      <c r="C145" s="4"/>
      <c r="D145" s="4"/>
      <c r="E145" s="4" t="s">
        <v>54</v>
      </c>
      <c r="F145" s="4"/>
    </row>
    <row r="146" spans="1:6" x14ac:dyDescent="0.35">
      <c r="A146" s="4"/>
      <c r="B146" s="4"/>
      <c r="C146" s="4"/>
      <c r="D146" s="4"/>
      <c r="E146" s="4" t="s">
        <v>53</v>
      </c>
      <c r="F146" s="4"/>
    </row>
    <row r="147" spans="1:6" x14ac:dyDescent="0.35">
      <c r="A147" s="4"/>
      <c r="B147" s="4"/>
      <c r="C147" s="4"/>
      <c r="D147" s="4"/>
      <c r="E147" s="4" t="s">
        <v>56</v>
      </c>
      <c r="F147" s="4"/>
    </row>
    <row r="148" spans="1:6" x14ac:dyDescent="0.35">
      <c r="A148" s="4"/>
      <c r="B148" s="4"/>
      <c r="C148" s="4"/>
      <c r="D148" s="4"/>
      <c r="E148" s="4" t="s">
        <v>54</v>
      </c>
      <c r="F148" s="4"/>
    </row>
    <row r="149" spans="1:6" x14ac:dyDescent="0.35">
      <c r="A149" s="4"/>
      <c r="B149" s="4"/>
      <c r="C149" s="4"/>
      <c r="D149" s="4"/>
      <c r="E149" s="4" t="s">
        <v>55</v>
      </c>
      <c r="F149" s="4"/>
    </row>
    <row r="150" spans="1:6" x14ac:dyDescent="0.35">
      <c r="A150" s="4"/>
      <c r="B150" s="4"/>
      <c r="C150" s="4"/>
      <c r="D150" s="4"/>
      <c r="E150" s="4" t="s">
        <v>53</v>
      </c>
      <c r="F150" s="4"/>
    </row>
    <row r="151" spans="1:6" x14ac:dyDescent="0.35">
      <c r="A151" s="4"/>
      <c r="B151" s="4"/>
      <c r="C151" s="4"/>
      <c r="D151" s="4"/>
      <c r="E151" s="4" t="s">
        <v>55</v>
      </c>
      <c r="F151" s="4"/>
    </row>
    <row r="152" spans="1:6" x14ac:dyDescent="0.35">
      <c r="A152" s="4"/>
      <c r="B152" s="4"/>
      <c r="C152" s="4"/>
      <c r="D152" s="4"/>
      <c r="E152" s="4" t="s">
        <v>54</v>
      </c>
      <c r="F152" s="4"/>
    </row>
    <row r="153" spans="1:6" x14ac:dyDescent="0.35">
      <c r="A153" s="4"/>
      <c r="B153" s="4"/>
      <c r="C153" s="4"/>
      <c r="D153" s="4"/>
      <c r="E153" s="4" t="s">
        <v>53</v>
      </c>
      <c r="F153" s="4"/>
    </row>
    <row r="154" spans="1:6" x14ac:dyDescent="0.35">
      <c r="A154" s="4"/>
      <c r="B154" s="4"/>
      <c r="C154" s="4"/>
      <c r="D154" s="4"/>
      <c r="E154" s="4" t="s">
        <v>53</v>
      </c>
      <c r="F154" s="4"/>
    </row>
    <row r="155" spans="1:6" x14ac:dyDescent="0.35">
      <c r="A155" s="4"/>
      <c r="B155" s="4"/>
      <c r="C155" s="4"/>
      <c r="D155" s="4"/>
      <c r="E155" s="4" t="s">
        <v>54</v>
      </c>
      <c r="F155" s="4"/>
    </row>
    <row r="156" spans="1:6" x14ac:dyDescent="0.35">
      <c r="A156" s="4"/>
      <c r="B156" s="4"/>
      <c r="C156" s="4"/>
      <c r="D156" s="4"/>
      <c r="E156" s="4" t="s">
        <v>56</v>
      </c>
      <c r="F156" s="4"/>
    </row>
    <row r="157" spans="1:6" x14ac:dyDescent="0.35">
      <c r="A157" s="4"/>
      <c r="B157" s="4"/>
      <c r="C157" s="4"/>
      <c r="D157" s="4"/>
      <c r="E157" s="4" t="s">
        <v>54</v>
      </c>
      <c r="F157" s="4"/>
    </row>
    <row r="158" spans="1:6" x14ac:dyDescent="0.35">
      <c r="A158" s="4"/>
      <c r="B158" s="4"/>
      <c r="C158" s="4"/>
      <c r="D158" s="4"/>
      <c r="E158" s="4" t="s">
        <v>55</v>
      </c>
      <c r="F158" s="4"/>
    </row>
    <row r="159" spans="1:6" x14ac:dyDescent="0.35">
      <c r="A159" s="4"/>
      <c r="B159" s="4"/>
      <c r="C159" s="4"/>
      <c r="D159" s="4"/>
      <c r="E159" s="4" t="s">
        <v>54</v>
      </c>
      <c r="F159" s="4"/>
    </row>
    <row r="160" spans="1:6" x14ac:dyDescent="0.35">
      <c r="A160" s="4"/>
      <c r="B160" s="4"/>
      <c r="C160" s="4"/>
      <c r="D160" s="4"/>
      <c r="E160" s="4" t="s">
        <v>53</v>
      </c>
      <c r="F160" s="4"/>
    </row>
    <row r="161" spans="1:6" x14ac:dyDescent="0.35">
      <c r="A161" s="4"/>
      <c r="B161" s="4"/>
      <c r="C161" s="4"/>
      <c r="D161" s="4"/>
      <c r="E161" s="4" t="s">
        <v>55</v>
      </c>
      <c r="F161" s="4"/>
    </row>
    <row r="162" spans="1:6" x14ac:dyDescent="0.35">
      <c r="A162" s="4"/>
      <c r="B162" s="4"/>
      <c r="C162" s="4"/>
      <c r="D162" s="4"/>
      <c r="E162" s="4" t="s">
        <v>54</v>
      </c>
      <c r="F162" s="4"/>
    </row>
    <row r="163" spans="1:6" x14ac:dyDescent="0.35">
      <c r="A163" s="4"/>
      <c r="B163" s="4"/>
      <c r="C163" s="4"/>
      <c r="D163" s="4"/>
      <c r="E163" s="4" t="s">
        <v>54</v>
      </c>
      <c r="F163" s="4"/>
    </row>
    <row r="164" spans="1:6" x14ac:dyDescent="0.35">
      <c r="A164" s="4"/>
      <c r="B164" s="4"/>
      <c r="C164" s="4"/>
      <c r="D164" s="4"/>
      <c r="E164" s="4" t="s">
        <v>56</v>
      </c>
      <c r="F164" s="4"/>
    </row>
    <row r="165" spans="1:6" x14ac:dyDescent="0.35">
      <c r="A165" s="4"/>
      <c r="B165" s="4"/>
      <c r="C165" s="4"/>
      <c r="D165" s="4"/>
      <c r="E165" s="4" t="s">
        <v>56</v>
      </c>
      <c r="F165" s="4"/>
    </row>
    <row r="166" spans="1:6" x14ac:dyDescent="0.35">
      <c r="A166" s="4"/>
      <c r="B166" s="4"/>
      <c r="C166" s="4"/>
      <c r="D166" s="4"/>
      <c r="E166" s="4" t="s">
        <v>53</v>
      </c>
      <c r="F166" s="4"/>
    </row>
    <row r="167" spans="1:6" x14ac:dyDescent="0.35">
      <c r="A167" s="4"/>
      <c r="B167" s="4"/>
      <c r="C167" s="4"/>
      <c r="D167" s="4"/>
      <c r="E167" s="4" t="s">
        <v>53</v>
      </c>
      <c r="F167" s="4"/>
    </row>
    <row r="168" spans="1:6" x14ac:dyDescent="0.35">
      <c r="A168" s="4"/>
      <c r="B168" s="4"/>
      <c r="C168" s="4"/>
      <c r="D168" s="4"/>
      <c r="E168" s="4" t="s">
        <v>56</v>
      </c>
      <c r="F168" s="4"/>
    </row>
    <row r="169" spans="1:6" x14ac:dyDescent="0.35">
      <c r="A169" s="4"/>
      <c r="B169" s="4"/>
      <c r="C169" s="4"/>
      <c r="D169" s="4"/>
      <c r="E169" s="4" t="s">
        <v>54</v>
      </c>
      <c r="F169" s="4"/>
    </row>
    <row r="170" spans="1:6" x14ac:dyDescent="0.35">
      <c r="A170" s="4"/>
      <c r="B170" s="4"/>
      <c r="C170" s="4"/>
      <c r="D170" s="4"/>
      <c r="E170" s="4" t="s">
        <v>54</v>
      </c>
      <c r="F170" s="4"/>
    </row>
    <row r="171" spans="1:6" x14ac:dyDescent="0.35">
      <c r="A171" s="4"/>
      <c r="B171" s="4"/>
      <c r="C171" s="4"/>
      <c r="D171" s="4"/>
      <c r="E171" s="4" t="s">
        <v>55</v>
      </c>
      <c r="F171" s="4"/>
    </row>
    <row r="172" spans="1:6" x14ac:dyDescent="0.35">
      <c r="A172" s="4"/>
      <c r="B172" s="4"/>
      <c r="C172" s="4"/>
      <c r="D172" s="4"/>
      <c r="E172" s="4" t="s">
        <v>55</v>
      </c>
      <c r="F172" s="4"/>
    </row>
    <row r="173" spans="1:6" x14ac:dyDescent="0.35">
      <c r="A173" s="4"/>
      <c r="B173" s="4"/>
      <c r="C173" s="4"/>
      <c r="D173" s="4"/>
      <c r="E173" s="4" t="s">
        <v>54</v>
      </c>
      <c r="F173" s="4"/>
    </row>
    <row r="174" spans="1:6" x14ac:dyDescent="0.35">
      <c r="A174" s="4"/>
      <c r="B174" s="4"/>
      <c r="C174" s="4"/>
      <c r="D174" s="4"/>
      <c r="E174" s="4" t="s">
        <v>53</v>
      </c>
      <c r="F174" s="4"/>
    </row>
    <row r="175" spans="1:6" x14ac:dyDescent="0.35">
      <c r="A175" s="4"/>
      <c r="B175" s="4"/>
      <c r="C175" s="4"/>
      <c r="D175" s="4"/>
      <c r="E175" s="4" t="s">
        <v>53</v>
      </c>
      <c r="F175" s="4"/>
    </row>
    <row r="176" spans="1:6" x14ac:dyDescent="0.35">
      <c r="A176" s="4"/>
      <c r="B176" s="4"/>
      <c r="C176" s="4"/>
      <c r="D176" s="4"/>
      <c r="E176" s="4" t="s">
        <v>55</v>
      </c>
      <c r="F176" s="4"/>
    </row>
    <row r="177" spans="1:6" x14ac:dyDescent="0.35">
      <c r="A177" s="4"/>
      <c r="B177" s="4"/>
      <c r="C177" s="4"/>
      <c r="D177" s="4"/>
      <c r="E177" s="4" t="s">
        <v>53</v>
      </c>
      <c r="F177" s="4"/>
    </row>
    <row r="178" spans="1:6" x14ac:dyDescent="0.35">
      <c r="A178" s="4"/>
      <c r="B178" s="4"/>
      <c r="C178" s="4"/>
      <c r="D178" s="4"/>
      <c r="E178" s="4" t="s">
        <v>53</v>
      </c>
      <c r="F178" s="4"/>
    </row>
    <row r="179" spans="1:6" x14ac:dyDescent="0.35">
      <c r="A179" s="4"/>
      <c r="B179" s="4"/>
      <c r="C179" s="4"/>
      <c r="D179" s="4"/>
      <c r="E179" s="4" t="s">
        <v>53</v>
      </c>
      <c r="F179" s="4"/>
    </row>
    <row r="180" spans="1:6" x14ac:dyDescent="0.35">
      <c r="A180" s="4"/>
      <c r="B180" s="4"/>
      <c r="C180" s="4"/>
      <c r="D180" s="4"/>
      <c r="E180" s="4" t="s">
        <v>56</v>
      </c>
      <c r="F180" s="4"/>
    </row>
    <row r="181" spans="1:6" x14ac:dyDescent="0.35">
      <c r="A181" s="4"/>
      <c r="B181" s="4"/>
      <c r="C181" s="4"/>
      <c r="D181" s="4"/>
      <c r="E181" s="4" t="s">
        <v>54</v>
      </c>
      <c r="F181" s="4"/>
    </row>
    <row r="182" spans="1:6" x14ac:dyDescent="0.35">
      <c r="A182" s="4"/>
      <c r="B182" s="4"/>
      <c r="C182" s="4"/>
      <c r="D182" s="4"/>
      <c r="E182" s="4" t="s">
        <v>54</v>
      </c>
      <c r="F182" s="4"/>
    </row>
    <row r="183" spans="1:6" x14ac:dyDescent="0.35">
      <c r="A183" s="4"/>
      <c r="B183" s="4"/>
      <c r="C183" s="4"/>
      <c r="D183" s="4"/>
      <c r="E183" s="4" t="s">
        <v>55</v>
      </c>
      <c r="F183" s="4"/>
    </row>
    <row r="184" spans="1:6" x14ac:dyDescent="0.35">
      <c r="A184" s="4"/>
      <c r="B184" s="4"/>
      <c r="C184" s="4"/>
      <c r="D184" s="4"/>
      <c r="E184" s="4" t="s">
        <v>54</v>
      </c>
      <c r="F184" s="4"/>
    </row>
    <row r="185" spans="1:6" x14ac:dyDescent="0.35">
      <c r="A185" s="4"/>
      <c r="B185" s="4"/>
      <c r="C185" s="4"/>
      <c r="D185" s="4"/>
      <c r="E185" s="4" t="s">
        <v>53</v>
      </c>
      <c r="F185" s="4"/>
    </row>
    <row r="186" spans="1:6" x14ac:dyDescent="0.35">
      <c r="A186" s="4"/>
      <c r="B186" s="4"/>
      <c r="C186" s="4"/>
      <c r="D186" s="4"/>
      <c r="E186" s="4" t="s">
        <v>54</v>
      </c>
      <c r="F186" s="4"/>
    </row>
    <row r="187" spans="1:6" x14ac:dyDescent="0.35">
      <c r="A187" s="4"/>
      <c r="B187" s="4"/>
      <c r="C187" s="4"/>
      <c r="D187" s="4"/>
      <c r="E187" s="4" t="s">
        <v>55</v>
      </c>
      <c r="F187" s="4"/>
    </row>
    <row r="188" spans="1:6" x14ac:dyDescent="0.35">
      <c r="A188" s="4"/>
      <c r="B188" s="4"/>
      <c r="C188" s="4"/>
      <c r="D188" s="4"/>
      <c r="E188" s="4" t="s">
        <v>53</v>
      </c>
      <c r="F188" s="4"/>
    </row>
    <row r="189" spans="1:6" x14ac:dyDescent="0.35">
      <c r="A189" s="4"/>
      <c r="B189" s="4"/>
      <c r="C189" s="4"/>
      <c r="D189" s="4"/>
      <c r="E189" s="4" t="s">
        <v>55</v>
      </c>
      <c r="F189" s="4"/>
    </row>
    <row r="190" spans="1:6" x14ac:dyDescent="0.35">
      <c r="A190" s="4"/>
      <c r="B190" s="4"/>
      <c r="C190" s="4"/>
      <c r="D190" s="4"/>
      <c r="E190" s="4" t="s">
        <v>54</v>
      </c>
      <c r="F190" s="4"/>
    </row>
    <row r="191" spans="1:6" x14ac:dyDescent="0.35">
      <c r="A191" s="4"/>
      <c r="B191" s="4"/>
      <c r="C191" s="4"/>
      <c r="D191" s="4"/>
      <c r="E191" s="4" t="s">
        <v>54</v>
      </c>
      <c r="F191" s="4"/>
    </row>
    <row r="192" spans="1:6" x14ac:dyDescent="0.35">
      <c r="A192" s="4"/>
      <c r="B192" s="4"/>
      <c r="C192" s="4"/>
      <c r="D192" s="4"/>
      <c r="E192" s="4" t="s">
        <v>55</v>
      </c>
      <c r="F192" s="4"/>
    </row>
    <row r="193" spans="1:6" x14ac:dyDescent="0.35">
      <c r="A193" s="4"/>
      <c r="B193" s="4"/>
      <c r="C193" s="4"/>
      <c r="D193" s="4"/>
      <c r="E193" s="4" t="s">
        <v>55</v>
      </c>
      <c r="F193" s="4"/>
    </row>
    <row r="194" spans="1:6" x14ac:dyDescent="0.35">
      <c r="A194" s="4"/>
      <c r="B194" s="4"/>
      <c r="C194" s="4"/>
      <c r="D194" s="4"/>
      <c r="E194" s="4" t="s">
        <v>56</v>
      </c>
      <c r="F194" s="4"/>
    </row>
    <row r="195" spans="1:6" x14ac:dyDescent="0.35">
      <c r="A195" s="4"/>
      <c r="B195" s="4"/>
      <c r="C195" s="4"/>
      <c r="D195" s="4"/>
      <c r="E195" s="4" t="s">
        <v>53</v>
      </c>
      <c r="F195" s="4"/>
    </row>
    <row r="196" spans="1:6" x14ac:dyDescent="0.35">
      <c r="A196" s="4"/>
      <c r="B196" s="4"/>
      <c r="C196" s="4"/>
      <c r="D196" s="4"/>
      <c r="E196" s="4" t="s">
        <v>56</v>
      </c>
      <c r="F196" s="4"/>
    </row>
    <row r="197" spans="1:6" x14ac:dyDescent="0.35">
      <c r="A197" s="4"/>
      <c r="B197" s="4"/>
      <c r="C197" s="4"/>
      <c r="D197" s="4"/>
      <c r="E197" s="4" t="s">
        <v>53</v>
      </c>
      <c r="F197" s="4"/>
    </row>
    <row r="198" spans="1:6" x14ac:dyDescent="0.35">
      <c r="A198" s="4"/>
      <c r="B198" s="4"/>
      <c r="C198" s="4"/>
      <c r="D198" s="4"/>
      <c r="E198" s="4" t="s">
        <v>55</v>
      </c>
      <c r="F198" s="4"/>
    </row>
    <row r="199" spans="1:6" x14ac:dyDescent="0.35">
      <c r="A199" s="4"/>
      <c r="B199" s="4"/>
      <c r="C199" s="4"/>
      <c r="D199" s="4"/>
      <c r="E199" s="4" t="s">
        <v>56</v>
      </c>
      <c r="F199" s="4"/>
    </row>
    <row r="200" spans="1:6" x14ac:dyDescent="0.35">
      <c r="A200" s="4"/>
      <c r="B200" s="4"/>
      <c r="C200" s="4"/>
      <c r="D200" s="4"/>
      <c r="E200" s="4" t="s">
        <v>55</v>
      </c>
      <c r="F200" s="4"/>
    </row>
    <row r="201" spans="1:6" x14ac:dyDescent="0.35">
      <c r="A201" s="4"/>
      <c r="B201" s="4"/>
      <c r="C201" s="4"/>
      <c r="D201" s="4"/>
      <c r="E201" s="4" t="s">
        <v>53</v>
      </c>
      <c r="F201" s="4"/>
    </row>
    <row r="202" spans="1:6" x14ac:dyDescent="0.35">
      <c r="A202" s="4"/>
      <c r="B202" s="4"/>
      <c r="C202" s="4"/>
      <c r="D202" s="4"/>
      <c r="E202" s="4" t="s">
        <v>54</v>
      </c>
      <c r="F202" s="4"/>
    </row>
    <row r="203" spans="1:6" x14ac:dyDescent="0.35">
      <c r="A203" s="4"/>
      <c r="B203" s="4"/>
      <c r="C203" s="4"/>
      <c r="D203" s="4"/>
      <c r="E203" s="4" t="s">
        <v>56</v>
      </c>
      <c r="F203" s="4"/>
    </row>
    <row r="204" spans="1:6" x14ac:dyDescent="0.35">
      <c r="A204" s="4"/>
      <c r="B204" s="4"/>
      <c r="C204" s="4"/>
      <c r="D204" s="4"/>
      <c r="E204" s="4" t="s">
        <v>53</v>
      </c>
      <c r="F204" s="4"/>
    </row>
    <row r="205" spans="1:6" x14ac:dyDescent="0.35">
      <c r="A205" s="4"/>
      <c r="B205" s="4"/>
      <c r="C205" s="4"/>
      <c r="D205" s="4"/>
      <c r="E205" s="4" t="s">
        <v>54</v>
      </c>
      <c r="F205" s="4"/>
    </row>
    <row r="206" spans="1:6" x14ac:dyDescent="0.35">
      <c r="A206" s="4"/>
      <c r="B206" s="4"/>
      <c r="C206" s="4"/>
      <c r="D206" s="4"/>
      <c r="E206" s="4" t="s">
        <v>53</v>
      </c>
      <c r="F206" s="4"/>
    </row>
    <row r="207" spans="1:6" x14ac:dyDescent="0.35">
      <c r="A207" s="4"/>
      <c r="B207" s="4"/>
      <c r="C207" s="4"/>
      <c r="D207" s="4"/>
      <c r="E207" s="4" t="s">
        <v>53</v>
      </c>
      <c r="F207" s="4"/>
    </row>
    <row r="208" spans="1:6" x14ac:dyDescent="0.35">
      <c r="A208" s="4"/>
      <c r="B208" s="4"/>
      <c r="C208" s="4"/>
      <c r="D208" s="4"/>
      <c r="E208" s="4" t="s">
        <v>54</v>
      </c>
      <c r="F208" s="4"/>
    </row>
    <row r="209" spans="1:6" x14ac:dyDescent="0.35">
      <c r="A209" s="4"/>
      <c r="B209" s="4"/>
      <c r="C209" s="4"/>
      <c r="D209" s="4"/>
      <c r="E209" s="4" t="s">
        <v>56</v>
      </c>
      <c r="F209" s="4"/>
    </row>
    <row r="210" spans="1:6" x14ac:dyDescent="0.35">
      <c r="A210" s="4"/>
      <c r="B210" s="4"/>
      <c r="C210" s="4"/>
      <c r="D210" s="4"/>
      <c r="E210" s="4" t="s">
        <v>56</v>
      </c>
      <c r="F210" s="4"/>
    </row>
    <row r="211" spans="1:6" x14ac:dyDescent="0.35">
      <c r="A211" s="4"/>
      <c r="B211" s="4"/>
      <c r="C211" s="4"/>
      <c r="D211" s="4"/>
      <c r="E211" s="4" t="s">
        <v>56</v>
      </c>
      <c r="F211" s="4"/>
    </row>
    <row r="212" spans="1:6" x14ac:dyDescent="0.35">
      <c r="A212" s="4"/>
      <c r="B212" s="4"/>
      <c r="C212" s="4"/>
      <c r="D212" s="4"/>
      <c r="E212" s="4" t="s">
        <v>54</v>
      </c>
      <c r="F212" s="4"/>
    </row>
    <row r="213" spans="1:6" x14ac:dyDescent="0.35">
      <c r="A213" s="4"/>
      <c r="B213" s="4"/>
      <c r="C213" s="4"/>
      <c r="D213" s="4"/>
      <c r="E213" s="4" t="s">
        <v>55</v>
      </c>
      <c r="F213" s="4"/>
    </row>
    <row r="214" spans="1:6" x14ac:dyDescent="0.35">
      <c r="A214" s="4"/>
      <c r="B214" s="4"/>
      <c r="C214" s="4"/>
      <c r="D214" s="4"/>
      <c r="E214" s="4" t="s">
        <v>53</v>
      </c>
      <c r="F214" s="4"/>
    </row>
    <row r="215" spans="1:6" x14ac:dyDescent="0.35">
      <c r="A215" s="4"/>
      <c r="B215" s="4"/>
      <c r="C215" s="4"/>
      <c r="D215" s="4"/>
      <c r="E215" s="4" t="s">
        <v>54</v>
      </c>
      <c r="F215" s="4"/>
    </row>
    <row r="216" spans="1:6" x14ac:dyDescent="0.35">
      <c r="A216" s="4"/>
      <c r="B216" s="4"/>
      <c r="C216" s="4"/>
      <c r="D216" s="4"/>
      <c r="E216" s="4" t="s">
        <v>53</v>
      </c>
      <c r="F216" s="4"/>
    </row>
    <row r="217" spans="1:6" x14ac:dyDescent="0.35">
      <c r="A217" s="4"/>
      <c r="B217" s="4"/>
      <c r="C217" s="4"/>
      <c r="D217" s="4"/>
      <c r="E217" s="4" t="s">
        <v>53</v>
      </c>
      <c r="F217" s="4"/>
    </row>
    <row r="218" spans="1:6" x14ac:dyDescent="0.35">
      <c r="A218" s="4"/>
      <c r="B218" s="4"/>
      <c r="C218" s="4"/>
      <c r="D218" s="4"/>
      <c r="E218" s="4" t="s">
        <v>53</v>
      </c>
      <c r="F218" s="4"/>
    </row>
    <row r="219" spans="1:6" x14ac:dyDescent="0.35">
      <c r="A219" s="4"/>
      <c r="B219" s="4"/>
      <c r="C219" s="4"/>
      <c r="D219" s="4"/>
      <c r="E219" s="4" t="s">
        <v>55</v>
      </c>
      <c r="F219" s="4"/>
    </row>
    <row r="220" spans="1:6" x14ac:dyDescent="0.35">
      <c r="A220" s="4"/>
      <c r="B220" s="4"/>
      <c r="C220" s="4"/>
      <c r="D220" s="4"/>
      <c r="E220" s="4" t="s">
        <v>56</v>
      </c>
      <c r="F220" s="4"/>
    </row>
    <row r="221" spans="1:6" x14ac:dyDescent="0.35">
      <c r="A221" s="4"/>
      <c r="B221" s="4"/>
      <c r="C221" s="4"/>
      <c r="D221" s="4"/>
      <c r="E221" s="4" t="s">
        <v>56</v>
      </c>
      <c r="F221" s="4"/>
    </row>
    <row r="222" spans="1:6" x14ac:dyDescent="0.35">
      <c r="A222" s="4"/>
      <c r="B222" s="4"/>
      <c r="C222" s="4"/>
      <c r="D222" s="4"/>
      <c r="E222" s="4" t="s">
        <v>55</v>
      </c>
      <c r="F222" s="4"/>
    </row>
    <row r="223" spans="1:6" x14ac:dyDescent="0.35">
      <c r="A223" s="4"/>
      <c r="B223" s="4"/>
      <c r="C223" s="4"/>
      <c r="D223" s="4"/>
      <c r="E223" s="4" t="s">
        <v>55</v>
      </c>
      <c r="F223" s="4"/>
    </row>
    <row r="224" spans="1:6" x14ac:dyDescent="0.35">
      <c r="A224" s="4"/>
      <c r="B224" s="4"/>
      <c r="C224" s="4"/>
      <c r="D224" s="4"/>
      <c r="E224" s="4" t="s">
        <v>56</v>
      </c>
      <c r="F224" s="4"/>
    </row>
    <row r="225" spans="1:6" x14ac:dyDescent="0.35">
      <c r="A225" s="4"/>
      <c r="B225" s="4"/>
      <c r="C225" s="4"/>
      <c r="D225" s="4"/>
      <c r="E225" s="4" t="s">
        <v>54</v>
      </c>
      <c r="F225" s="4"/>
    </row>
    <row r="226" spans="1:6" x14ac:dyDescent="0.35">
      <c r="A226" s="4"/>
      <c r="B226" s="4"/>
      <c r="C226" s="4"/>
      <c r="D226" s="4"/>
      <c r="E226" s="4" t="s">
        <v>55</v>
      </c>
      <c r="F226" s="4"/>
    </row>
    <row r="227" spans="1:6" x14ac:dyDescent="0.35">
      <c r="A227" s="4"/>
      <c r="B227" s="4"/>
      <c r="C227" s="4"/>
      <c r="D227" s="4"/>
      <c r="E227" s="4" t="s">
        <v>54</v>
      </c>
      <c r="F227" s="4"/>
    </row>
    <row r="228" spans="1:6" x14ac:dyDescent="0.35">
      <c r="A228" s="4"/>
      <c r="B228" s="4"/>
      <c r="C228" s="4"/>
      <c r="D228" s="4"/>
      <c r="E228" s="4" t="s">
        <v>56</v>
      </c>
      <c r="F228" s="4"/>
    </row>
    <row r="229" spans="1:6" x14ac:dyDescent="0.35">
      <c r="A229" s="4"/>
      <c r="B229" s="4"/>
      <c r="C229" s="4"/>
      <c r="D229" s="4"/>
      <c r="E229" s="4" t="s">
        <v>56</v>
      </c>
      <c r="F229" s="4"/>
    </row>
    <row r="230" spans="1:6" x14ac:dyDescent="0.35">
      <c r="A230" s="4"/>
      <c r="B230" s="4"/>
      <c r="C230" s="4"/>
      <c r="D230" s="4"/>
      <c r="E230" s="4" t="s">
        <v>56</v>
      </c>
      <c r="F230" s="4"/>
    </row>
    <row r="231" spans="1:6" x14ac:dyDescent="0.35">
      <c r="A231" s="4"/>
      <c r="B231" s="4"/>
      <c r="C231" s="4"/>
      <c r="D231" s="4"/>
      <c r="E231" s="4" t="s">
        <v>53</v>
      </c>
      <c r="F231" s="4"/>
    </row>
    <row r="232" spans="1:6" x14ac:dyDescent="0.35">
      <c r="A232" s="4"/>
      <c r="B232" s="4"/>
      <c r="C232" s="4"/>
      <c r="D232" s="4"/>
      <c r="E232" s="4" t="s">
        <v>53</v>
      </c>
      <c r="F232" s="4"/>
    </row>
    <row r="233" spans="1:6" x14ac:dyDescent="0.35">
      <c r="A233" s="4"/>
      <c r="B233" s="4"/>
      <c r="C233" s="4"/>
      <c r="D233" s="4"/>
      <c r="E233" s="4" t="s">
        <v>53</v>
      </c>
      <c r="F233" s="4"/>
    </row>
    <row r="234" spans="1:6" x14ac:dyDescent="0.35">
      <c r="A234" s="4"/>
      <c r="B234" s="4"/>
      <c r="C234" s="4"/>
      <c r="D234" s="4"/>
      <c r="E234" s="4" t="s">
        <v>53</v>
      </c>
      <c r="F234" s="4"/>
    </row>
    <row r="235" spans="1:6" x14ac:dyDescent="0.35">
      <c r="A235" s="4"/>
      <c r="B235" s="4"/>
      <c r="C235" s="4"/>
      <c r="D235" s="4"/>
      <c r="E235" s="4" t="s">
        <v>55</v>
      </c>
      <c r="F235" s="4"/>
    </row>
    <row r="236" spans="1:6" x14ac:dyDescent="0.35">
      <c r="A236" s="4"/>
      <c r="B236" s="4"/>
      <c r="C236" s="4"/>
      <c r="D236" s="4"/>
      <c r="E236" s="4" t="s">
        <v>55</v>
      </c>
      <c r="F236" s="4"/>
    </row>
    <row r="237" spans="1:6" x14ac:dyDescent="0.35">
      <c r="A237" s="4"/>
      <c r="B237" s="4"/>
      <c r="C237" s="4"/>
      <c r="D237" s="4"/>
      <c r="E237" s="4" t="s">
        <v>53</v>
      </c>
      <c r="F237" s="4"/>
    </row>
    <row r="238" spans="1:6" x14ac:dyDescent="0.35">
      <c r="A238" s="4"/>
      <c r="B238" s="4"/>
      <c r="C238" s="4"/>
      <c r="D238" s="4"/>
      <c r="E238" s="4" t="s">
        <v>55</v>
      </c>
      <c r="F238" s="4"/>
    </row>
    <row r="239" spans="1:6" x14ac:dyDescent="0.35">
      <c r="A239" s="4"/>
      <c r="B239" s="4"/>
      <c r="C239" s="4"/>
      <c r="D239" s="4"/>
      <c r="E239" s="4" t="s">
        <v>55</v>
      </c>
      <c r="F239" s="4"/>
    </row>
    <row r="240" spans="1:6" x14ac:dyDescent="0.35">
      <c r="A240" s="4"/>
      <c r="B240" s="4"/>
      <c r="C240" s="4"/>
      <c r="D240" s="4"/>
      <c r="E240" s="4" t="s">
        <v>54</v>
      </c>
      <c r="F240" s="4"/>
    </row>
    <row r="241" spans="1:6" x14ac:dyDescent="0.35">
      <c r="A241" s="4"/>
      <c r="B241" s="4"/>
      <c r="C241" s="4"/>
      <c r="D241" s="4"/>
      <c r="E241" s="4" t="s">
        <v>55</v>
      </c>
      <c r="F241" s="4"/>
    </row>
    <row r="242" spans="1:6" x14ac:dyDescent="0.35">
      <c r="A242" s="4"/>
      <c r="B242" s="4"/>
      <c r="C242" s="4"/>
      <c r="D242" s="4"/>
      <c r="E242" s="4" t="s">
        <v>55</v>
      </c>
      <c r="F242" s="4"/>
    </row>
    <row r="243" spans="1:6" x14ac:dyDescent="0.35">
      <c r="A243" s="4"/>
      <c r="B243" s="4"/>
      <c r="C243" s="4"/>
      <c r="D243" s="4"/>
      <c r="E243" s="4" t="s">
        <v>53</v>
      </c>
      <c r="F243" s="4"/>
    </row>
    <row r="244" spans="1:6" x14ac:dyDescent="0.35">
      <c r="A244" s="4"/>
      <c r="B244" s="4"/>
      <c r="C244" s="4"/>
      <c r="D244" s="4"/>
      <c r="E244" s="4" t="s">
        <v>53</v>
      </c>
      <c r="F244" s="4"/>
    </row>
    <row r="245" spans="1:6" x14ac:dyDescent="0.35">
      <c r="A245" s="4"/>
      <c r="B245" s="4"/>
      <c r="C245" s="4"/>
      <c r="D245" s="4"/>
      <c r="E245" s="4" t="s">
        <v>55</v>
      </c>
      <c r="F245" s="4"/>
    </row>
    <row r="246" spans="1:6" x14ac:dyDescent="0.35">
      <c r="A246" s="4"/>
      <c r="B246" s="4"/>
      <c r="C246" s="4"/>
      <c r="D246" s="4"/>
      <c r="E246" s="4" t="s">
        <v>56</v>
      </c>
      <c r="F246" s="4"/>
    </row>
    <row r="247" spans="1:6" x14ac:dyDescent="0.35">
      <c r="A247" s="4"/>
      <c r="B247" s="4"/>
      <c r="C247" s="4"/>
      <c r="D247" s="4"/>
      <c r="E247" s="4" t="s">
        <v>55</v>
      </c>
      <c r="F247" s="4"/>
    </row>
    <row r="248" spans="1:6" x14ac:dyDescent="0.35">
      <c r="A248" s="4"/>
      <c r="B248" s="4"/>
      <c r="C248" s="4"/>
      <c r="D248" s="4"/>
      <c r="E248" s="4" t="s">
        <v>56</v>
      </c>
      <c r="F248" s="4"/>
    </row>
    <row r="249" spans="1:6" x14ac:dyDescent="0.35">
      <c r="A249" s="4"/>
      <c r="B249" s="4"/>
      <c r="C249" s="4"/>
      <c r="D249" s="4"/>
      <c r="E249" s="4" t="s">
        <v>54</v>
      </c>
      <c r="F249" s="4"/>
    </row>
    <row r="250" spans="1:6" x14ac:dyDescent="0.35">
      <c r="A250" s="4"/>
      <c r="B250" s="4"/>
      <c r="C250" s="4"/>
      <c r="D250" s="4"/>
      <c r="E250" s="4" t="s">
        <v>53</v>
      </c>
      <c r="F250" s="4"/>
    </row>
    <row r="251" spans="1:6" x14ac:dyDescent="0.35">
      <c r="A251" s="4"/>
      <c r="B251" s="4"/>
      <c r="C251" s="4"/>
      <c r="D251" s="4"/>
      <c r="E251" s="4" t="s">
        <v>53</v>
      </c>
      <c r="F251" s="4"/>
    </row>
    <row r="252" spans="1:6" x14ac:dyDescent="0.35">
      <c r="A252" s="4"/>
      <c r="B252" s="4"/>
      <c r="C252" s="4"/>
      <c r="D252" s="4"/>
      <c r="E252" s="4" t="s">
        <v>54</v>
      </c>
      <c r="F252" s="4"/>
    </row>
    <row r="253" spans="1:6" x14ac:dyDescent="0.35">
      <c r="A253" s="4"/>
      <c r="B253" s="4"/>
      <c r="C253" s="4"/>
      <c r="D253" s="4"/>
      <c r="E253" s="4" t="s">
        <v>53</v>
      </c>
      <c r="F253" s="4"/>
    </row>
    <row r="254" spans="1:6" x14ac:dyDescent="0.35">
      <c r="A254" s="4"/>
      <c r="B254" s="4"/>
      <c r="C254" s="4"/>
      <c r="D254" s="4"/>
      <c r="E254" s="4" t="s">
        <v>56</v>
      </c>
      <c r="F254" s="4"/>
    </row>
    <row r="255" spans="1:6" x14ac:dyDescent="0.35">
      <c r="A255" s="4"/>
      <c r="B255" s="4"/>
      <c r="C255" s="4"/>
      <c r="D255" s="4"/>
      <c r="E255" s="4" t="s">
        <v>54</v>
      </c>
      <c r="F255" s="4"/>
    </row>
    <row r="256" spans="1:6" x14ac:dyDescent="0.35">
      <c r="A256" s="4"/>
      <c r="B256" s="4"/>
      <c r="C256" s="4"/>
      <c r="D256" s="4"/>
      <c r="E256" s="4" t="s">
        <v>54</v>
      </c>
      <c r="F256" s="4"/>
    </row>
    <row r="257" spans="1:6" x14ac:dyDescent="0.35">
      <c r="A257" s="4"/>
      <c r="B257" s="4"/>
      <c r="C257" s="4"/>
      <c r="D257" s="4"/>
      <c r="E257" s="4" t="s">
        <v>53</v>
      </c>
      <c r="F257" s="4"/>
    </row>
    <row r="258" spans="1:6" x14ac:dyDescent="0.35">
      <c r="A258" s="4"/>
      <c r="B258" s="4"/>
      <c r="C258" s="4"/>
      <c r="D258" s="4"/>
      <c r="E258" s="4" t="s">
        <v>55</v>
      </c>
      <c r="F258" s="4"/>
    </row>
    <row r="259" spans="1:6" x14ac:dyDescent="0.35">
      <c r="A259" s="4"/>
      <c r="B259" s="4"/>
      <c r="C259" s="4"/>
      <c r="D259" s="4"/>
      <c r="E259" s="4" t="s">
        <v>55</v>
      </c>
      <c r="F259" s="4"/>
    </row>
    <row r="260" spans="1:6" x14ac:dyDescent="0.35">
      <c r="A260" s="4"/>
      <c r="B260" s="4"/>
      <c r="C260" s="4"/>
      <c r="D260" s="4"/>
      <c r="E260" s="4" t="s">
        <v>53</v>
      </c>
      <c r="F260" s="4"/>
    </row>
    <row r="261" spans="1:6" x14ac:dyDescent="0.35">
      <c r="A261" s="4"/>
      <c r="B261" s="4"/>
      <c r="C261" s="4"/>
      <c r="D261" s="4"/>
      <c r="E261" s="4" t="s">
        <v>54</v>
      </c>
      <c r="F261" s="4"/>
    </row>
    <row r="262" spans="1:6" x14ac:dyDescent="0.35">
      <c r="A262" s="4"/>
      <c r="B262" s="4"/>
      <c r="C262" s="4"/>
      <c r="D262" s="4"/>
      <c r="E262" s="4" t="s">
        <v>55</v>
      </c>
      <c r="F262" s="4"/>
    </row>
    <row r="263" spans="1:6" x14ac:dyDescent="0.35">
      <c r="A263" s="4"/>
      <c r="B263" s="4"/>
      <c r="C263" s="4"/>
      <c r="D263" s="4"/>
      <c r="E263" s="4" t="s">
        <v>53</v>
      </c>
      <c r="F263" s="4"/>
    </row>
    <row r="264" spans="1:6" x14ac:dyDescent="0.35">
      <c r="A264" s="4"/>
      <c r="B264" s="4"/>
      <c r="C264" s="4"/>
      <c r="D264" s="4"/>
      <c r="E264" s="4" t="s">
        <v>54</v>
      </c>
      <c r="F264" s="4"/>
    </row>
    <row r="265" spans="1:6" x14ac:dyDescent="0.35">
      <c r="A265" s="4"/>
      <c r="B265" s="4"/>
      <c r="C265" s="4"/>
      <c r="D265" s="4"/>
      <c r="E265" s="4" t="s">
        <v>54</v>
      </c>
      <c r="F265" s="4"/>
    </row>
    <row r="266" spans="1:6" x14ac:dyDescent="0.35">
      <c r="A266" s="4"/>
      <c r="B266" s="4"/>
      <c r="C266" s="4"/>
      <c r="D266" s="4"/>
      <c r="E266" s="4" t="s">
        <v>55</v>
      </c>
      <c r="F266" s="4"/>
    </row>
    <row r="267" spans="1:6" x14ac:dyDescent="0.35">
      <c r="A267" s="4"/>
      <c r="B267" s="4"/>
      <c r="C267" s="4"/>
      <c r="D267" s="4"/>
      <c r="E267" s="4" t="s">
        <v>56</v>
      </c>
      <c r="F267" s="4"/>
    </row>
    <row r="268" spans="1:6" x14ac:dyDescent="0.35">
      <c r="A268" s="4"/>
      <c r="B268" s="4"/>
      <c r="C268" s="4"/>
      <c r="D268" s="4"/>
      <c r="E268" s="4" t="s">
        <v>54</v>
      </c>
      <c r="F268" s="4"/>
    </row>
    <row r="269" spans="1:6" x14ac:dyDescent="0.35">
      <c r="A269" s="4"/>
      <c r="B269" s="4"/>
      <c r="C269" s="4"/>
      <c r="D269" s="4"/>
      <c r="E269" s="4" t="s">
        <v>53</v>
      </c>
      <c r="F269" s="4"/>
    </row>
    <row r="270" spans="1:6" x14ac:dyDescent="0.35">
      <c r="A270" s="4"/>
      <c r="B270" s="4"/>
      <c r="C270" s="4"/>
      <c r="D270" s="4"/>
      <c r="E270" s="4" t="s">
        <v>54</v>
      </c>
      <c r="F270" s="4"/>
    </row>
    <row r="271" spans="1:6" x14ac:dyDescent="0.35">
      <c r="A271" s="4"/>
      <c r="B271" s="4"/>
      <c r="C271" s="4"/>
      <c r="D271" s="4"/>
      <c r="E271" s="4" t="s">
        <v>56</v>
      </c>
      <c r="F271" s="4"/>
    </row>
    <row r="272" spans="1:6" x14ac:dyDescent="0.35">
      <c r="A272" s="4"/>
      <c r="B272" s="4"/>
      <c r="C272" s="4"/>
      <c r="D272" s="4"/>
      <c r="E272" s="4" t="s">
        <v>56</v>
      </c>
      <c r="F272" s="4"/>
    </row>
    <row r="273" spans="1:6" x14ac:dyDescent="0.35">
      <c r="A273" s="4"/>
      <c r="B273" s="4"/>
      <c r="C273" s="4"/>
      <c r="D273" s="4"/>
      <c r="E273" s="4" t="s">
        <v>53</v>
      </c>
      <c r="F273" s="4"/>
    </row>
    <row r="274" spans="1:6" x14ac:dyDescent="0.35">
      <c r="A274" s="4"/>
      <c r="B274" s="4"/>
      <c r="C274" s="4"/>
      <c r="D274" s="4"/>
      <c r="E274" s="4" t="s">
        <v>56</v>
      </c>
      <c r="F274" s="4"/>
    </row>
    <row r="275" spans="1:6" x14ac:dyDescent="0.35">
      <c r="A275" s="4"/>
      <c r="B275" s="4"/>
      <c r="C275" s="4"/>
      <c r="D275" s="4"/>
      <c r="E275" s="4" t="s">
        <v>53</v>
      </c>
      <c r="F275" s="4"/>
    </row>
    <row r="276" spans="1:6" x14ac:dyDescent="0.35">
      <c r="A276" s="4"/>
      <c r="B276" s="4"/>
      <c r="C276" s="4"/>
      <c r="D276" s="4"/>
      <c r="E276" s="4" t="s">
        <v>54</v>
      </c>
      <c r="F276" s="4"/>
    </row>
    <row r="277" spans="1:6" x14ac:dyDescent="0.35">
      <c r="A277" s="4"/>
      <c r="B277" s="4"/>
      <c r="C277" s="4"/>
      <c r="D277" s="4"/>
      <c r="E277" s="4" t="s">
        <v>55</v>
      </c>
      <c r="F277" s="4"/>
    </row>
    <row r="278" spans="1:6" x14ac:dyDescent="0.35">
      <c r="A278" s="4"/>
      <c r="B278" s="4"/>
      <c r="C278" s="4"/>
      <c r="D278" s="4"/>
      <c r="E278" s="4" t="s">
        <v>53</v>
      </c>
      <c r="F278" s="4"/>
    </row>
    <row r="279" spans="1:6" x14ac:dyDescent="0.35">
      <c r="A279" s="4"/>
      <c r="B279" s="4"/>
      <c r="C279" s="4"/>
      <c r="D279" s="4"/>
      <c r="E279" s="4" t="s">
        <v>54</v>
      </c>
      <c r="F279" s="4"/>
    </row>
    <row r="280" spans="1:6" x14ac:dyDescent="0.35">
      <c r="A280" s="4"/>
      <c r="B280" s="4"/>
      <c r="C280" s="4"/>
      <c r="D280" s="4"/>
      <c r="E280" s="4" t="s">
        <v>54</v>
      </c>
      <c r="F280" s="4"/>
    </row>
    <row r="281" spans="1:6" x14ac:dyDescent="0.35">
      <c r="A281" s="4"/>
      <c r="B281" s="4"/>
      <c r="C281" s="4"/>
      <c r="D281" s="4"/>
      <c r="E281" s="4" t="s">
        <v>55</v>
      </c>
      <c r="F281" s="4"/>
    </row>
    <row r="282" spans="1:6" x14ac:dyDescent="0.35">
      <c r="A282" s="4"/>
      <c r="B282" s="4"/>
      <c r="C282" s="4"/>
      <c r="D282" s="4"/>
      <c r="E282" s="4" t="s">
        <v>56</v>
      </c>
      <c r="F282" s="4"/>
    </row>
    <row r="283" spans="1:6" x14ac:dyDescent="0.35">
      <c r="A283" s="4"/>
      <c r="B283" s="4"/>
      <c r="C283" s="4"/>
      <c r="D283" s="4"/>
      <c r="E283" s="4" t="s">
        <v>55</v>
      </c>
      <c r="F283" s="4"/>
    </row>
    <row r="284" spans="1:6" x14ac:dyDescent="0.35">
      <c r="A284" s="4"/>
      <c r="B284" s="4"/>
      <c r="C284" s="4"/>
      <c r="D284" s="4"/>
      <c r="E284" s="4" t="s">
        <v>54</v>
      </c>
      <c r="F284" s="4"/>
    </row>
    <row r="285" spans="1:6" x14ac:dyDescent="0.35">
      <c r="A285" s="4"/>
      <c r="B285" s="4"/>
      <c r="C285" s="4"/>
      <c r="D285" s="4"/>
      <c r="E285" s="4" t="s">
        <v>53</v>
      </c>
      <c r="F285" s="4"/>
    </row>
    <row r="286" spans="1:6" x14ac:dyDescent="0.35">
      <c r="A286" s="4"/>
      <c r="B286" s="4"/>
      <c r="C286" s="4"/>
      <c r="D286" s="4"/>
      <c r="E286" s="4" t="s">
        <v>55</v>
      </c>
      <c r="F286" s="4"/>
    </row>
    <row r="287" spans="1:6" x14ac:dyDescent="0.35">
      <c r="A287" s="4"/>
      <c r="B287" s="4"/>
      <c r="C287" s="4"/>
      <c r="D287" s="4"/>
      <c r="E287" s="4" t="s">
        <v>56</v>
      </c>
      <c r="F287" s="4"/>
    </row>
    <row r="288" spans="1:6" x14ac:dyDescent="0.35">
      <c r="A288" s="4"/>
      <c r="B288" s="4"/>
      <c r="C288" s="4"/>
      <c r="D288" s="4"/>
      <c r="E288" s="4" t="s">
        <v>55</v>
      </c>
      <c r="F288" s="4"/>
    </row>
    <row r="289" spans="1:6" x14ac:dyDescent="0.35">
      <c r="A289" s="4"/>
      <c r="B289" s="4"/>
      <c r="C289" s="4"/>
      <c r="D289" s="4"/>
      <c r="E289" s="4" t="s">
        <v>53</v>
      </c>
      <c r="F289" s="4"/>
    </row>
    <row r="290" spans="1:6" x14ac:dyDescent="0.35">
      <c r="A290" s="4"/>
      <c r="B290" s="4"/>
      <c r="C290" s="4"/>
      <c r="D290" s="4"/>
      <c r="E290" s="4" t="s">
        <v>56</v>
      </c>
      <c r="F290" s="4"/>
    </row>
    <row r="291" spans="1:6" x14ac:dyDescent="0.35">
      <c r="A291" s="4"/>
      <c r="B291" s="4"/>
      <c r="C291" s="4"/>
      <c r="D291" s="4"/>
      <c r="E291" s="4" t="s">
        <v>55</v>
      </c>
      <c r="F291" s="4"/>
    </row>
    <row r="292" spans="1:6" x14ac:dyDescent="0.35">
      <c r="A292" s="4"/>
      <c r="B292" s="4"/>
      <c r="C292" s="4"/>
      <c r="D292" s="4"/>
      <c r="E292" s="4" t="s">
        <v>55</v>
      </c>
      <c r="F292" s="4"/>
    </row>
    <row r="293" spans="1:6" x14ac:dyDescent="0.35">
      <c r="A293" s="4"/>
      <c r="B293" s="4"/>
      <c r="C293" s="4"/>
      <c r="D293" s="4"/>
      <c r="E293" s="4" t="s">
        <v>56</v>
      </c>
      <c r="F293" s="4"/>
    </row>
    <row r="294" spans="1:6" x14ac:dyDescent="0.35">
      <c r="A294" s="4"/>
      <c r="B294" s="4"/>
      <c r="C294" s="4"/>
      <c r="D294" s="4"/>
      <c r="E294" s="4" t="s">
        <v>53</v>
      </c>
      <c r="F294" s="4"/>
    </row>
    <row r="295" spans="1:6" x14ac:dyDescent="0.35">
      <c r="A295" s="4"/>
      <c r="B295" s="4"/>
      <c r="C295" s="4"/>
      <c r="D295" s="4"/>
      <c r="E295" s="4" t="s">
        <v>55</v>
      </c>
      <c r="F295" s="4"/>
    </row>
    <row r="296" spans="1:6" x14ac:dyDescent="0.35">
      <c r="A296" s="4"/>
      <c r="B296" s="4"/>
      <c r="C296" s="4"/>
      <c r="D296" s="4"/>
      <c r="E296" s="4" t="s">
        <v>55</v>
      </c>
      <c r="F296" s="4"/>
    </row>
    <row r="297" spans="1:6" x14ac:dyDescent="0.35">
      <c r="A297" s="4"/>
      <c r="B297" s="4"/>
      <c r="C297" s="4"/>
      <c r="D297" s="4"/>
      <c r="E297" s="4" t="s">
        <v>53</v>
      </c>
      <c r="F297" s="4"/>
    </row>
    <row r="298" spans="1:6" x14ac:dyDescent="0.35">
      <c r="A298" s="4"/>
      <c r="B298" s="4"/>
      <c r="C298" s="4"/>
      <c r="D298" s="4"/>
      <c r="E298" s="4" t="s">
        <v>54</v>
      </c>
      <c r="F298" s="4"/>
    </row>
    <row r="299" spans="1:6" x14ac:dyDescent="0.35">
      <c r="A299" s="4"/>
      <c r="B299" s="4"/>
      <c r="C299" s="4"/>
      <c r="D299" s="4"/>
      <c r="E299" s="4" t="s">
        <v>53</v>
      </c>
      <c r="F299" s="4"/>
    </row>
    <row r="300" spans="1:6" x14ac:dyDescent="0.35">
      <c r="A300" s="4"/>
      <c r="B300" s="4"/>
      <c r="C300" s="4"/>
      <c r="D300" s="4"/>
      <c r="E300" s="4" t="s">
        <v>53</v>
      </c>
      <c r="F300" s="4"/>
    </row>
    <row r="301" spans="1:6" x14ac:dyDescent="0.35">
      <c r="A301" s="4"/>
      <c r="B301" s="4"/>
      <c r="C301" s="4"/>
      <c r="D301" s="4"/>
      <c r="E301" s="4" t="s">
        <v>55</v>
      </c>
      <c r="F301" s="4"/>
    </row>
    <row r="302" spans="1:6" x14ac:dyDescent="0.35">
      <c r="A302" s="4"/>
      <c r="B302" s="4"/>
      <c r="C302" s="4"/>
      <c r="D302" s="4"/>
      <c r="E302" s="4" t="s">
        <v>53</v>
      </c>
      <c r="F302" s="4"/>
    </row>
    <row r="303" spans="1:6" x14ac:dyDescent="0.35">
      <c r="A303" s="4"/>
      <c r="B303" s="4"/>
      <c r="C303" s="4"/>
      <c r="D303" s="4"/>
      <c r="E303" s="4" t="s">
        <v>53</v>
      </c>
      <c r="F303" s="4"/>
    </row>
    <row r="304" spans="1:6" x14ac:dyDescent="0.35">
      <c r="A304" s="4"/>
      <c r="B304" s="4"/>
      <c r="C304" s="4"/>
      <c r="D304" s="4"/>
      <c r="E304" s="4" t="s">
        <v>53</v>
      </c>
      <c r="F304" s="4"/>
    </row>
    <row r="305" spans="1:6" x14ac:dyDescent="0.35">
      <c r="A305" s="4"/>
      <c r="B305" s="4"/>
      <c r="C305" s="4"/>
      <c r="D305" s="4"/>
      <c r="E305" s="4" t="s">
        <v>53</v>
      </c>
      <c r="F305" s="4"/>
    </row>
    <row r="306" spans="1:6" x14ac:dyDescent="0.35">
      <c r="A306" s="4"/>
      <c r="B306" s="4"/>
      <c r="C306" s="4"/>
      <c r="D306" s="4"/>
      <c r="E306" s="4" t="s">
        <v>53</v>
      </c>
      <c r="F306" s="4"/>
    </row>
    <row r="307" spans="1:6" x14ac:dyDescent="0.35">
      <c r="A307" s="4"/>
      <c r="B307" s="4"/>
      <c r="C307" s="4"/>
      <c r="D307" s="4"/>
      <c r="E307" s="4" t="s">
        <v>53</v>
      </c>
      <c r="F307" s="4"/>
    </row>
    <row r="308" spans="1:6" x14ac:dyDescent="0.35">
      <c r="A308" s="4"/>
      <c r="B308" s="4"/>
      <c r="C308" s="4"/>
      <c r="D308" s="4"/>
      <c r="E308" s="4" t="s">
        <v>53</v>
      </c>
      <c r="F308" s="4"/>
    </row>
    <row r="309" spans="1:6" x14ac:dyDescent="0.35">
      <c r="A309" s="4"/>
      <c r="B309" s="4"/>
      <c r="C309" s="4"/>
      <c r="D309" s="4"/>
      <c r="E309" s="4" t="s">
        <v>53</v>
      </c>
      <c r="F309" s="4"/>
    </row>
    <row r="310" spans="1:6" x14ac:dyDescent="0.35">
      <c r="A310" s="4"/>
      <c r="B310" s="4"/>
      <c r="C310" s="4"/>
      <c r="D310" s="4"/>
      <c r="E310" s="4" t="s">
        <v>53</v>
      </c>
      <c r="F310" s="4"/>
    </row>
    <row r="311" spans="1:6" x14ac:dyDescent="0.35">
      <c r="A311" s="4"/>
      <c r="B311" s="4"/>
      <c r="C311" s="4"/>
      <c r="D311" s="4"/>
      <c r="E311" s="4" t="s">
        <v>53</v>
      </c>
      <c r="F311" s="4"/>
    </row>
    <row r="312" spans="1:6" x14ac:dyDescent="0.35">
      <c r="A312" s="4"/>
      <c r="B312" s="4"/>
      <c r="C312" s="4"/>
      <c r="D312" s="4"/>
      <c r="E312" s="4" t="s">
        <v>53</v>
      </c>
      <c r="F312" s="4"/>
    </row>
    <row r="313" spans="1:6" x14ac:dyDescent="0.35">
      <c r="A313" s="4"/>
      <c r="B313" s="4"/>
      <c r="C313" s="4"/>
      <c r="D313" s="4"/>
      <c r="E313" s="4" t="s">
        <v>53</v>
      </c>
      <c r="F313" s="4"/>
    </row>
    <row r="314" spans="1:6" x14ac:dyDescent="0.35">
      <c r="A314" s="4"/>
      <c r="B314" s="4"/>
      <c r="C314" s="4"/>
      <c r="D314" s="4"/>
      <c r="E314" s="4" t="s">
        <v>53</v>
      </c>
      <c r="F314" s="4"/>
    </row>
    <row r="315" spans="1:6" x14ac:dyDescent="0.35">
      <c r="A315" s="4"/>
      <c r="B315" s="4"/>
      <c r="C315" s="4"/>
      <c r="D315" s="4"/>
      <c r="E315" s="4" t="s">
        <v>53</v>
      </c>
      <c r="F315" s="4"/>
    </row>
    <row r="316" spans="1:6" x14ac:dyDescent="0.35">
      <c r="A316" s="4"/>
      <c r="B316" s="4"/>
      <c r="C316" s="4"/>
      <c r="D316" s="4"/>
      <c r="E316" s="4" t="s">
        <v>53</v>
      </c>
      <c r="F316" s="4"/>
    </row>
    <row r="317" spans="1:6" x14ac:dyDescent="0.35">
      <c r="A317" s="4"/>
      <c r="B317" s="4"/>
      <c r="C317" s="4"/>
      <c r="D317" s="4"/>
      <c r="E317" s="4" t="s">
        <v>53</v>
      </c>
      <c r="F317" s="4"/>
    </row>
    <row r="318" spans="1:6" x14ac:dyDescent="0.35">
      <c r="A318" s="4"/>
      <c r="B318" s="4"/>
      <c r="C318" s="4"/>
      <c r="D318" s="4"/>
      <c r="E318" s="4" t="s">
        <v>53</v>
      </c>
      <c r="F318" s="4"/>
    </row>
    <row r="319" spans="1:6" x14ac:dyDescent="0.35">
      <c r="A319" s="4"/>
      <c r="B319" s="4"/>
      <c r="C319" s="4"/>
      <c r="D319" s="4"/>
      <c r="E319" s="4" t="s">
        <v>53</v>
      </c>
      <c r="F319" s="4"/>
    </row>
    <row r="320" spans="1:6" x14ac:dyDescent="0.35">
      <c r="A320" s="4"/>
      <c r="B320" s="4"/>
      <c r="C320" s="4"/>
      <c r="D320" s="4"/>
      <c r="E320" s="4" t="s">
        <v>53</v>
      </c>
      <c r="F320" s="4"/>
    </row>
    <row r="321" spans="1:6" x14ac:dyDescent="0.35">
      <c r="A321" s="4"/>
      <c r="B321" s="4"/>
      <c r="C321" s="4"/>
      <c r="D321" s="4"/>
      <c r="E321" s="4" t="s">
        <v>53</v>
      </c>
      <c r="F321" s="4"/>
    </row>
    <row r="322" spans="1:6" x14ac:dyDescent="0.35">
      <c r="A322" s="4"/>
      <c r="B322" s="4"/>
      <c r="C322" s="4"/>
      <c r="D322" s="4"/>
      <c r="E322" s="4" t="s">
        <v>53</v>
      </c>
      <c r="F322" s="4"/>
    </row>
    <row r="323" spans="1:6" x14ac:dyDescent="0.35">
      <c r="A323" s="4"/>
      <c r="B323" s="4"/>
      <c r="C323" s="4"/>
      <c r="D323" s="4"/>
      <c r="E323" s="4" t="s">
        <v>53</v>
      </c>
      <c r="F323" s="4"/>
    </row>
    <row r="324" spans="1:6" x14ac:dyDescent="0.35">
      <c r="A324" s="4"/>
      <c r="B324" s="4"/>
      <c r="C324" s="4"/>
      <c r="D324" s="4"/>
      <c r="E324" s="4" t="s">
        <v>53</v>
      </c>
      <c r="F324" s="4"/>
    </row>
    <row r="325" spans="1:6" x14ac:dyDescent="0.35">
      <c r="A325" s="4"/>
      <c r="B325" s="4"/>
      <c r="C325" s="4"/>
      <c r="D325" s="4"/>
      <c r="E325" s="4" t="s">
        <v>53</v>
      </c>
      <c r="F325" s="4"/>
    </row>
    <row r="326" spans="1:6" x14ac:dyDescent="0.35">
      <c r="A326" s="4"/>
      <c r="B326" s="4"/>
      <c r="C326" s="4"/>
      <c r="D326" s="4"/>
      <c r="E326" s="4" t="s">
        <v>53</v>
      </c>
      <c r="F326" s="4"/>
    </row>
    <row r="327" spans="1:6" x14ac:dyDescent="0.35">
      <c r="A327" s="4"/>
      <c r="B327" s="4"/>
      <c r="C327" s="4"/>
      <c r="D327" s="4"/>
      <c r="E327" s="4" t="s">
        <v>53</v>
      </c>
      <c r="F327" s="4"/>
    </row>
    <row r="328" spans="1:6" x14ac:dyDescent="0.35">
      <c r="A328" s="4"/>
      <c r="B328" s="4"/>
      <c r="C328" s="4"/>
      <c r="D328" s="4"/>
      <c r="E328" s="4" t="s">
        <v>53</v>
      </c>
      <c r="F328" s="4"/>
    </row>
    <row r="329" spans="1:6" x14ac:dyDescent="0.35">
      <c r="A329" s="4"/>
      <c r="B329" s="4"/>
      <c r="C329" s="4"/>
      <c r="D329" s="4"/>
      <c r="E329" s="4" t="s">
        <v>53</v>
      </c>
      <c r="F329" s="4"/>
    </row>
    <row r="330" spans="1:6" x14ac:dyDescent="0.35">
      <c r="A330" s="4"/>
      <c r="B330" s="4"/>
      <c r="C330" s="4"/>
      <c r="D330" s="4"/>
      <c r="E330" s="4" t="s">
        <v>53</v>
      </c>
      <c r="F330" s="4"/>
    </row>
    <row r="331" spans="1:6" x14ac:dyDescent="0.35">
      <c r="A331" s="4"/>
      <c r="B331" s="4"/>
      <c r="C331" s="4"/>
      <c r="D331" s="4"/>
      <c r="E331" s="4" t="s">
        <v>53</v>
      </c>
      <c r="F331" s="4"/>
    </row>
    <row r="332" spans="1:6" x14ac:dyDescent="0.35">
      <c r="A332" s="4"/>
      <c r="B332" s="4"/>
      <c r="C332" s="4"/>
      <c r="D332" s="4"/>
      <c r="E332" s="4" t="s">
        <v>53</v>
      </c>
      <c r="F332" s="4"/>
    </row>
    <row r="333" spans="1:6" x14ac:dyDescent="0.35">
      <c r="A333" s="4"/>
      <c r="B333" s="4"/>
      <c r="C333" s="4"/>
      <c r="D333" s="4"/>
      <c r="E333" s="4" t="s">
        <v>53</v>
      </c>
      <c r="F333" s="4"/>
    </row>
    <row r="334" spans="1:6" x14ac:dyDescent="0.35">
      <c r="A334" s="4"/>
      <c r="B334" s="4"/>
      <c r="C334" s="4"/>
      <c r="D334" s="4"/>
      <c r="E334" s="4" t="s">
        <v>53</v>
      </c>
      <c r="F334" s="4"/>
    </row>
    <row r="335" spans="1:6" x14ac:dyDescent="0.35">
      <c r="A335" s="4"/>
      <c r="B335" s="4"/>
      <c r="C335" s="4"/>
      <c r="D335" s="4"/>
      <c r="E335" s="4" t="s">
        <v>53</v>
      </c>
      <c r="F335" s="4"/>
    </row>
    <row r="336" spans="1:6" x14ac:dyDescent="0.35">
      <c r="A336" s="4"/>
      <c r="B336" s="4"/>
      <c r="C336" s="4"/>
      <c r="D336" s="4"/>
      <c r="E336" s="4" t="s">
        <v>53</v>
      </c>
      <c r="F336" s="4"/>
    </row>
    <row r="337" spans="1:6" x14ac:dyDescent="0.35">
      <c r="A337" s="4"/>
      <c r="B337" s="4"/>
      <c r="C337" s="4"/>
      <c r="D337" s="4"/>
      <c r="E337" s="4" t="s">
        <v>53</v>
      </c>
      <c r="F337" s="4"/>
    </row>
    <row r="338" spans="1:6" x14ac:dyDescent="0.35">
      <c r="A338" s="4"/>
      <c r="B338" s="4"/>
      <c r="C338" s="4"/>
      <c r="D338" s="4"/>
      <c r="E338" s="4" t="s">
        <v>174</v>
      </c>
      <c r="F338" s="4"/>
    </row>
    <row r="339" spans="1:6" x14ac:dyDescent="0.35">
      <c r="A339" s="4"/>
      <c r="B339" s="4"/>
      <c r="C339" s="4"/>
      <c r="D339" s="4"/>
      <c r="E339" s="4" t="s">
        <v>174</v>
      </c>
      <c r="F339" s="4"/>
    </row>
    <row r="340" spans="1:6" x14ac:dyDescent="0.35">
      <c r="A340" s="4"/>
      <c r="B340" s="4"/>
      <c r="C340" s="4"/>
      <c r="D340" s="4"/>
      <c r="E340" s="4" t="s">
        <v>174</v>
      </c>
      <c r="F340" s="4"/>
    </row>
    <row r="341" spans="1:6" x14ac:dyDescent="0.35">
      <c r="A341" s="4"/>
      <c r="B341" s="4"/>
      <c r="C341" s="4"/>
      <c r="D341" s="4"/>
      <c r="E341" s="4" t="s">
        <v>174</v>
      </c>
      <c r="F341" s="4"/>
    </row>
    <row r="342" spans="1:6" x14ac:dyDescent="0.35">
      <c r="A342" s="4"/>
      <c r="B342" s="4"/>
      <c r="C342" s="4"/>
      <c r="D342" s="4"/>
      <c r="E342" s="4" t="s">
        <v>174</v>
      </c>
      <c r="F342" s="4"/>
    </row>
    <row r="343" spans="1:6" x14ac:dyDescent="0.35">
      <c r="A343" s="4"/>
      <c r="B343" s="4"/>
      <c r="C343" s="4"/>
      <c r="D343" s="4"/>
      <c r="E343" s="4" t="s">
        <v>174</v>
      </c>
      <c r="F343" s="4"/>
    </row>
    <row r="344" spans="1:6" x14ac:dyDescent="0.35">
      <c r="A344" s="4"/>
      <c r="B344" s="4"/>
      <c r="C344" s="4"/>
      <c r="D344" s="4"/>
      <c r="E344" s="4" t="s">
        <v>174</v>
      </c>
      <c r="F344" s="4"/>
    </row>
    <row r="345" spans="1:6" x14ac:dyDescent="0.35">
      <c r="A345" s="4"/>
      <c r="B345" s="4"/>
      <c r="C345" s="4"/>
      <c r="D345" s="4"/>
      <c r="E345" s="4" t="s">
        <v>174</v>
      </c>
      <c r="F345" s="4"/>
    </row>
    <row r="346" spans="1:6" x14ac:dyDescent="0.35">
      <c r="A346" s="4"/>
      <c r="B346" s="4"/>
      <c r="C346" s="4"/>
      <c r="D346" s="4"/>
      <c r="E346" s="4" t="s">
        <v>174</v>
      </c>
      <c r="F346" s="4"/>
    </row>
    <row r="347" spans="1:6" x14ac:dyDescent="0.35">
      <c r="A347" s="4"/>
      <c r="B347" s="4"/>
      <c r="C347" s="4"/>
      <c r="D347" s="4"/>
      <c r="E347" s="4" t="s">
        <v>174</v>
      </c>
      <c r="F347" s="4"/>
    </row>
    <row r="348" spans="1:6" x14ac:dyDescent="0.35">
      <c r="A348" s="4"/>
      <c r="B348" s="4"/>
      <c r="C348" s="4"/>
      <c r="D348" s="4"/>
      <c r="E348" s="4" t="s">
        <v>174</v>
      </c>
      <c r="F348" s="4"/>
    </row>
    <row r="349" spans="1:6" x14ac:dyDescent="0.35">
      <c r="A349" s="4"/>
      <c r="B349" s="4"/>
      <c r="C349" s="4"/>
      <c r="D349" s="4"/>
      <c r="E349" s="4" t="s">
        <v>174</v>
      </c>
      <c r="F349" s="4"/>
    </row>
    <row r="350" spans="1:6" x14ac:dyDescent="0.35">
      <c r="A350" s="4"/>
      <c r="B350" s="4"/>
      <c r="C350" s="4"/>
      <c r="D350" s="4"/>
      <c r="E350" s="4" t="s">
        <v>174</v>
      </c>
      <c r="F350" s="4"/>
    </row>
    <row r="351" spans="1:6" x14ac:dyDescent="0.35">
      <c r="A351" s="4"/>
      <c r="B351" s="4"/>
      <c r="C351" s="4"/>
      <c r="D351" s="4"/>
      <c r="E351" s="4" t="s">
        <v>174</v>
      </c>
      <c r="F351" s="4"/>
    </row>
    <row r="352" spans="1:6" x14ac:dyDescent="0.35">
      <c r="A352" s="4"/>
      <c r="B352" s="4"/>
      <c r="C352" s="4"/>
      <c r="D352" s="4"/>
      <c r="E352" s="4" t="s">
        <v>174</v>
      </c>
      <c r="F352" s="4"/>
    </row>
    <row r="353" spans="1:6" x14ac:dyDescent="0.35">
      <c r="A353" s="4"/>
      <c r="B353" s="4"/>
      <c r="C353" s="4"/>
      <c r="D353" s="4"/>
      <c r="E353" s="4" t="s">
        <v>174</v>
      </c>
      <c r="F353" s="4"/>
    </row>
    <row r="354" spans="1:6" x14ac:dyDescent="0.35">
      <c r="A354" s="4"/>
      <c r="B354" s="4"/>
      <c r="C354" s="4"/>
      <c r="D354" s="4"/>
      <c r="E354" s="4" t="s">
        <v>174</v>
      </c>
      <c r="F354" s="4"/>
    </row>
    <row r="355" spans="1:6" x14ac:dyDescent="0.35">
      <c r="A355" s="4"/>
      <c r="B355" s="4"/>
      <c r="C355" s="4"/>
      <c r="D355" s="4"/>
      <c r="E355" s="4" t="s">
        <v>174</v>
      </c>
      <c r="F355" s="4"/>
    </row>
    <row r="356" spans="1:6" x14ac:dyDescent="0.35">
      <c r="A356" s="4"/>
      <c r="B356" s="4"/>
      <c r="C356" s="4"/>
      <c r="D356" s="4"/>
      <c r="E356" s="4" t="s">
        <v>174</v>
      </c>
      <c r="F356" s="4"/>
    </row>
    <row r="357" spans="1:6" x14ac:dyDescent="0.35">
      <c r="A357" s="4"/>
      <c r="B357" s="4"/>
      <c r="C357" s="4"/>
      <c r="D357" s="4"/>
      <c r="E357" s="4" t="s">
        <v>174</v>
      </c>
      <c r="F357" s="4"/>
    </row>
    <row r="358" spans="1:6" x14ac:dyDescent="0.35">
      <c r="A358" s="4"/>
      <c r="B358" s="4"/>
      <c r="C358" s="4"/>
      <c r="D358" s="4"/>
      <c r="E358" s="4" t="s">
        <v>174</v>
      </c>
      <c r="F358" s="4"/>
    </row>
    <row r="359" spans="1:6" x14ac:dyDescent="0.35">
      <c r="A359" s="4"/>
      <c r="B359" s="4"/>
      <c r="C359" s="4"/>
      <c r="D359" s="4"/>
      <c r="E359" s="4" t="s">
        <v>174</v>
      </c>
      <c r="F359" s="4"/>
    </row>
    <row r="360" spans="1:6" x14ac:dyDescent="0.35">
      <c r="A360" s="4"/>
      <c r="B360" s="4"/>
      <c r="C360" s="4"/>
      <c r="D360" s="4"/>
      <c r="E360" s="4" t="s">
        <v>174</v>
      </c>
      <c r="F360" s="4"/>
    </row>
    <row r="361" spans="1:6" x14ac:dyDescent="0.35">
      <c r="A361" s="4"/>
      <c r="B361" s="4"/>
      <c r="C361" s="4"/>
      <c r="D361" s="4"/>
      <c r="E361" s="4" t="s">
        <v>174</v>
      </c>
      <c r="F361" s="4"/>
    </row>
    <row r="362" spans="1:6" x14ac:dyDescent="0.35">
      <c r="A362" s="4"/>
      <c r="B362" s="4"/>
      <c r="C362" s="4"/>
      <c r="D362" s="4"/>
      <c r="E362" s="4" t="s">
        <v>174</v>
      </c>
      <c r="F362" s="4"/>
    </row>
    <row r="363" spans="1:6" x14ac:dyDescent="0.35">
      <c r="A363" s="4"/>
      <c r="B363" s="4"/>
      <c r="C363" s="4"/>
      <c r="D363" s="4"/>
      <c r="E363" s="4" t="s">
        <v>174</v>
      </c>
      <c r="F363" s="4"/>
    </row>
    <row r="364" spans="1:6" x14ac:dyDescent="0.35">
      <c r="A364" s="4"/>
      <c r="B364" s="4"/>
      <c r="C364" s="4"/>
      <c r="D364" s="4"/>
      <c r="E364" s="4" t="s">
        <v>174</v>
      </c>
      <c r="F364" s="4"/>
    </row>
    <row r="365" spans="1:6" x14ac:dyDescent="0.35">
      <c r="A365" s="4"/>
      <c r="B365" s="4"/>
      <c r="C365" s="4"/>
      <c r="D365" s="4"/>
      <c r="E365" s="4" t="s">
        <v>174</v>
      </c>
      <c r="F365" s="4"/>
    </row>
    <row r="366" spans="1:6" x14ac:dyDescent="0.35">
      <c r="A366" s="4"/>
      <c r="B366" s="4"/>
      <c r="C366" s="4"/>
      <c r="D366" s="4"/>
      <c r="E366" s="4" t="s">
        <v>174</v>
      </c>
      <c r="F366" s="4"/>
    </row>
    <row r="367" spans="1:6" x14ac:dyDescent="0.35">
      <c r="A367" s="4"/>
      <c r="B367" s="4"/>
      <c r="C367" s="4"/>
      <c r="D367" s="4"/>
      <c r="E367" s="4" t="s">
        <v>174</v>
      </c>
      <c r="F367" s="4"/>
    </row>
    <row r="368" spans="1:6" x14ac:dyDescent="0.35">
      <c r="A368" s="4"/>
      <c r="B368" s="4"/>
      <c r="C368" s="4"/>
      <c r="D368" s="4"/>
      <c r="E368" s="4" t="s">
        <v>174</v>
      </c>
      <c r="F368" s="4"/>
    </row>
    <row r="369" spans="1:6" x14ac:dyDescent="0.35">
      <c r="A369" s="4"/>
      <c r="B369" s="4"/>
      <c r="C369" s="4"/>
      <c r="D369" s="4"/>
      <c r="E369" s="4" t="s">
        <v>174</v>
      </c>
      <c r="F369" s="4"/>
    </row>
    <row r="370" spans="1:6" x14ac:dyDescent="0.35">
      <c r="A370" s="4"/>
      <c r="B370" s="4"/>
      <c r="C370" s="4"/>
      <c r="D370" s="4"/>
      <c r="E370" s="4" t="s">
        <v>174</v>
      </c>
      <c r="F370" s="4"/>
    </row>
    <row r="371" spans="1:6" x14ac:dyDescent="0.35">
      <c r="A371" s="4"/>
      <c r="B371" s="4"/>
      <c r="C371" s="4"/>
      <c r="D371" s="4"/>
      <c r="E371" s="4" t="s">
        <v>174</v>
      </c>
      <c r="F371" s="4"/>
    </row>
    <row r="372" spans="1:6" x14ac:dyDescent="0.35">
      <c r="A372" s="4"/>
      <c r="B372" s="4"/>
      <c r="C372" s="4"/>
      <c r="D372" s="4"/>
      <c r="E372" s="4" t="s">
        <v>174</v>
      </c>
      <c r="F372" s="4"/>
    </row>
    <row r="373" spans="1:6" x14ac:dyDescent="0.35">
      <c r="A373" s="4"/>
      <c r="B373" s="4"/>
      <c r="C373" s="4"/>
      <c r="D373" s="4"/>
      <c r="E373" s="4" t="s">
        <v>174</v>
      </c>
      <c r="F373" s="4"/>
    </row>
    <row r="374" spans="1:6" x14ac:dyDescent="0.35">
      <c r="A374" s="4"/>
      <c r="B374" s="4"/>
      <c r="C374" s="4"/>
      <c r="D374" s="4"/>
      <c r="E374" s="4" t="s">
        <v>174</v>
      </c>
      <c r="F374" s="4"/>
    </row>
    <row r="375" spans="1:6" x14ac:dyDescent="0.35">
      <c r="A375" s="4"/>
      <c r="B375" s="4"/>
      <c r="C375" s="4"/>
      <c r="D375" s="4"/>
      <c r="E375" s="4" t="s">
        <v>174</v>
      </c>
      <c r="F375" s="4"/>
    </row>
    <row r="376" spans="1:6" x14ac:dyDescent="0.35">
      <c r="A376" s="4"/>
      <c r="B376" s="4"/>
      <c r="C376" s="4"/>
      <c r="D376" s="4"/>
      <c r="E376" s="4" t="s">
        <v>174</v>
      </c>
      <c r="F376" s="4"/>
    </row>
    <row r="377" spans="1:6" x14ac:dyDescent="0.35">
      <c r="A377" s="4"/>
      <c r="B377" s="4"/>
      <c r="C377" s="4"/>
      <c r="D377" s="4"/>
      <c r="E377" s="4" t="s">
        <v>174</v>
      </c>
      <c r="F377" s="4"/>
    </row>
    <row r="378" spans="1:6" x14ac:dyDescent="0.35">
      <c r="A378" s="4"/>
      <c r="B378" s="4"/>
      <c r="C378" s="4"/>
      <c r="D378" s="4"/>
      <c r="E378" s="4" t="s">
        <v>174</v>
      </c>
      <c r="F378" s="4"/>
    </row>
    <row r="379" spans="1:6" x14ac:dyDescent="0.35">
      <c r="A379" s="4"/>
      <c r="B379" s="4"/>
      <c r="C379" s="4"/>
      <c r="D379" s="4"/>
      <c r="E379" s="4" t="s">
        <v>174</v>
      </c>
      <c r="F379" s="4"/>
    </row>
    <row r="380" spans="1:6" x14ac:dyDescent="0.35">
      <c r="A380" s="4"/>
      <c r="B380" s="4"/>
      <c r="C380" s="4"/>
      <c r="D380" s="4"/>
      <c r="E380" s="4" t="s">
        <v>174</v>
      </c>
      <c r="F380" s="4"/>
    </row>
    <row r="381" spans="1:6" x14ac:dyDescent="0.35">
      <c r="A381" s="4"/>
      <c r="B381" s="4"/>
      <c r="C381" s="4"/>
      <c r="D381" s="4"/>
      <c r="E381" s="4" t="s">
        <v>174</v>
      </c>
      <c r="F381" s="4"/>
    </row>
    <row r="382" spans="1:6" x14ac:dyDescent="0.35">
      <c r="A382" s="4"/>
      <c r="B382" s="4"/>
      <c r="C382" s="4"/>
      <c r="D382" s="4"/>
      <c r="E382" s="4" t="s">
        <v>174</v>
      </c>
      <c r="F382" s="4"/>
    </row>
    <row r="383" spans="1:6" x14ac:dyDescent="0.35">
      <c r="A383" s="4"/>
      <c r="B383" s="4"/>
      <c r="C383" s="4"/>
      <c r="D383" s="4"/>
      <c r="E383" s="4" t="s">
        <v>174</v>
      </c>
      <c r="F383" s="4"/>
    </row>
    <row r="384" spans="1:6" x14ac:dyDescent="0.35">
      <c r="A384" s="4"/>
      <c r="B384" s="4"/>
      <c r="C384" s="4"/>
      <c r="D384" s="4"/>
      <c r="E384" s="4" t="s">
        <v>174</v>
      </c>
      <c r="F384" s="4"/>
    </row>
    <row r="385" spans="1:6" x14ac:dyDescent="0.35">
      <c r="A385" s="4"/>
      <c r="B385" s="4"/>
      <c r="C385" s="4"/>
      <c r="D385" s="4"/>
      <c r="E385" s="4" t="s">
        <v>174</v>
      </c>
      <c r="F385" s="4"/>
    </row>
    <row r="386" spans="1:6" x14ac:dyDescent="0.35">
      <c r="A386" s="4"/>
      <c r="B386" s="4"/>
      <c r="C386" s="4"/>
      <c r="D386" s="4"/>
      <c r="E386" s="4" t="s">
        <v>174</v>
      </c>
      <c r="F386" s="4"/>
    </row>
    <row r="387" spans="1:6" x14ac:dyDescent="0.35">
      <c r="A387" s="4"/>
      <c r="B387" s="4"/>
      <c r="C387" s="4"/>
      <c r="D387" s="4"/>
      <c r="E387" s="4" t="s">
        <v>174</v>
      </c>
      <c r="F387" s="4"/>
    </row>
    <row r="388" spans="1:6" x14ac:dyDescent="0.35">
      <c r="A388" s="4"/>
      <c r="B388" s="4"/>
      <c r="C388" s="4"/>
      <c r="D388" s="4"/>
      <c r="E388" s="4" t="s">
        <v>174</v>
      </c>
      <c r="F388" s="4"/>
    </row>
    <row r="389" spans="1:6" x14ac:dyDescent="0.35">
      <c r="A389" s="4"/>
      <c r="B389" s="4"/>
      <c r="C389" s="4"/>
      <c r="D389" s="4"/>
      <c r="E389" s="4" t="s">
        <v>174</v>
      </c>
      <c r="F389" s="4"/>
    </row>
    <row r="390" spans="1:6" x14ac:dyDescent="0.35">
      <c r="A390" s="4"/>
      <c r="B390" s="4"/>
      <c r="C390" s="4"/>
      <c r="D390" s="4"/>
      <c r="E390" s="4" t="s">
        <v>174</v>
      </c>
      <c r="F390" s="4"/>
    </row>
    <row r="391" spans="1:6" x14ac:dyDescent="0.35">
      <c r="A391" s="4"/>
      <c r="B391" s="4"/>
      <c r="C391" s="4"/>
      <c r="D391" s="4"/>
      <c r="E391" s="4" t="s">
        <v>174</v>
      </c>
      <c r="F391" s="4"/>
    </row>
    <row r="392" spans="1:6" x14ac:dyDescent="0.35">
      <c r="A392" s="4"/>
      <c r="B392" s="4"/>
      <c r="C392" s="4"/>
      <c r="D392" s="4"/>
      <c r="E392" s="4" t="s">
        <v>174</v>
      </c>
      <c r="F392" s="4"/>
    </row>
    <row r="393" spans="1:6" x14ac:dyDescent="0.35">
      <c r="A393" s="4"/>
      <c r="B393" s="4"/>
      <c r="C393" s="4"/>
      <c r="D393" s="4"/>
      <c r="E393" s="4" t="s">
        <v>174</v>
      </c>
      <c r="F393" s="4"/>
    </row>
    <row r="394" spans="1:6" x14ac:dyDescent="0.35">
      <c r="A394" s="4"/>
      <c r="B394" s="4"/>
      <c r="C394" s="4"/>
      <c r="D394" s="4"/>
      <c r="E394" s="4" t="s">
        <v>174</v>
      </c>
      <c r="F394" s="4"/>
    </row>
    <row r="395" spans="1:6" x14ac:dyDescent="0.35">
      <c r="A395" s="4"/>
      <c r="B395" s="4"/>
      <c r="C395" s="4"/>
      <c r="D395" s="4"/>
      <c r="E395" s="4" t="s">
        <v>174</v>
      </c>
      <c r="F395" s="4"/>
    </row>
    <row r="396" spans="1:6" x14ac:dyDescent="0.35">
      <c r="A396" s="4"/>
      <c r="B396" s="4"/>
      <c r="C396" s="4"/>
      <c r="D396" s="4"/>
      <c r="E396" s="4" t="s">
        <v>174</v>
      </c>
      <c r="F396" s="4"/>
    </row>
    <row r="397" spans="1:6" x14ac:dyDescent="0.35">
      <c r="A397" s="4"/>
      <c r="B397" s="4"/>
      <c r="C397" s="4"/>
      <c r="D397" s="4"/>
      <c r="E397" s="4" t="s">
        <v>174</v>
      </c>
      <c r="F397" s="4"/>
    </row>
    <row r="398" spans="1:6" x14ac:dyDescent="0.35">
      <c r="A398" s="4"/>
      <c r="B398" s="4"/>
      <c r="C398" s="4"/>
      <c r="D398" s="4"/>
      <c r="E398" s="4" t="s">
        <v>174</v>
      </c>
      <c r="F398" s="4"/>
    </row>
    <row r="399" spans="1:6" x14ac:dyDescent="0.35">
      <c r="A399" s="4"/>
      <c r="B399" s="4"/>
      <c r="C399" s="4"/>
      <c r="D399" s="4"/>
      <c r="E399" s="4" t="s">
        <v>174</v>
      </c>
      <c r="F399" s="4"/>
    </row>
    <row r="400" spans="1:6" x14ac:dyDescent="0.35">
      <c r="A400" s="4"/>
      <c r="B400" s="4"/>
      <c r="C400" s="4"/>
      <c r="D400" s="4"/>
      <c r="E400" s="4" t="s">
        <v>174</v>
      </c>
      <c r="F400" s="4"/>
    </row>
    <row r="401" spans="1:6" x14ac:dyDescent="0.35">
      <c r="A401" s="4"/>
      <c r="B401" s="4"/>
      <c r="C401" s="4"/>
      <c r="D401" s="4"/>
      <c r="E401" s="4" t="s">
        <v>174</v>
      </c>
      <c r="F401" s="4"/>
    </row>
    <row r="402" spans="1:6" x14ac:dyDescent="0.35">
      <c r="A402" s="4"/>
      <c r="B402" s="4"/>
      <c r="C402" s="4"/>
      <c r="D402" s="4"/>
      <c r="E402" s="4" t="s">
        <v>174</v>
      </c>
      <c r="F402" s="4"/>
    </row>
    <row r="403" spans="1:6" x14ac:dyDescent="0.35">
      <c r="A403" s="4"/>
      <c r="B403" s="4"/>
      <c r="C403" s="4"/>
      <c r="D403" s="4"/>
      <c r="E403" s="4" t="s">
        <v>174</v>
      </c>
      <c r="F403" s="4"/>
    </row>
    <row r="404" spans="1:6" x14ac:dyDescent="0.35">
      <c r="A404" s="4"/>
      <c r="B404" s="4"/>
      <c r="C404" s="4"/>
      <c r="D404" s="4"/>
      <c r="E404" s="4" t="s">
        <v>174</v>
      </c>
      <c r="F404" s="4"/>
    </row>
    <row r="405" spans="1:6" x14ac:dyDescent="0.35">
      <c r="A405" s="4"/>
      <c r="B405" s="4"/>
      <c r="C405" s="4"/>
      <c r="D405" s="4"/>
      <c r="E405" s="4" t="s">
        <v>174</v>
      </c>
      <c r="F405" s="4"/>
    </row>
    <row r="406" spans="1:6" x14ac:dyDescent="0.35">
      <c r="A406" s="4"/>
      <c r="B406" s="4"/>
      <c r="C406" s="4"/>
      <c r="D406" s="4"/>
      <c r="E406" s="4" t="s">
        <v>174</v>
      </c>
      <c r="F406" s="4"/>
    </row>
    <row r="407" spans="1:6" x14ac:dyDescent="0.35">
      <c r="A407" s="4"/>
      <c r="B407" s="4"/>
      <c r="C407" s="4"/>
      <c r="D407" s="4"/>
      <c r="E407" s="4" t="s">
        <v>174</v>
      </c>
      <c r="F407" s="4"/>
    </row>
    <row r="408" spans="1:6" x14ac:dyDescent="0.35">
      <c r="A408" s="4"/>
      <c r="B408" s="4"/>
      <c r="C408" s="4"/>
      <c r="D408" s="4"/>
      <c r="E408" s="4" t="s">
        <v>174</v>
      </c>
      <c r="F408" s="4"/>
    </row>
    <row r="409" spans="1:6" x14ac:dyDescent="0.35">
      <c r="A409" s="4"/>
      <c r="B409" s="4"/>
      <c r="C409" s="4"/>
      <c r="D409" s="4"/>
      <c r="E409" s="4" t="s">
        <v>174</v>
      </c>
      <c r="F409" s="4"/>
    </row>
    <row r="410" spans="1:6" x14ac:dyDescent="0.35">
      <c r="A410" s="4"/>
      <c r="B410" s="4"/>
      <c r="C410" s="4"/>
      <c r="D410" s="4"/>
      <c r="E410" s="4" t="s">
        <v>174</v>
      </c>
      <c r="F410" s="4"/>
    </row>
    <row r="411" spans="1:6" x14ac:dyDescent="0.35">
      <c r="A411" s="4"/>
      <c r="B411" s="4"/>
      <c r="C411" s="4"/>
      <c r="D411" s="4"/>
      <c r="E411" s="4" t="s">
        <v>174</v>
      </c>
      <c r="F411" s="4"/>
    </row>
    <row r="412" spans="1:6" x14ac:dyDescent="0.35">
      <c r="A412" s="4"/>
      <c r="B412" s="4"/>
      <c r="C412" s="4"/>
      <c r="D412" s="4"/>
      <c r="E412" s="4" t="s">
        <v>174</v>
      </c>
      <c r="F412" s="4"/>
    </row>
    <row r="413" spans="1:6" x14ac:dyDescent="0.35">
      <c r="A413" s="4"/>
      <c r="B413" s="4"/>
      <c r="C413" s="4"/>
      <c r="D413" s="4"/>
      <c r="E413" s="4" t="s">
        <v>174</v>
      </c>
      <c r="F413" s="4"/>
    </row>
    <row r="414" spans="1:6" x14ac:dyDescent="0.35">
      <c r="A414" s="4"/>
      <c r="B414" s="4"/>
      <c r="C414" s="4"/>
      <c r="D414" s="4"/>
      <c r="E414" s="4" t="s">
        <v>174</v>
      </c>
      <c r="F414" s="4"/>
    </row>
    <row r="415" spans="1:6" x14ac:dyDescent="0.35">
      <c r="A415" s="4"/>
      <c r="B415" s="4"/>
      <c r="C415" s="4"/>
      <c r="D415" s="4"/>
      <c r="E415" s="4" t="s">
        <v>174</v>
      </c>
      <c r="F415" s="4"/>
    </row>
    <row r="416" spans="1:6" x14ac:dyDescent="0.35">
      <c r="A416" s="4"/>
      <c r="B416" s="4"/>
      <c r="C416" s="4"/>
      <c r="D416" s="4"/>
      <c r="E416" s="4" t="s">
        <v>174</v>
      </c>
      <c r="F416" s="4"/>
    </row>
    <row r="417" spans="1:6" x14ac:dyDescent="0.35">
      <c r="A417" s="4"/>
      <c r="B417" s="4"/>
      <c r="C417" s="4"/>
      <c r="D417" s="4"/>
      <c r="E417" s="4" t="s">
        <v>174</v>
      </c>
      <c r="F417" s="4"/>
    </row>
    <row r="418" spans="1:6" x14ac:dyDescent="0.35">
      <c r="A418" s="4"/>
      <c r="B418" s="4"/>
      <c r="C418" s="4"/>
      <c r="D418" s="4"/>
      <c r="E418" s="4" t="s">
        <v>174</v>
      </c>
      <c r="F418" s="4"/>
    </row>
    <row r="419" spans="1:6" x14ac:dyDescent="0.35">
      <c r="A419" s="4"/>
      <c r="B419" s="4"/>
      <c r="C419" s="4"/>
      <c r="D419" s="4"/>
      <c r="E419" s="4" t="s">
        <v>174</v>
      </c>
      <c r="F419" s="4"/>
    </row>
    <row r="420" spans="1:6" x14ac:dyDescent="0.35">
      <c r="A420" s="4"/>
      <c r="B420" s="4"/>
      <c r="C420" s="4"/>
      <c r="D420" s="4"/>
      <c r="E420" s="4" t="s">
        <v>174</v>
      </c>
      <c r="F420" s="4"/>
    </row>
    <row r="421" spans="1:6" x14ac:dyDescent="0.35">
      <c r="A421" s="4"/>
      <c r="B421" s="4"/>
      <c r="C421" s="4"/>
      <c r="D421" s="4"/>
      <c r="E421" s="4" t="s">
        <v>174</v>
      </c>
      <c r="F421" s="4"/>
    </row>
    <row r="422" spans="1:6" x14ac:dyDescent="0.35">
      <c r="A422" s="4"/>
      <c r="B422" s="4"/>
      <c r="C422" s="4"/>
      <c r="D422" s="4"/>
      <c r="E422" s="4" t="s">
        <v>174</v>
      </c>
      <c r="F422" s="4"/>
    </row>
    <row r="423" spans="1:6" x14ac:dyDescent="0.35">
      <c r="A423" s="4"/>
      <c r="B423" s="4"/>
      <c r="C423" s="4"/>
      <c r="D423" s="4"/>
      <c r="E423" s="4" t="s">
        <v>174</v>
      </c>
      <c r="F423" s="4"/>
    </row>
    <row r="424" spans="1:6" x14ac:dyDescent="0.35">
      <c r="A424" s="4"/>
      <c r="B424" s="4"/>
      <c r="C424" s="4"/>
      <c r="D424" s="4"/>
      <c r="E424" s="4" t="s">
        <v>174</v>
      </c>
      <c r="F424" s="4"/>
    </row>
    <row r="425" spans="1:6" x14ac:dyDescent="0.35">
      <c r="A425" s="4"/>
      <c r="B425" s="4"/>
      <c r="C425" s="4"/>
      <c r="D425" s="4"/>
      <c r="E425" s="4" t="s">
        <v>174</v>
      </c>
      <c r="F425" s="4"/>
    </row>
    <row r="426" spans="1:6" x14ac:dyDescent="0.35">
      <c r="A426" s="4"/>
      <c r="B426" s="4"/>
      <c r="C426" s="4"/>
      <c r="D426" s="4"/>
      <c r="E426" s="4" t="s">
        <v>174</v>
      </c>
      <c r="F426" s="4"/>
    </row>
    <row r="427" spans="1:6" x14ac:dyDescent="0.35">
      <c r="A427" s="4"/>
      <c r="B427" s="4"/>
      <c r="C427" s="4"/>
      <c r="D427" s="4"/>
      <c r="E427" s="4" t="s">
        <v>174</v>
      </c>
      <c r="F427" s="4"/>
    </row>
    <row r="428" spans="1:6" x14ac:dyDescent="0.35">
      <c r="A428" s="4"/>
      <c r="B428" s="4"/>
      <c r="C428" s="4"/>
      <c r="D428" s="4"/>
      <c r="E428" s="4" t="s">
        <v>174</v>
      </c>
      <c r="F428" s="4"/>
    </row>
    <row r="429" spans="1:6" x14ac:dyDescent="0.35">
      <c r="A429" s="4"/>
      <c r="B429" s="4"/>
      <c r="C429" s="4"/>
      <c r="D429" s="4"/>
      <c r="E429" s="4" t="s">
        <v>174</v>
      </c>
      <c r="F429" s="4"/>
    </row>
    <row r="430" spans="1:6" x14ac:dyDescent="0.35">
      <c r="A430" s="4"/>
      <c r="B430" s="4"/>
      <c r="C430" s="4"/>
      <c r="D430" s="4"/>
      <c r="E430" s="4" t="s">
        <v>174</v>
      </c>
      <c r="F430" s="4"/>
    </row>
    <row r="431" spans="1:6" x14ac:dyDescent="0.35">
      <c r="A431" s="4"/>
      <c r="B431" s="4"/>
      <c r="C431" s="4"/>
      <c r="D431" s="4"/>
      <c r="E431" s="4" t="s">
        <v>174</v>
      </c>
      <c r="F431" s="4"/>
    </row>
    <row r="432" spans="1:6" x14ac:dyDescent="0.35">
      <c r="A432" s="4"/>
      <c r="B432" s="4"/>
      <c r="C432" s="4"/>
      <c r="D432" s="4"/>
      <c r="E432" s="4" t="s">
        <v>174</v>
      </c>
      <c r="F432" s="4"/>
    </row>
    <row r="433" spans="1:6" x14ac:dyDescent="0.35">
      <c r="A433" s="4"/>
      <c r="B433" s="4"/>
      <c r="C433" s="4"/>
      <c r="D433" s="4"/>
      <c r="E433" s="4" t="s">
        <v>174</v>
      </c>
      <c r="F433" s="4"/>
    </row>
    <row r="434" spans="1:6" x14ac:dyDescent="0.35">
      <c r="A434" s="4"/>
      <c r="B434" s="4"/>
      <c r="C434" s="4"/>
      <c r="D434" s="4"/>
      <c r="E434" s="4" t="s">
        <v>174</v>
      </c>
      <c r="F434" s="4"/>
    </row>
    <row r="435" spans="1:6" x14ac:dyDescent="0.35">
      <c r="A435" s="4"/>
      <c r="B435" s="4"/>
      <c r="C435" s="4"/>
      <c r="D435" s="4"/>
      <c r="E435" s="4" t="s">
        <v>174</v>
      </c>
      <c r="F435" s="4"/>
    </row>
    <row r="436" spans="1:6" x14ac:dyDescent="0.35">
      <c r="A436" s="4"/>
      <c r="B436" s="4"/>
      <c r="C436" s="4"/>
      <c r="D436" s="4"/>
      <c r="E436" s="4" t="s">
        <v>174</v>
      </c>
      <c r="F436" s="4"/>
    </row>
    <row r="437" spans="1:6" x14ac:dyDescent="0.35">
      <c r="A437" s="4"/>
      <c r="B437" s="4"/>
      <c r="C437" s="4"/>
      <c r="D437" s="4"/>
      <c r="E437" s="4" t="s">
        <v>174</v>
      </c>
      <c r="F437" s="4"/>
    </row>
    <row r="438" spans="1:6" x14ac:dyDescent="0.35">
      <c r="A438" s="4"/>
      <c r="B438" s="4"/>
      <c r="C438" s="4"/>
      <c r="D438" s="4"/>
      <c r="E438" s="4" t="s">
        <v>174</v>
      </c>
      <c r="F438" s="4"/>
    </row>
    <row r="439" spans="1:6" x14ac:dyDescent="0.35">
      <c r="A439" s="4"/>
      <c r="B439" s="4"/>
      <c r="C439" s="4"/>
      <c r="D439" s="4"/>
      <c r="E439" s="4" t="s">
        <v>174</v>
      </c>
      <c r="F439" s="4"/>
    </row>
    <row r="440" spans="1:6" x14ac:dyDescent="0.35">
      <c r="A440" s="4"/>
      <c r="B440" s="4"/>
      <c r="C440" s="4"/>
      <c r="D440" s="4"/>
      <c r="E440" s="4" t="s">
        <v>174</v>
      </c>
      <c r="F440" s="4"/>
    </row>
    <row r="441" spans="1:6" x14ac:dyDescent="0.35">
      <c r="A441" s="4"/>
      <c r="B441" s="4"/>
      <c r="C441" s="4"/>
      <c r="D441" s="4"/>
      <c r="E441" s="4" t="s">
        <v>174</v>
      </c>
      <c r="F441" s="4"/>
    </row>
    <row r="442" spans="1:6" x14ac:dyDescent="0.35">
      <c r="A442" s="4"/>
      <c r="B442" s="4"/>
      <c r="C442" s="4"/>
      <c r="D442" s="4"/>
      <c r="E442" s="4" t="s">
        <v>174</v>
      </c>
      <c r="F442" s="4"/>
    </row>
    <row r="443" spans="1:6" x14ac:dyDescent="0.35">
      <c r="A443" s="4"/>
      <c r="B443" s="4"/>
      <c r="C443" s="4"/>
      <c r="D443" s="4"/>
      <c r="E443" s="4" t="s">
        <v>174</v>
      </c>
      <c r="F443" s="4"/>
    </row>
    <row r="444" spans="1:6" x14ac:dyDescent="0.35">
      <c r="A444" s="4"/>
      <c r="B444" s="4"/>
      <c r="C444" s="4"/>
      <c r="D444" s="4"/>
      <c r="E444" s="4" t="s">
        <v>174</v>
      </c>
      <c r="F444" s="4"/>
    </row>
    <row r="445" spans="1:6" x14ac:dyDescent="0.35">
      <c r="A445" s="4"/>
      <c r="B445" s="4"/>
      <c r="C445" s="4"/>
      <c r="D445" s="4"/>
      <c r="E445" s="4" t="s">
        <v>174</v>
      </c>
      <c r="F445" s="4"/>
    </row>
    <row r="446" spans="1:6" x14ac:dyDescent="0.35">
      <c r="A446" s="4"/>
      <c r="B446" s="4"/>
      <c r="C446" s="4"/>
      <c r="D446" s="4"/>
      <c r="E446" s="4" t="s">
        <v>174</v>
      </c>
      <c r="F446" s="4"/>
    </row>
    <row r="447" spans="1:6" x14ac:dyDescent="0.35">
      <c r="A447" s="4"/>
      <c r="B447" s="4"/>
      <c r="C447" s="4"/>
      <c r="D447" s="4"/>
      <c r="E447" s="4" t="s">
        <v>174</v>
      </c>
      <c r="F447" s="4"/>
    </row>
    <row r="448" spans="1:6" x14ac:dyDescent="0.35">
      <c r="A448" s="4"/>
      <c r="B448" s="4"/>
      <c r="C448" s="4"/>
      <c r="D448" s="4"/>
      <c r="E448" s="4" t="s">
        <v>174</v>
      </c>
      <c r="F448" s="4"/>
    </row>
    <row r="449" spans="1:6" x14ac:dyDescent="0.35">
      <c r="A449" s="4"/>
      <c r="B449" s="4"/>
      <c r="C449" s="4"/>
      <c r="D449" s="4"/>
      <c r="E449" s="4" t="s">
        <v>174</v>
      </c>
      <c r="F449" s="4"/>
    </row>
    <row r="450" spans="1:6" x14ac:dyDescent="0.35">
      <c r="A450" s="4"/>
      <c r="B450" s="4"/>
      <c r="C450" s="4"/>
      <c r="D450" s="4"/>
      <c r="E450" s="4" t="s">
        <v>174</v>
      </c>
      <c r="F450" s="4"/>
    </row>
    <row r="451" spans="1:6" x14ac:dyDescent="0.35">
      <c r="A451" s="4"/>
      <c r="B451" s="4"/>
      <c r="C451" s="4"/>
      <c r="D451" s="4"/>
      <c r="E451" s="4" t="s">
        <v>174</v>
      </c>
      <c r="F451" s="4"/>
    </row>
    <row r="452" spans="1:6" x14ac:dyDescent="0.35">
      <c r="A452" s="4"/>
      <c r="B452" s="4"/>
      <c r="C452" s="4"/>
      <c r="D452" s="4"/>
      <c r="E452" s="4" t="s">
        <v>174</v>
      </c>
      <c r="F452" s="4"/>
    </row>
    <row r="453" spans="1:6" x14ac:dyDescent="0.35">
      <c r="A453" s="4"/>
      <c r="B453" s="4"/>
      <c r="C453" s="4"/>
      <c r="D453" s="4"/>
      <c r="E453" s="4" t="s">
        <v>174</v>
      </c>
      <c r="F453" s="4"/>
    </row>
    <row r="454" spans="1:6" x14ac:dyDescent="0.35">
      <c r="A454" s="4"/>
      <c r="B454" s="4"/>
      <c r="C454" s="4"/>
      <c r="D454" s="4"/>
      <c r="E454" s="4" t="s">
        <v>174</v>
      </c>
      <c r="F454" s="4"/>
    </row>
    <row r="455" spans="1:6" x14ac:dyDescent="0.35">
      <c r="A455" s="4"/>
      <c r="B455" s="4"/>
      <c r="C455" s="4"/>
      <c r="D455" s="4"/>
      <c r="E455" s="4" t="s">
        <v>174</v>
      </c>
      <c r="F455" s="4"/>
    </row>
    <row r="456" spans="1:6" x14ac:dyDescent="0.35">
      <c r="A456" s="4"/>
      <c r="B456" s="4"/>
      <c r="C456" s="4"/>
      <c r="D456" s="4"/>
      <c r="E456" s="4" t="s">
        <v>174</v>
      </c>
      <c r="F456" s="4"/>
    </row>
    <row r="457" spans="1:6" x14ac:dyDescent="0.35">
      <c r="A457" s="4"/>
      <c r="B457" s="4"/>
      <c r="C457" s="4"/>
      <c r="D457" s="4"/>
      <c r="E457" s="4" t="s">
        <v>174</v>
      </c>
      <c r="F457" s="4"/>
    </row>
    <row r="458" spans="1:6" x14ac:dyDescent="0.35">
      <c r="A458" s="4"/>
      <c r="B458" s="4"/>
      <c r="C458" s="4"/>
      <c r="D458" s="4"/>
      <c r="E458" s="4" t="s">
        <v>174</v>
      </c>
      <c r="F458" s="4"/>
    </row>
    <row r="459" spans="1:6" x14ac:dyDescent="0.35">
      <c r="A459" s="4"/>
      <c r="B459" s="4"/>
      <c r="C459" s="4"/>
      <c r="D459" s="4"/>
      <c r="E459" s="4" t="s">
        <v>174</v>
      </c>
      <c r="F459" s="4"/>
    </row>
    <row r="460" spans="1:6" x14ac:dyDescent="0.35">
      <c r="A460" s="4"/>
      <c r="B460" s="4"/>
      <c r="C460" s="4"/>
      <c r="D460" s="4"/>
      <c r="E460" s="4" t="s">
        <v>174</v>
      </c>
      <c r="F460" s="4"/>
    </row>
    <row r="461" spans="1:6" x14ac:dyDescent="0.35">
      <c r="A461" s="4"/>
      <c r="B461" s="4"/>
      <c r="C461" s="4"/>
      <c r="D461" s="4"/>
      <c r="E461" s="4" t="s">
        <v>174</v>
      </c>
      <c r="F461" s="4"/>
    </row>
    <row r="462" spans="1:6" x14ac:dyDescent="0.35">
      <c r="A462" s="4"/>
      <c r="B462" s="4"/>
      <c r="C462" s="4"/>
      <c r="D462" s="4"/>
      <c r="E462" s="4" t="s">
        <v>174</v>
      </c>
      <c r="F462" s="4"/>
    </row>
    <row r="463" spans="1:6" x14ac:dyDescent="0.35">
      <c r="A463" s="4"/>
      <c r="B463" s="4"/>
      <c r="C463" s="4"/>
      <c r="D463" s="4"/>
      <c r="E463" s="4" t="s">
        <v>174</v>
      </c>
      <c r="F463" s="4"/>
    </row>
    <row r="464" spans="1:6" x14ac:dyDescent="0.35">
      <c r="A464" s="4"/>
      <c r="B464" s="4"/>
      <c r="C464" s="4"/>
      <c r="D464" s="4"/>
      <c r="E464" s="4" t="s">
        <v>174</v>
      </c>
      <c r="F464" s="4"/>
    </row>
    <row r="465" spans="1:6" x14ac:dyDescent="0.35">
      <c r="A465" s="4"/>
      <c r="B465" s="4"/>
      <c r="C465" s="4"/>
      <c r="D465" s="4"/>
      <c r="E465" s="4" t="s">
        <v>174</v>
      </c>
      <c r="F465" s="4"/>
    </row>
    <row r="466" spans="1:6" x14ac:dyDescent="0.35">
      <c r="A466" s="4"/>
      <c r="B466" s="4"/>
      <c r="C466" s="4"/>
      <c r="D466" s="4"/>
      <c r="E466" s="4" t="s">
        <v>174</v>
      </c>
      <c r="F466" s="4"/>
    </row>
    <row r="467" spans="1:6" x14ac:dyDescent="0.35">
      <c r="A467" s="4"/>
      <c r="B467" s="4"/>
      <c r="C467" s="4"/>
      <c r="D467" s="4"/>
      <c r="E467" s="4" t="s">
        <v>174</v>
      </c>
      <c r="F467" s="4"/>
    </row>
    <row r="468" spans="1:6" x14ac:dyDescent="0.35">
      <c r="A468" s="4"/>
      <c r="B468" s="4"/>
      <c r="C468" s="4"/>
      <c r="D468" s="4"/>
      <c r="E468" s="4" t="s">
        <v>174</v>
      </c>
      <c r="F468" s="4"/>
    </row>
    <row r="469" spans="1:6" x14ac:dyDescent="0.35">
      <c r="A469" s="4"/>
      <c r="B469" s="4"/>
      <c r="C469" s="4"/>
      <c r="D469" s="4"/>
      <c r="E469" s="4" t="s">
        <v>174</v>
      </c>
      <c r="F469" s="4"/>
    </row>
    <row r="470" spans="1:6" x14ac:dyDescent="0.35">
      <c r="A470" s="4"/>
      <c r="B470" s="4"/>
      <c r="C470" s="4"/>
      <c r="D470" s="4"/>
      <c r="E470" s="4" t="s">
        <v>174</v>
      </c>
      <c r="F470" s="4"/>
    </row>
    <row r="471" spans="1:6" x14ac:dyDescent="0.35">
      <c r="A471" s="4"/>
      <c r="B471" s="4"/>
      <c r="C471" s="4"/>
      <c r="D471" s="4"/>
      <c r="E471" s="4" t="s">
        <v>174</v>
      </c>
      <c r="F471" s="4"/>
    </row>
    <row r="472" spans="1:6" x14ac:dyDescent="0.35">
      <c r="A472" s="4"/>
      <c r="B472" s="4"/>
      <c r="C472" s="4"/>
      <c r="D472" s="4"/>
      <c r="E472" s="4" t="s">
        <v>174</v>
      </c>
      <c r="F472" s="4"/>
    </row>
    <row r="473" spans="1:6" x14ac:dyDescent="0.35">
      <c r="A473" s="4"/>
      <c r="B473" s="4"/>
      <c r="C473" s="4"/>
      <c r="D473" s="4"/>
      <c r="E473" s="4" t="s">
        <v>174</v>
      </c>
      <c r="F473" s="4"/>
    </row>
    <row r="474" spans="1:6" x14ac:dyDescent="0.35">
      <c r="A474" s="4"/>
      <c r="B474" s="4"/>
      <c r="C474" s="4"/>
      <c r="D474" s="4"/>
      <c r="E474" s="4" t="s">
        <v>174</v>
      </c>
      <c r="F474" s="4"/>
    </row>
    <row r="475" spans="1:6" x14ac:dyDescent="0.35">
      <c r="A475" s="4"/>
      <c r="B475" s="4"/>
      <c r="C475" s="4"/>
      <c r="D475" s="4"/>
      <c r="E475" s="4" t="s">
        <v>174</v>
      </c>
      <c r="F475" s="4"/>
    </row>
    <row r="476" spans="1:6" x14ac:dyDescent="0.35">
      <c r="A476" s="4"/>
      <c r="B476" s="4"/>
      <c r="C476" s="4"/>
      <c r="D476" s="4"/>
      <c r="E476" s="4" t="s">
        <v>174</v>
      </c>
      <c r="F476" s="4"/>
    </row>
    <row r="477" spans="1:6" x14ac:dyDescent="0.35">
      <c r="A477" s="4"/>
      <c r="B477" s="4"/>
      <c r="C477" s="4"/>
      <c r="D477" s="4"/>
      <c r="E477" s="4" t="s">
        <v>174</v>
      </c>
      <c r="F477" s="4"/>
    </row>
    <row r="478" spans="1:6" x14ac:dyDescent="0.35">
      <c r="A478" s="4"/>
      <c r="B478" s="4"/>
      <c r="C478" s="4"/>
      <c r="D478" s="4"/>
      <c r="E478" s="4" t="s">
        <v>174</v>
      </c>
      <c r="F478" s="4"/>
    </row>
    <row r="479" spans="1:6" x14ac:dyDescent="0.35">
      <c r="A479" s="4"/>
      <c r="B479" s="4"/>
      <c r="C479" s="4"/>
      <c r="D479" s="4"/>
      <c r="E479" s="4" t="s">
        <v>174</v>
      </c>
      <c r="F479" s="4"/>
    </row>
    <row r="480" spans="1:6" x14ac:dyDescent="0.35">
      <c r="A480" s="4"/>
      <c r="B480" s="4"/>
      <c r="C480" s="4"/>
      <c r="D480" s="4"/>
      <c r="E480" s="4" t="s">
        <v>174</v>
      </c>
      <c r="F480" s="4"/>
    </row>
    <row r="481" spans="1:6" x14ac:dyDescent="0.35">
      <c r="A481" s="4"/>
      <c r="B481" s="4"/>
      <c r="C481" s="4"/>
      <c r="D481" s="4"/>
      <c r="E481" s="4" t="s">
        <v>174</v>
      </c>
      <c r="F481" s="4"/>
    </row>
    <row r="482" spans="1:6" x14ac:dyDescent="0.35">
      <c r="A482" s="4"/>
      <c r="B482" s="4"/>
      <c r="C482" s="4"/>
      <c r="D482" s="4"/>
      <c r="E482" s="4" t="s">
        <v>49</v>
      </c>
      <c r="F482" s="4"/>
    </row>
    <row r="483" spans="1:6" x14ac:dyDescent="0.35">
      <c r="A483" s="4"/>
      <c r="B483" s="4"/>
      <c r="C483" s="4"/>
      <c r="D483" s="4"/>
      <c r="E483" s="4" t="s">
        <v>49</v>
      </c>
      <c r="F483" s="4"/>
    </row>
    <row r="484" spans="1:6" x14ac:dyDescent="0.35">
      <c r="A484" s="4"/>
      <c r="B484" s="4"/>
      <c r="C484" s="4"/>
      <c r="D484" s="4"/>
      <c r="E484" s="4" t="s">
        <v>49</v>
      </c>
      <c r="F484" s="4"/>
    </row>
    <row r="485" spans="1:6" x14ac:dyDescent="0.35">
      <c r="A485" s="4"/>
      <c r="B485" s="4"/>
      <c r="C485" s="4"/>
      <c r="D485" s="4"/>
      <c r="E485" s="4" t="s">
        <v>49</v>
      </c>
      <c r="F485" s="4"/>
    </row>
    <row r="486" spans="1:6" x14ac:dyDescent="0.35">
      <c r="A486" s="4"/>
      <c r="B486" s="4"/>
      <c r="C486" s="4"/>
      <c r="D486" s="4"/>
      <c r="E486" s="4" t="s">
        <v>49</v>
      </c>
      <c r="F486" s="4"/>
    </row>
    <row r="487" spans="1:6" x14ac:dyDescent="0.35">
      <c r="A487" s="4"/>
      <c r="B487" s="4"/>
      <c r="C487" s="4"/>
      <c r="D487" s="4"/>
      <c r="E487" s="4" t="s">
        <v>49</v>
      </c>
      <c r="F487" s="4"/>
    </row>
    <row r="488" spans="1:6" x14ac:dyDescent="0.35">
      <c r="A488" s="4"/>
      <c r="B488" s="4"/>
      <c r="C488" s="4"/>
      <c r="D488" s="4"/>
      <c r="E488" s="4" t="s">
        <v>49</v>
      </c>
      <c r="F488" s="4"/>
    </row>
    <row r="489" spans="1:6" x14ac:dyDescent="0.35">
      <c r="A489" s="4"/>
      <c r="B489" s="4"/>
      <c r="C489" s="4"/>
      <c r="D489" s="4"/>
      <c r="E489" s="4" t="s">
        <v>49</v>
      </c>
      <c r="F489" s="4"/>
    </row>
    <row r="490" spans="1:6" x14ac:dyDescent="0.35">
      <c r="A490" s="4"/>
      <c r="B490" s="4"/>
      <c r="C490" s="4"/>
      <c r="D490" s="4"/>
      <c r="E490" s="4" t="s">
        <v>49</v>
      </c>
      <c r="F490" s="4"/>
    </row>
    <row r="491" spans="1:6" x14ac:dyDescent="0.35">
      <c r="A491" s="4"/>
      <c r="B491" s="4"/>
      <c r="C491" s="4"/>
      <c r="D491" s="4"/>
      <c r="E491" s="4" t="s">
        <v>49</v>
      </c>
      <c r="F491" s="4"/>
    </row>
    <row r="492" spans="1:6" x14ac:dyDescent="0.35">
      <c r="A492" s="4"/>
      <c r="B492" s="4"/>
      <c r="C492" s="4"/>
      <c r="D492" s="4"/>
      <c r="E492" s="4" t="s">
        <v>49</v>
      </c>
      <c r="F492" s="4"/>
    </row>
    <row r="493" spans="1:6" x14ac:dyDescent="0.35">
      <c r="A493" s="4"/>
      <c r="B493" s="4"/>
      <c r="C493" s="4"/>
      <c r="D493" s="4"/>
      <c r="E493" s="4" t="s">
        <v>49</v>
      </c>
      <c r="F493" s="4"/>
    </row>
    <row r="494" spans="1:6" x14ac:dyDescent="0.35">
      <c r="A494" s="4"/>
      <c r="B494" s="4"/>
      <c r="C494" s="4"/>
      <c r="D494" s="4"/>
      <c r="E494" s="4" t="s">
        <v>49</v>
      </c>
      <c r="F494" s="4"/>
    </row>
    <row r="495" spans="1:6" x14ac:dyDescent="0.35">
      <c r="A495" s="4"/>
      <c r="B495" s="4"/>
      <c r="C495" s="4"/>
      <c r="D495" s="4"/>
      <c r="E495" s="4" t="s">
        <v>49</v>
      </c>
      <c r="F495" s="4"/>
    </row>
    <row r="496" spans="1:6" x14ac:dyDescent="0.35">
      <c r="A496" s="4"/>
      <c r="B496" s="4"/>
      <c r="C496" s="4"/>
      <c r="D496" s="4"/>
      <c r="E496" s="4" t="s">
        <v>49</v>
      </c>
      <c r="F496" s="4"/>
    </row>
    <row r="497" spans="1:6" x14ac:dyDescent="0.35">
      <c r="A497" s="4"/>
      <c r="B497" s="4"/>
      <c r="C497" s="4"/>
      <c r="D497" s="4"/>
      <c r="E497" s="4" t="s">
        <v>49</v>
      </c>
      <c r="F497" s="4"/>
    </row>
    <row r="498" spans="1:6" x14ac:dyDescent="0.35">
      <c r="A498" s="4"/>
      <c r="B498" s="4"/>
      <c r="C498" s="4"/>
      <c r="D498" s="4"/>
      <c r="E498" s="4" t="s">
        <v>49</v>
      </c>
      <c r="F498" s="4"/>
    </row>
    <row r="499" spans="1:6" x14ac:dyDescent="0.35">
      <c r="A499" s="4"/>
      <c r="B499" s="4"/>
      <c r="C499" s="4"/>
      <c r="D499" s="4"/>
      <c r="E499" s="4" t="s">
        <v>49</v>
      </c>
      <c r="F499" s="4"/>
    </row>
    <row r="500" spans="1:6" x14ac:dyDescent="0.35">
      <c r="A500" s="4"/>
      <c r="B500" s="4"/>
      <c r="C500" s="4"/>
      <c r="D500" s="4"/>
      <c r="E500" s="4" t="s">
        <v>49</v>
      </c>
      <c r="F500" s="4"/>
    </row>
    <row r="501" spans="1:6" x14ac:dyDescent="0.35">
      <c r="A501" s="4"/>
      <c r="B501" s="4"/>
      <c r="C501" s="4"/>
      <c r="D501" s="4"/>
      <c r="E501" s="4" t="s">
        <v>49</v>
      </c>
      <c r="F501" s="4"/>
    </row>
    <row r="502" spans="1:6" x14ac:dyDescent="0.35">
      <c r="A502" s="4"/>
      <c r="B502" s="4"/>
      <c r="C502" s="4"/>
      <c r="D502" s="4"/>
      <c r="E502" s="4" t="s">
        <v>49</v>
      </c>
      <c r="F502" s="4"/>
    </row>
    <row r="503" spans="1:6" x14ac:dyDescent="0.35">
      <c r="A503" s="4"/>
      <c r="B503" s="4"/>
      <c r="C503" s="4"/>
      <c r="D503" s="4"/>
      <c r="E503" s="4" t="s">
        <v>49</v>
      </c>
      <c r="F503" s="4"/>
    </row>
    <row r="504" spans="1:6" x14ac:dyDescent="0.35">
      <c r="A504" s="4"/>
      <c r="B504" s="4"/>
      <c r="C504" s="4"/>
      <c r="D504" s="4"/>
      <c r="E504" s="4" t="s">
        <v>49</v>
      </c>
      <c r="F504" s="4"/>
    </row>
    <row r="505" spans="1:6" x14ac:dyDescent="0.35">
      <c r="A505" s="4"/>
      <c r="B505" s="4"/>
      <c r="C505" s="4"/>
      <c r="D505" s="4"/>
      <c r="E505" s="4" t="s">
        <v>49</v>
      </c>
      <c r="F505" s="4"/>
    </row>
    <row r="506" spans="1:6" x14ac:dyDescent="0.35">
      <c r="A506" s="4"/>
      <c r="B506" s="4"/>
      <c r="C506" s="4"/>
      <c r="D506" s="4"/>
      <c r="E506" s="4" t="s">
        <v>49</v>
      </c>
      <c r="F506" s="4"/>
    </row>
    <row r="507" spans="1:6" x14ac:dyDescent="0.35">
      <c r="A507" s="4"/>
      <c r="B507" s="4"/>
      <c r="C507" s="4"/>
      <c r="D507" s="4"/>
      <c r="E507" s="4" t="s">
        <v>49</v>
      </c>
      <c r="F507" s="4"/>
    </row>
    <row r="508" spans="1:6" x14ac:dyDescent="0.35">
      <c r="A508" s="4"/>
      <c r="B508" s="4"/>
      <c r="C508" s="4"/>
      <c r="D508" s="4"/>
      <c r="E508" s="4" t="s">
        <v>49</v>
      </c>
      <c r="F508" s="4"/>
    </row>
    <row r="509" spans="1:6" x14ac:dyDescent="0.35">
      <c r="A509" s="4"/>
      <c r="B509" s="4"/>
      <c r="C509" s="4"/>
      <c r="D509" s="4"/>
      <c r="E509" s="4" t="s">
        <v>49</v>
      </c>
      <c r="F509" s="4"/>
    </row>
    <row r="510" spans="1:6" x14ac:dyDescent="0.35">
      <c r="A510" s="4"/>
      <c r="B510" s="4"/>
      <c r="C510" s="4"/>
      <c r="D510" s="4"/>
      <c r="E510" s="4" t="s">
        <v>49</v>
      </c>
      <c r="F510" s="4"/>
    </row>
    <row r="511" spans="1:6" x14ac:dyDescent="0.35">
      <c r="A511" s="4"/>
      <c r="B511" s="4"/>
      <c r="C511" s="4"/>
      <c r="D511" s="4"/>
      <c r="E511" s="4" t="s">
        <v>49</v>
      </c>
      <c r="F511" s="4"/>
    </row>
    <row r="512" spans="1:6" x14ac:dyDescent="0.35">
      <c r="A512" s="4"/>
      <c r="B512" s="4"/>
      <c r="C512" s="4"/>
      <c r="D512" s="4"/>
      <c r="E512" s="4" t="s">
        <v>49</v>
      </c>
      <c r="F512" s="4"/>
    </row>
    <row r="513" spans="1:6" x14ac:dyDescent="0.35">
      <c r="A513" s="4"/>
      <c r="B513" s="4"/>
      <c r="C513" s="4"/>
      <c r="D513" s="4"/>
      <c r="E513" s="4" t="s">
        <v>49</v>
      </c>
      <c r="F513" s="4"/>
    </row>
    <row r="514" spans="1:6" x14ac:dyDescent="0.35">
      <c r="A514" s="4"/>
      <c r="B514" s="4"/>
      <c r="C514" s="4"/>
      <c r="D514" s="4"/>
      <c r="E514" s="4" t="s">
        <v>49</v>
      </c>
      <c r="F514" s="4"/>
    </row>
    <row r="515" spans="1:6" x14ac:dyDescent="0.35">
      <c r="A515" s="4"/>
      <c r="B515" s="4"/>
      <c r="C515" s="4"/>
      <c r="D515" s="4"/>
      <c r="E515" s="4" t="s">
        <v>49</v>
      </c>
      <c r="F515" s="4"/>
    </row>
    <row r="516" spans="1:6" x14ac:dyDescent="0.35">
      <c r="A516" s="4"/>
      <c r="B516" s="4"/>
      <c r="C516" s="4"/>
      <c r="D516" s="4"/>
      <c r="E516" s="4" t="s">
        <v>49</v>
      </c>
      <c r="F516" s="4"/>
    </row>
    <row r="517" spans="1:6" x14ac:dyDescent="0.35">
      <c r="A517" s="4"/>
      <c r="B517" s="4"/>
      <c r="C517" s="4"/>
      <c r="D517" s="4"/>
      <c r="E517" s="4" t="s">
        <v>49</v>
      </c>
      <c r="F517" s="4"/>
    </row>
    <row r="518" spans="1:6" x14ac:dyDescent="0.35">
      <c r="A518" s="4"/>
      <c r="B518" s="4"/>
      <c r="C518" s="4"/>
      <c r="D518" s="4"/>
      <c r="E518" s="4" t="s">
        <v>49</v>
      </c>
      <c r="F518" s="4"/>
    </row>
    <row r="519" spans="1:6" x14ac:dyDescent="0.35">
      <c r="A519" s="4"/>
      <c r="B519" s="4"/>
      <c r="C519" s="4"/>
      <c r="D519" s="4"/>
      <c r="E519" s="4" t="s">
        <v>49</v>
      </c>
      <c r="F519" s="4"/>
    </row>
    <row r="520" spans="1:6" x14ac:dyDescent="0.35">
      <c r="A520" s="4"/>
      <c r="B520" s="4"/>
      <c r="C520" s="4"/>
      <c r="D520" s="4"/>
      <c r="E520" s="4" t="s">
        <v>49</v>
      </c>
      <c r="F520" s="4"/>
    </row>
    <row r="521" spans="1:6" x14ac:dyDescent="0.35">
      <c r="A521" s="4"/>
      <c r="B521" s="4"/>
      <c r="C521" s="4"/>
      <c r="D521" s="4"/>
      <c r="E521" s="4" t="s">
        <v>49</v>
      </c>
      <c r="F521" s="4"/>
    </row>
    <row r="522" spans="1:6" x14ac:dyDescent="0.35">
      <c r="A522" s="4"/>
      <c r="B522" s="4"/>
      <c r="C522" s="4"/>
      <c r="D522" s="4"/>
      <c r="E522" s="4" t="s">
        <v>49</v>
      </c>
      <c r="F522" s="4"/>
    </row>
    <row r="523" spans="1:6" x14ac:dyDescent="0.35">
      <c r="A523" s="4"/>
      <c r="B523" s="4"/>
      <c r="C523" s="4"/>
      <c r="D523" s="4"/>
      <c r="E523" s="4" t="s">
        <v>49</v>
      </c>
      <c r="F523" s="4"/>
    </row>
    <row r="524" spans="1:6" x14ac:dyDescent="0.35">
      <c r="A524" s="4"/>
      <c r="B524" s="4"/>
      <c r="C524" s="4"/>
      <c r="D524" s="4"/>
      <c r="E524" s="4" t="s">
        <v>49</v>
      </c>
      <c r="F524" s="4"/>
    </row>
    <row r="525" spans="1:6" x14ac:dyDescent="0.35">
      <c r="A525" s="4"/>
      <c r="B525" s="4"/>
      <c r="C525" s="4"/>
      <c r="D525" s="4"/>
      <c r="E525" s="4" t="s">
        <v>49</v>
      </c>
      <c r="F525" s="4"/>
    </row>
    <row r="526" spans="1:6" x14ac:dyDescent="0.35">
      <c r="A526" s="4"/>
      <c r="B526" s="4"/>
      <c r="C526" s="4"/>
      <c r="D526" s="4"/>
      <c r="E526" s="4" t="s">
        <v>49</v>
      </c>
      <c r="F526" s="4"/>
    </row>
    <row r="527" spans="1:6" x14ac:dyDescent="0.35">
      <c r="A527" s="4"/>
      <c r="B527" s="4"/>
      <c r="C527" s="4"/>
      <c r="D527" s="4"/>
      <c r="E527" s="4" t="s">
        <v>49</v>
      </c>
      <c r="F527" s="4"/>
    </row>
    <row r="528" spans="1:6" x14ac:dyDescent="0.35">
      <c r="A528" s="4"/>
      <c r="B528" s="4"/>
      <c r="C528" s="4"/>
      <c r="D528" s="4"/>
      <c r="E528" s="4" t="s">
        <v>49</v>
      </c>
      <c r="F528" s="4"/>
    </row>
    <row r="529" spans="1:6" x14ac:dyDescent="0.35">
      <c r="A529" s="4"/>
      <c r="B529" s="4"/>
      <c r="C529" s="4"/>
      <c r="D529" s="4"/>
      <c r="E529" s="4" t="s">
        <v>49</v>
      </c>
      <c r="F529" s="4"/>
    </row>
    <row r="530" spans="1:6" x14ac:dyDescent="0.35">
      <c r="A530" s="4"/>
      <c r="B530" s="4"/>
      <c r="C530" s="4"/>
      <c r="D530" s="4"/>
      <c r="E530" s="4" t="s">
        <v>49</v>
      </c>
      <c r="F530" s="4"/>
    </row>
    <row r="531" spans="1:6" x14ac:dyDescent="0.35">
      <c r="A531" s="4"/>
      <c r="B531" s="4"/>
      <c r="C531" s="4"/>
      <c r="D531" s="4"/>
      <c r="E531" s="4" t="s">
        <v>49</v>
      </c>
      <c r="F531" s="4"/>
    </row>
    <row r="532" spans="1:6" x14ac:dyDescent="0.35">
      <c r="A532" s="4"/>
      <c r="B532" s="4"/>
      <c r="C532" s="4"/>
      <c r="D532" s="4"/>
      <c r="E532" s="4" t="s">
        <v>49</v>
      </c>
      <c r="F532" s="4"/>
    </row>
    <row r="533" spans="1:6" x14ac:dyDescent="0.35">
      <c r="A533" s="4"/>
      <c r="B533" s="4"/>
      <c r="C533" s="4"/>
      <c r="D533" s="4"/>
      <c r="E533" s="4" t="s">
        <v>49</v>
      </c>
      <c r="F533" s="4"/>
    </row>
    <row r="534" spans="1:6" x14ac:dyDescent="0.35">
      <c r="A534" s="4"/>
      <c r="B534" s="4"/>
      <c r="C534" s="4"/>
      <c r="D534" s="4"/>
      <c r="E534" s="4" t="s">
        <v>49</v>
      </c>
      <c r="F534" s="4"/>
    </row>
    <row r="535" spans="1:6" x14ac:dyDescent="0.35">
      <c r="A535" s="4"/>
      <c r="B535" s="4"/>
      <c r="C535" s="4"/>
      <c r="D535" s="4"/>
      <c r="E535" s="4" t="s">
        <v>49</v>
      </c>
      <c r="F535" s="4"/>
    </row>
    <row r="536" spans="1:6" x14ac:dyDescent="0.35">
      <c r="A536" s="4"/>
      <c r="B536" s="4"/>
      <c r="C536" s="4"/>
      <c r="D536" s="4"/>
      <c r="E536" s="4" t="s">
        <v>49</v>
      </c>
      <c r="F536" s="4"/>
    </row>
    <row r="537" spans="1:6" x14ac:dyDescent="0.35">
      <c r="A537" s="4"/>
      <c r="B537" s="4"/>
      <c r="C537" s="4"/>
      <c r="D537" s="4"/>
      <c r="E537" s="4" t="s">
        <v>49</v>
      </c>
      <c r="F537" s="4"/>
    </row>
    <row r="538" spans="1:6" x14ac:dyDescent="0.35">
      <c r="A538" s="4"/>
      <c r="B538" s="4"/>
      <c r="C538" s="4"/>
      <c r="D538" s="4"/>
      <c r="E538" s="4" t="s">
        <v>49</v>
      </c>
      <c r="F538" s="4"/>
    </row>
    <row r="539" spans="1:6" x14ac:dyDescent="0.35">
      <c r="A539" s="4"/>
      <c r="B539" s="4"/>
      <c r="C539" s="4"/>
      <c r="D539" s="4"/>
      <c r="E539" s="4" t="s">
        <v>49</v>
      </c>
      <c r="F539" s="4"/>
    </row>
    <row r="540" spans="1:6" x14ac:dyDescent="0.35">
      <c r="A540" s="4"/>
      <c r="B540" s="4"/>
      <c r="C540" s="4"/>
      <c r="D540" s="4"/>
      <c r="E540" s="4" t="s">
        <v>49</v>
      </c>
      <c r="F540" s="4"/>
    </row>
    <row r="541" spans="1:6" x14ac:dyDescent="0.35">
      <c r="A541" s="4"/>
      <c r="B541" s="4"/>
      <c r="C541" s="4"/>
      <c r="D541" s="4"/>
      <c r="E541" s="4" t="s">
        <v>49</v>
      </c>
      <c r="F541" s="4"/>
    </row>
    <row r="542" spans="1:6" x14ac:dyDescent="0.35">
      <c r="A542" s="4"/>
      <c r="B542" s="4"/>
      <c r="C542" s="4"/>
      <c r="D542" s="4"/>
      <c r="E542" s="4" t="s">
        <v>49</v>
      </c>
      <c r="F542" s="4"/>
    </row>
    <row r="543" spans="1:6" x14ac:dyDescent="0.35">
      <c r="A543" s="4"/>
      <c r="B543" s="4"/>
      <c r="C543" s="4"/>
      <c r="D543" s="4"/>
      <c r="E543" s="4" t="s">
        <v>49</v>
      </c>
      <c r="F543" s="4"/>
    </row>
    <row r="544" spans="1:6" x14ac:dyDescent="0.35">
      <c r="A544" s="4"/>
      <c r="B544" s="4"/>
      <c r="C544" s="4"/>
      <c r="D544" s="4"/>
      <c r="E544" s="4" t="s">
        <v>49</v>
      </c>
      <c r="F544" s="4"/>
    </row>
    <row r="545" spans="1:6" x14ac:dyDescent="0.35">
      <c r="A545" s="4"/>
      <c r="B545" s="4"/>
      <c r="C545" s="4"/>
      <c r="D545" s="4"/>
      <c r="E545" s="4" t="s">
        <v>49</v>
      </c>
      <c r="F545" s="4"/>
    </row>
    <row r="546" spans="1:6" x14ac:dyDescent="0.35">
      <c r="A546" s="4"/>
      <c r="B546" s="4"/>
      <c r="C546" s="4"/>
      <c r="D546" s="4"/>
      <c r="E546" s="4" t="s">
        <v>49</v>
      </c>
      <c r="F546" s="4"/>
    </row>
    <row r="547" spans="1:6" x14ac:dyDescent="0.35">
      <c r="A547" s="4"/>
      <c r="B547" s="4"/>
      <c r="C547" s="4"/>
      <c r="D547" s="4"/>
      <c r="E547" s="4" t="s">
        <v>49</v>
      </c>
      <c r="F547" s="4"/>
    </row>
    <row r="548" spans="1:6" x14ac:dyDescent="0.35">
      <c r="A548" s="4"/>
      <c r="B548" s="4"/>
      <c r="C548" s="4"/>
      <c r="D548" s="4"/>
      <c r="E548" s="4" t="s">
        <v>49</v>
      </c>
      <c r="F548" s="4"/>
    </row>
    <row r="549" spans="1:6" x14ac:dyDescent="0.35">
      <c r="A549" s="4"/>
      <c r="B549" s="4"/>
      <c r="C549" s="4"/>
      <c r="D549" s="4"/>
      <c r="E549" s="4" t="s">
        <v>49</v>
      </c>
      <c r="F549" s="4"/>
    </row>
    <row r="550" spans="1:6" x14ac:dyDescent="0.35">
      <c r="A550" s="4"/>
      <c r="B550" s="4"/>
      <c r="C550" s="4"/>
      <c r="D550" s="4"/>
      <c r="E550" s="4" t="s">
        <v>49</v>
      </c>
      <c r="F550" s="4"/>
    </row>
    <row r="551" spans="1:6" x14ac:dyDescent="0.35">
      <c r="A551" s="4"/>
      <c r="B551" s="4"/>
      <c r="C551" s="4"/>
      <c r="D551" s="4"/>
      <c r="E551" s="4" t="s">
        <v>49</v>
      </c>
      <c r="F551" s="4"/>
    </row>
    <row r="552" spans="1:6" x14ac:dyDescent="0.35">
      <c r="A552" s="4"/>
      <c r="B552" s="4"/>
      <c r="C552" s="4"/>
      <c r="D552" s="4"/>
      <c r="E552" s="4" t="s">
        <v>49</v>
      </c>
      <c r="F552" s="4"/>
    </row>
    <row r="553" spans="1:6" x14ac:dyDescent="0.35">
      <c r="A553" s="4"/>
      <c r="B553" s="4"/>
      <c r="C553" s="4"/>
      <c r="D553" s="4"/>
      <c r="E553" s="4" t="s">
        <v>49</v>
      </c>
      <c r="F553" s="4"/>
    </row>
    <row r="554" spans="1:6" x14ac:dyDescent="0.35">
      <c r="A554" s="4"/>
      <c r="B554" s="4"/>
      <c r="C554" s="4"/>
      <c r="D554" s="4"/>
      <c r="E554" s="4" t="s">
        <v>49</v>
      </c>
      <c r="F554" s="4"/>
    </row>
    <row r="555" spans="1:6" x14ac:dyDescent="0.35">
      <c r="A555" s="4"/>
      <c r="B555" s="4"/>
      <c r="C555" s="4"/>
      <c r="D555" s="4"/>
      <c r="E555" s="4" t="s">
        <v>49</v>
      </c>
      <c r="F555" s="4"/>
    </row>
    <row r="556" spans="1:6" x14ac:dyDescent="0.35">
      <c r="A556" s="4"/>
      <c r="B556" s="4"/>
      <c r="C556" s="4"/>
      <c r="D556" s="4"/>
      <c r="E556" s="4" t="s">
        <v>49</v>
      </c>
      <c r="F556" s="4"/>
    </row>
    <row r="557" spans="1:6" x14ac:dyDescent="0.35">
      <c r="A557" s="4"/>
      <c r="B557" s="4"/>
      <c r="C557" s="4"/>
      <c r="D557" s="4"/>
      <c r="E557" s="4" t="s">
        <v>49</v>
      </c>
      <c r="F557" s="4"/>
    </row>
    <row r="558" spans="1:6" x14ac:dyDescent="0.35">
      <c r="A558" s="4"/>
      <c r="B558" s="4"/>
      <c r="C558" s="4"/>
      <c r="D558" s="4"/>
      <c r="E558" s="4" t="s">
        <v>49</v>
      </c>
      <c r="F558" s="4"/>
    </row>
    <row r="559" spans="1:6" x14ac:dyDescent="0.35">
      <c r="A559" s="4"/>
      <c r="B559" s="4"/>
      <c r="C559" s="4"/>
      <c r="D559" s="4"/>
      <c r="E559" s="4" t="s">
        <v>49</v>
      </c>
      <c r="F559" s="4"/>
    </row>
    <row r="560" spans="1:6" x14ac:dyDescent="0.35">
      <c r="A560" s="4"/>
      <c r="B560" s="4"/>
      <c r="C560" s="4"/>
      <c r="D560" s="4"/>
      <c r="E560" s="4" t="s">
        <v>49</v>
      </c>
      <c r="F560" s="4"/>
    </row>
    <row r="561" spans="1:6" x14ac:dyDescent="0.35">
      <c r="A561" s="4"/>
      <c r="B561" s="4"/>
      <c r="C561" s="4"/>
      <c r="D561" s="4"/>
      <c r="E561" s="4" t="s">
        <v>49</v>
      </c>
      <c r="F561" s="4"/>
    </row>
    <row r="562" spans="1:6" x14ac:dyDescent="0.35">
      <c r="A562" s="4"/>
      <c r="B562" s="4"/>
      <c r="C562" s="4"/>
      <c r="D562" s="4"/>
      <c r="E562" s="4" t="s">
        <v>49</v>
      </c>
      <c r="F562" s="4"/>
    </row>
    <row r="563" spans="1:6" x14ac:dyDescent="0.35">
      <c r="A563" s="4"/>
      <c r="B563" s="4"/>
      <c r="C563" s="4"/>
      <c r="D563" s="4"/>
      <c r="E563" s="4" t="s">
        <v>49</v>
      </c>
      <c r="F563" s="4"/>
    </row>
    <row r="564" spans="1:6" x14ac:dyDescent="0.35">
      <c r="A564" s="4"/>
      <c r="B564" s="4"/>
      <c r="C564" s="4"/>
      <c r="D564" s="4"/>
      <c r="E564" s="4" t="s">
        <v>49</v>
      </c>
      <c r="F564" s="4"/>
    </row>
    <row r="565" spans="1:6" x14ac:dyDescent="0.35">
      <c r="A565" s="4"/>
      <c r="B565" s="4"/>
      <c r="C565" s="4"/>
      <c r="D565" s="4"/>
      <c r="E565" s="4" t="s">
        <v>49</v>
      </c>
      <c r="F565" s="4"/>
    </row>
    <row r="566" spans="1:6" x14ac:dyDescent="0.35">
      <c r="A566" s="4"/>
      <c r="B566" s="4"/>
      <c r="C566" s="4"/>
      <c r="D566" s="4"/>
      <c r="E566" s="4" t="s">
        <v>49</v>
      </c>
      <c r="F566" s="4"/>
    </row>
    <row r="567" spans="1:6" x14ac:dyDescent="0.35">
      <c r="A567" s="4"/>
      <c r="B567" s="4"/>
      <c r="C567" s="4"/>
      <c r="D567" s="4"/>
      <c r="E567" s="4" t="s">
        <v>49</v>
      </c>
      <c r="F567" s="4"/>
    </row>
    <row r="568" spans="1:6" x14ac:dyDescent="0.35">
      <c r="A568" s="4"/>
      <c r="B568" s="4"/>
      <c r="C568" s="4"/>
      <c r="D568" s="4"/>
      <c r="E568" s="4" t="s">
        <v>49</v>
      </c>
      <c r="F568" s="4"/>
    </row>
    <row r="569" spans="1:6" x14ac:dyDescent="0.35">
      <c r="A569" s="4"/>
      <c r="B569" s="4"/>
      <c r="C569" s="4"/>
      <c r="D569" s="4"/>
      <c r="E569" s="4" t="s">
        <v>49</v>
      </c>
      <c r="F569" s="4"/>
    </row>
    <row r="570" spans="1:6" x14ac:dyDescent="0.35">
      <c r="A570" s="4"/>
      <c r="B570" s="4"/>
      <c r="C570" s="4"/>
      <c r="D570" s="4"/>
      <c r="E570" s="4" t="s">
        <v>49</v>
      </c>
      <c r="F570" s="4"/>
    </row>
    <row r="571" spans="1:6" x14ac:dyDescent="0.35">
      <c r="A571" s="4"/>
      <c r="B571" s="4"/>
      <c r="C571" s="4"/>
      <c r="D571" s="4"/>
      <c r="E571" s="4" t="s">
        <v>49</v>
      </c>
      <c r="F571" s="4"/>
    </row>
    <row r="572" spans="1:6" x14ac:dyDescent="0.35">
      <c r="A572" s="4"/>
      <c r="B572" s="4"/>
      <c r="C572" s="4"/>
      <c r="D572" s="4"/>
      <c r="E572" s="4" t="s">
        <v>49</v>
      </c>
      <c r="F572" s="4"/>
    </row>
    <row r="573" spans="1:6" x14ac:dyDescent="0.35">
      <c r="A573" s="4"/>
      <c r="B573" s="4"/>
      <c r="C573" s="4"/>
      <c r="D573" s="4"/>
      <c r="E573" s="4" t="s">
        <v>49</v>
      </c>
      <c r="F573" s="4"/>
    </row>
    <row r="574" spans="1:6" x14ac:dyDescent="0.35">
      <c r="A574" s="4"/>
      <c r="B574" s="4"/>
      <c r="C574" s="4"/>
      <c r="D574" s="4"/>
      <c r="E574" s="4" t="s">
        <v>49</v>
      </c>
      <c r="F574" s="4"/>
    </row>
    <row r="575" spans="1:6" x14ac:dyDescent="0.35">
      <c r="A575" s="4"/>
      <c r="B575" s="4"/>
      <c r="C575" s="4"/>
      <c r="D575" s="4"/>
      <c r="E575" s="4" t="s">
        <v>49</v>
      </c>
      <c r="F575" s="4"/>
    </row>
    <row r="576" spans="1:6" x14ac:dyDescent="0.35">
      <c r="A576" s="4"/>
      <c r="B576" s="4"/>
      <c r="C576" s="4"/>
      <c r="D576" s="4"/>
      <c r="E576" s="4" t="s">
        <v>49</v>
      </c>
      <c r="F576" s="4"/>
    </row>
    <row r="577" spans="1:6" x14ac:dyDescent="0.35">
      <c r="A577" s="4"/>
      <c r="B577" s="4"/>
      <c r="C577" s="4"/>
      <c r="D577" s="4"/>
      <c r="E577" s="4" t="s">
        <v>49</v>
      </c>
      <c r="F577" s="4"/>
    </row>
    <row r="578" spans="1:6" x14ac:dyDescent="0.35">
      <c r="A578" s="4"/>
      <c r="B578" s="4"/>
      <c r="C578" s="4"/>
      <c r="D578" s="4"/>
      <c r="E578" s="4" t="s">
        <v>49</v>
      </c>
      <c r="F578" s="4"/>
    </row>
    <row r="579" spans="1:6" x14ac:dyDescent="0.35">
      <c r="A579" s="4"/>
      <c r="B579" s="4"/>
      <c r="C579" s="4"/>
      <c r="D579" s="4"/>
      <c r="E579" s="4" t="s">
        <v>49</v>
      </c>
      <c r="F579" s="4"/>
    </row>
    <row r="580" spans="1:6" x14ac:dyDescent="0.35">
      <c r="A580" s="4"/>
      <c r="B580" s="4"/>
      <c r="C580" s="4"/>
      <c r="D580" s="4"/>
      <c r="E580" s="4" t="s">
        <v>49</v>
      </c>
      <c r="F580" s="4"/>
    </row>
    <row r="581" spans="1:6" x14ac:dyDescent="0.35">
      <c r="A581" s="4"/>
      <c r="B581" s="4"/>
      <c r="C581" s="4"/>
      <c r="D581" s="4"/>
      <c r="E581" s="4" t="s">
        <v>49</v>
      </c>
      <c r="F581" s="4"/>
    </row>
    <row r="582" spans="1:6" x14ac:dyDescent="0.35">
      <c r="A582" s="4"/>
      <c r="B582" s="4"/>
      <c r="C582" s="4"/>
      <c r="D582" s="4"/>
      <c r="E582" s="4" t="s">
        <v>49</v>
      </c>
      <c r="F582" s="4"/>
    </row>
    <row r="583" spans="1:6" x14ac:dyDescent="0.35">
      <c r="A583" s="4"/>
      <c r="B583" s="4"/>
      <c r="C583" s="4"/>
      <c r="D583" s="4"/>
      <c r="E583" s="4" t="s">
        <v>49</v>
      </c>
      <c r="F583" s="4"/>
    </row>
    <row r="584" spans="1:6" x14ac:dyDescent="0.35">
      <c r="A584" s="4"/>
      <c r="B584" s="4"/>
      <c r="C584" s="4"/>
      <c r="D584" s="4"/>
      <c r="E584" s="4" t="s">
        <v>49</v>
      </c>
      <c r="F584" s="4"/>
    </row>
    <row r="585" spans="1:6" x14ac:dyDescent="0.35">
      <c r="A585" s="4"/>
      <c r="B585" s="4"/>
      <c r="C585" s="4"/>
      <c r="D585" s="4"/>
      <c r="E585" s="4" t="s">
        <v>49</v>
      </c>
      <c r="F585" s="4"/>
    </row>
    <row r="586" spans="1:6" x14ac:dyDescent="0.35">
      <c r="A586" s="4"/>
      <c r="B586" s="4"/>
      <c r="C586" s="4"/>
      <c r="D586" s="4"/>
      <c r="E586" s="4" t="s">
        <v>49</v>
      </c>
      <c r="F586" s="4"/>
    </row>
    <row r="587" spans="1:6" x14ac:dyDescent="0.35">
      <c r="A587" s="4"/>
      <c r="B587" s="4"/>
      <c r="C587" s="4"/>
      <c r="D587" s="4"/>
      <c r="E587" s="4" t="s">
        <v>49</v>
      </c>
      <c r="F587" s="4"/>
    </row>
    <row r="588" spans="1:6" x14ac:dyDescent="0.35">
      <c r="A588" s="4"/>
      <c r="B588" s="4"/>
      <c r="C588" s="4"/>
      <c r="D588" s="4"/>
      <c r="E588" s="4" t="s">
        <v>49</v>
      </c>
      <c r="F588" s="4"/>
    </row>
    <row r="589" spans="1:6" x14ac:dyDescent="0.35">
      <c r="A589" s="4"/>
      <c r="B589" s="4"/>
      <c r="C589" s="4"/>
      <c r="D589" s="4"/>
      <c r="E589" s="4" t="s">
        <v>49</v>
      </c>
      <c r="F589" s="4"/>
    </row>
    <row r="590" spans="1:6" x14ac:dyDescent="0.35">
      <c r="A590" s="4"/>
      <c r="B590" s="4"/>
      <c r="C590" s="4"/>
      <c r="D590" s="4"/>
      <c r="E590" s="4" t="s">
        <v>49</v>
      </c>
      <c r="F590" s="4"/>
    </row>
    <row r="591" spans="1:6" x14ac:dyDescent="0.35">
      <c r="A591" s="4"/>
      <c r="B591" s="4"/>
      <c r="C591" s="4"/>
      <c r="D591" s="4"/>
      <c r="E591" s="4" t="s">
        <v>49</v>
      </c>
      <c r="F591" s="4"/>
    </row>
    <row r="592" spans="1:6" x14ac:dyDescent="0.35">
      <c r="A592" s="4"/>
      <c r="B592" s="4"/>
      <c r="C592" s="4"/>
      <c r="D592" s="4"/>
      <c r="E592" s="4" t="s">
        <v>49</v>
      </c>
      <c r="F592" s="4"/>
    </row>
    <row r="593" spans="1:6" x14ac:dyDescent="0.35">
      <c r="A593" s="4"/>
      <c r="B593" s="4"/>
      <c r="C593" s="4"/>
      <c r="D593" s="4"/>
      <c r="E593" s="4" t="s">
        <v>49</v>
      </c>
      <c r="F593" s="4"/>
    </row>
    <row r="594" spans="1:6" x14ac:dyDescent="0.35">
      <c r="A594" s="4"/>
      <c r="B594" s="4"/>
      <c r="C594" s="4"/>
      <c r="D594" s="4"/>
      <c r="E594" s="4" t="s">
        <v>49</v>
      </c>
      <c r="F594" s="4"/>
    </row>
    <row r="595" spans="1:6" x14ac:dyDescent="0.35">
      <c r="A595" s="4"/>
      <c r="B595" s="4"/>
      <c r="C595" s="4"/>
      <c r="D595" s="4"/>
      <c r="E595" s="4" t="s">
        <v>49</v>
      </c>
      <c r="F595" s="4"/>
    </row>
    <row r="596" spans="1:6" x14ac:dyDescent="0.35">
      <c r="A596" s="4"/>
      <c r="B596" s="4"/>
      <c r="C596" s="4"/>
      <c r="D596" s="4"/>
      <c r="E596" s="4" t="s">
        <v>49</v>
      </c>
      <c r="F596" s="4"/>
    </row>
    <row r="597" spans="1:6" x14ac:dyDescent="0.35">
      <c r="A597" s="4"/>
      <c r="B597" s="4"/>
      <c r="C597" s="4"/>
      <c r="D597" s="4"/>
      <c r="E597" s="4" t="s">
        <v>49</v>
      </c>
      <c r="F597" s="4"/>
    </row>
    <row r="598" spans="1:6" x14ac:dyDescent="0.35">
      <c r="A598" s="4"/>
      <c r="B598" s="4"/>
      <c r="C598" s="4"/>
      <c r="D598" s="4"/>
      <c r="E598" s="4" t="s">
        <v>49</v>
      </c>
      <c r="F598" s="4"/>
    </row>
    <row r="599" spans="1:6" x14ac:dyDescent="0.35">
      <c r="A599" s="4"/>
      <c r="B599" s="4"/>
      <c r="C599" s="4"/>
      <c r="D599" s="4"/>
      <c r="E599" s="4" t="s">
        <v>49</v>
      </c>
      <c r="F599" s="4"/>
    </row>
    <row r="600" spans="1:6" x14ac:dyDescent="0.35">
      <c r="A600" s="4"/>
      <c r="B600" s="4"/>
      <c r="C600" s="4"/>
      <c r="D600" s="4"/>
      <c r="E600" s="4" t="s">
        <v>49</v>
      </c>
      <c r="F600" s="4"/>
    </row>
    <row r="601" spans="1:6" x14ac:dyDescent="0.35">
      <c r="A601" s="4"/>
      <c r="B601" s="4"/>
      <c r="C601" s="4"/>
      <c r="D601" s="4"/>
      <c r="E601" t="s">
        <v>49</v>
      </c>
    </row>
    <row r="602" spans="1:6" x14ac:dyDescent="0.35">
      <c r="A602" s="4"/>
      <c r="B602" s="4"/>
      <c r="C602" s="4"/>
      <c r="D602" s="4"/>
      <c r="E602" t="s">
        <v>49</v>
      </c>
    </row>
    <row r="603" spans="1:6" x14ac:dyDescent="0.35">
      <c r="A603" s="4"/>
      <c r="B603" s="4"/>
      <c r="C603" s="4"/>
      <c r="D603" s="4"/>
      <c r="E603" t="s">
        <v>49</v>
      </c>
    </row>
    <row r="604" spans="1:6" x14ac:dyDescent="0.35">
      <c r="A604" s="4"/>
      <c r="B604" s="4"/>
      <c r="C604" s="4"/>
      <c r="D604" s="4"/>
      <c r="E604" t="s">
        <v>49</v>
      </c>
    </row>
    <row r="605" spans="1:6" x14ac:dyDescent="0.35">
      <c r="A605" s="4"/>
      <c r="B605" s="4"/>
      <c r="C605" s="4"/>
      <c r="D605" s="4"/>
      <c r="E605" t="s">
        <v>49</v>
      </c>
    </row>
    <row r="606" spans="1:6" x14ac:dyDescent="0.35">
      <c r="A606" s="4"/>
      <c r="B606" s="4"/>
      <c r="C606" s="4"/>
      <c r="D606" s="4"/>
      <c r="E606" t="s">
        <v>49</v>
      </c>
    </row>
    <row r="607" spans="1:6" x14ac:dyDescent="0.35">
      <c r="A607" s="4"/>
      <c r="B607" s="4"/>
      <c r="C607" s="4"/>
      <c r="D607" s="4"/>
      <c r="E607" t="s">
        <v>49</v>
      </c>
    </row>
    <row r="608" spans="1:6" x14ac:dyDescent="0.35">
      <c r="A608" s="4"/>
      <c r="B608" s="4"/>
      <c r="C608" s="4"/>
      <c r="D608" s="4"/>
      <c r="E608" t="s">
        <v>49</v>
      </c>
    </row>
    <row r="609" spans="1:5" x14ac:dyDescent="0.35">
      <c r="A609" s="4"/>
      <c r="B609" s="4"/>
      <c r="C609" s="4"/>
      <c r="D609" s="4"/>
      <c r="E609" t="s">
        <v>49</v>
      </c>
    </row>
    <row r="610" spans="1:5" x14ac:dyDescent="0.35">
      <c r="A610" s="4"/>
      <c r="B610" s="4"/>
      <c r="C610" s="4"/>
      <c r="D610" s="4"/>
      <c r="E610" t="s">
        <v>49</v>
      </c>
    </row>
    <row r="611" spans="1:5" x14ac:dyDescent="0.35">
      <c r="A611" s="4"/>
      <c r="B611" s="4"/>
      <c r="C611" s="4"/>
      <c r="D611" s="4"/>
      <c r="E611" t="s">
        <v>49</v>
      </c>
    </row>
    <row r="612" spans="1:5" x14ac:dyDescent="0.35">
      <c r="A612" s="4"/>
      <c r="B612" s="4"/>
      <c r="C612" s="4"/>
      <c r="D612" s="4"/>
      <c r="E612" t="s">
        <v>49</v>
      </c>
    </row>
    <row r="613" spans="1:5" x14ac:dyDescent="0.35">
      <c r="A613" s="4"/>
      <c r="B613" s="4"/>
      <c r="C613" s="4"/>
      <c r="D613" s="4"/>
      <c r="E613" t="s">
        <v>49</v>
      </c>
    </row>
    <row r="614" spans="1:5" x14ac:dyDescent="0.35">
      <c r="A614" s="4"/>
      <c r="B614" s="4"/>
      <c r="C614" s="4"/>
      <c r="D614" s="4"/>
      <c r="E614" t="s">
        <v>49</v>
      </c>
    </row>
    <row r="615" spans="1:5" x14ac:dyDescent="0.35">
      <c r="A615" s="4"/>
      <c r="B615" s="4"/>
      <c r="C615" s="4"/>
      <c r="D615" s="4"/>
      <c r="E615" t="s">
        <v>49</v>
      </c>
    </row>
    <row r="616" spans="1:5" x14ac:dyDescent="0.35">
      <c r="A616" s="4"/>
      <c r="B616" s="4"/>
      <c r="C616" s="4"/>
      <c r="D616" s="4"/>
      <c r="E616" t="s">
        <v>49</v>
      </c>
    </row>
    <row r="617" spans="1:5" x14ac:dyDescent="0.35">
      <c r="A617" s="4"/>
      <c r="B617" s="4"/>
      <c r="C617" s="4"/>
      <c r="D617" s="4"/>
      <c r="E617" t="s">
        <v>49</v>
      </c>
    </row>
    <row r="618" spans="1:5" x14ac:dyDescent="0.35">
      <c r="A618" s="4"/>
      <c r="B618" s="4"/>
      <c r="C618" s="4"/>
      <c r="D618" s="4"/>
      <c r="E618" t="s">
        <v>49</v>
      </c>
    </row>
    <row r="619" spans="1:5" x14ac:dyDescent="0.35">
      <c r="A619" s="4"/>
      <c r="B619" s="4"/>
      <c r="C619" s="4"/>
      <c r="D619" s="4"/>
      <c r="E619" t="s">
        <v>49</v>
      </c>
    </row>
    <row r="620" spans="1:5" x14ac:dyDescent="0.35">
      <c r="A620" s="4"/>
      <c r="B620" s="4"/>
      <c r="C620" s="4"/>
      <c r="D620" s="4"/>
      <c r="E620" t="s">
        <v>49</v>
      </c>
    </row>
    <row r="621" spans="1:5" x14ac:dyDescent="0.35">
      <c r="A621" s="4"/>
      <c r="B621" s="4"/>
      <c r="C621" s="4"/>
      <c r="D621" s="4"/>
      <c r="E621" t="s">
        <v>49</v>
      </c>
    </row>
    <row r="622" spans="1:5" x14ac:dyDescent="0.35">
      <c r="A622" s="4"/>
      <c r="B622" s="4"/>
      <c r="C622" s="4"/>
      <c r="D622" s="4"/>
      <c r="E622" t="s">
        <v>49</v>
      </c>
    </row>
    <row r="623" spans="1:5" x14ac:dyDescent="0.35">
      <c r="A623" s="4"/>
      <c r="B623" s="4"/>
      <c r="C623" s="4"/>
      <c r="D623" s="4"/>
      <c r="E623" t="s">
        <v>49</v>
      </c>
    </row>
    <row r="624" spans="1:5" x14ac:dyDescent="0.35">
      <c r="A624" s="4"/>
      <c r="B624" s="4"/>
      <c r="C624" s="4"/>
      <c r="D624" s="4"/>
      <c r="E624" t="s">
        <v>49</v>
      </c>
    </row>
    <row r="625" spans="1:5" x14ac:dyDescent="0.35">
      <c r="A625" s="4"/>
      <c r="B625" s="4"/>
      <c r="C625" s="4"/>
      <c r="D625" s="4"/>
      <c r="E625" t="s">
        <v>49</v>
      </c>
    </row>
    <row r="626" spans="1:5" x14ac:dyDescent="0.35">
      <c r="A626" s="4"/>
      <c r="B626" s="4"/>
      <c r="C626" s="4"/>
      <c r="D626" s="4"/>
      <c r="E626" t="s">
        <v>49</v>
      </c>
    </row>
    <row r="627" spans="1:5" x14ac:dyDescent="0.35">
      <c r="A627" s="4"/>
      <c r="B627" s="4"/>
      <c r="C627" s="4"/>
      <c r="D627" s="4"/>
      <c r="E627" t="s">
        <v>49</v>
      </c>
    </row>
    <row r="628" spans="1:5" x14ac:dyDescent="0.35">
      <c r="A628" s="4"/>
      <c r="B628" s="4"/>
      <c r="C628" s="4"/>
      <c r="D628" s="4"/>
      <c r="E628" t="s">
        <v>49</v>
      </c>
    </row>
    <row r="629" spans="1:5" x14ac:dyDescent="0.35">
      <c r="A629" s="4"/>
      <c r="B629" s="4"/>
      <c r="C629" s="4"/>
      <c r="D629" s="4"/>
      <c r="E629" t="s">
        <v>49</v>
      </c>
    </row>
    <row r="630" spans="1:5" x14ac:dyDescent="0.35">
      <c r="A630" s="4"/>
      <c r="B630" s="4"/>
      <c r="C630" s="4"/>
      <c r="D630" s="4"/>
      <c r="E630" t="s">
        <v>49</v>
      </c>
    </row>
    <row r="631" spans="1:5" x14ac:dyDescent="0.35">
      <c r="A631" s="4"/>
      <c r="B631" s="4"/>
      <c r="C631" s="4"/>
      <c r="D631" s="4"/>
      <c r="E631" t="s">
        <v>49</v>
      </c>
    </row>
    <row r="632" spans="1:5" x14ac:dyDescent="0.35">
      <c r="A632" s="4"/>
      <c r="B632" s="4"/>
      <c r="C632" s="4"/>
      <c r="D632" s="4"/>
      <c r="E632" t="s">
        <v>49</v>
      </c>
    </row>
    <row r="633" spans="1:5" x14ac:dyDescent="0.35">
      <c r="A633" s="4"/>
      <c r="B633" s="4"/>
      <c r="C633" s="4"/>
      <c r="D633" s="4"/>
      <c r="E633" t="s">
        <v>49</v>
      </c>
    </row>
    <row r="634" spans="1:5" x14ac:dyDescent="0.35">
      <c r="A634" s="4"/>
      <c r="B634" s="4"/>
      <c r="C634" s="4"/>
      <c r="D634" s="4"/>
      <c r="E634" t="s">
        <v>49</v>
      </c>
    </row>
    <row r="635" spans="1:5" x14ac:dyDescent="0.35">
      <c r="A635" s="4"/>
      <c r="B635" s="4"/>
      <c r="C635" s="4"/>
      <c r="D635" s="4"/>
      <c r="E635" t="s">
        <v>49</v>
      </c>
    </row>
    <row r="636" spans="1:5" x14ac:dyDescent="0.35">
      <c r="A636" s="4"/>
      <c r="B636" s="4"/>
      <c r="C636" s="4"/>
      <c r="D636" s="4"/>
      <c r="E636" t="s">
        <v>49</v>
      </c>
    </row>
    <row r="637" spans="1:5" x14ac:dyDescent="0.35">
      <c r="A637" s="4"/>
      <c r="B637" s="4"/>
      <c r="C637" s="4"/>
      <c r="D637" s="4"/>
      <c r="E637" t="s">
        <v>49</v>
      </c>
    </row>
    <row r="638" spans="1:5" x14ac:dyDescent="0.35">
      <c r="A638" s="4"/>
      <c r="B638" s="4"/>
      <c r="C638" s="4"/>
      <c r="D638" s="4"/>
      <c r="E638" t="s">
        <v>49</v>
      </c>
    </row>
    <row r="639" spans="1:5" x14ac:dyDescent="0.35">
      <c r="A639" s="4"/>
      <c r="B639" s="4"/>
      <c r="C639" s="4"/>
      <c r="D639" s="4"/>
      <c r="E639" t="s">
        <v>49</v>
      </c>
    </row>
    <row r="640" spans="1:5" x14ac:dyDescent="0.35">
      <c r="A640" s="4"/>
      <c r="B640" s="4"/>
      <c r="C640" s="4"/>
      <c r="D640" s="4"/>
      <c r="E640" t="s">
        <v>49</v>
      </c>
    </row>
    <row r="641" spans="1:5" x14ac:dyDescent="0.35">
      <c r="A641" s="4"/>
      <c r="B641" s="4"/>
      <c r="C641" s="4"/>
      <c r="D641" s="4"/>
      <c r="E641" t="s">
        <v>49</v>
      </c>
    </row>
    <row r="642" spans="1:5" x14ac:dyDescent="0.35">
      <c r="A642" s="4"/>
      <c r="B642" s="4"/>
      <c r="C642" s="4"/>
      <c r="D642" s="4"/>
      <c r="E642" t="s">
        <v>49</v>
      </c>
    </row>
    <row r="643" spans="1:5" x14ac:dyDescent="0.35">
      <c r="A643" s="4"/>
      <c r="B643" s="4"/>
      <c r="C643" s="4"/>
      <c r="D643" s="4"/>
      <c r="E643" t="s">
        <v>49</v>
      </c>
    </row>
    <row r="644" spans="1:5" x14ac:dyDescent="0.35">
      <c r="B644" s="4"/>
      <c r="C644" s="4"/>
      <c r="D644" s="4"/>
      <c r="E644" t="s">
        <v>49</v>
      </c>
    </row>
    <row r="645" spans="1:5" x14ac:dyDescent="0.35">
      <c r="B645" s="4"/>
      <c r="C645" s="4"/>
      <c r="D645" s="4"/>
      <c r="E645" t="s">
        <v>49</v>
      </c>
    </row>
    <row r="646" spans="1:5" x14ac:dyDescent="0.35">
      <c r="B646" s="4"/>
      <c r="C646" s="4"/>
      <c r="D646" s="4"/>
      <c r="E646" t="s">
        <v>49</v>
      </c>
    </row>
    <row r="647" spans="1:5" x14ac:dyDescent="0.35">
      <c r="B647" s="4"/>
      <c r="C647" s="4"/>
      <c r="D647" s="4"/>
      <c r="E647" t="s">
        <v>49</v>
      </c>
    </row>
    <row r="648" spans="1:5" x14ac:dyDescent="0.35">
      <c r="B648" s="4"/>
      <c r="C648" s="4"/>
      <c r="D648" s="4"/>
      <c r="E648" t="s">
        <v>49</v>
      </c>
    </row>
    <row r="649" spans="1:5" x14ac:dyDescent="0.35">
      <c r="B649" s="4"/>
      <c r="C649" s="4"/>
      <c r="D649" s="4"/>
      <c r="E649" t="s">
        <v>49</v>
      </c>
    </row>
    <row r="650" spans="1:5" x14ac:dyDescent="0.35">
      <c r="B650" s="4"/>
      <c r="C650" s="4"/>
      <c r="E650" t="s">
        <v>50</v>
      </c>
    </row>
    <row r="651" spans="1:5" x14ac:dyDescent="0.35">
      <c r="B651" s="4"/>
      <c r="E651" t="s">
        <v>50</v>
      </c>
    </row>
    <row r="652" spans="1:5" x14ac:dyDescent="0.35">
      <c r="E652" t="s">
        <v>50</v>
      </c>
    </row>
    <row r="653" spans="1:5" x14ac:dyDescent="0.35">
      <c r="E653" t="s">
        <v>50</v>
      </c>
    </row>
    <row r="654" spans="1:5" x14ac:dyDescent="0.35">
      <c r="E654" t="s">
        <v>50</v>
      </c>
    </row>
    <row r="655" spans="1:5" x14ac:dyDescent="0.35">
      <c r="E655" t="s">
        <v>50</v>
      </c>
    </row>
    <row r="656" spans="1:5" x14ac:dyDescent="0.35">
      <c r="E656" t="s">
        <v>50</v>
      </c>
    </row>
    <row r="657" spans="5:5" x14ac:dyDescent="0.35">
      <c r="E657" t="s">
        <v>50</v>
      </c>
    </row>
    <row r="658" spans="5:5" x14ac:dyDescent="0.35">
      <c r="E658" t="s">
        <v>50</v>
      </c>
    </row>
    <row r="659" spans="5:5" x14ac:dyDescent="0.35">
      <c r="E659" t="s">
        <v>50</v>
      </c>
    </row>
    <row r="660" spans="5:5" x14ac:dyDescent="0.35">
      <c r="E660" t="s">
        <v>50</v>
      </c>
    </row>
    <row r="661" spans="5:5" x14ac:dyDescent="0.35">
      <c r="E661" t="s">
        <v>50</v>
      </c>
    </row>
    <row r="662" spans="5:5" x14ac:dyDescent="0.35">
      <c r="E662" t="s">
        <v>50</v>
      </c>
    </row>
    <row r="663" spans="5:5" x14ac:dyDescent="0.35">
      <c r="E663" t="s">
        <v>50</v>
      </c>
    </row>
    <row r="664" spans="5:5" x14ac:dyDescent="0.35">
      <c r="E664" t="s">
        <v>50</v>
      </c>
    </row>
    <row r="665" spans="5:5" x14ac:dyDescent="0.35">
      <c r="E665" t="s">
        <v>50</v>
      </c>
    </row>
    <row r="666" spans="5:5" x14ac:dyDescent="0.35">
      <c r="E666" t="s">
        <v>50</v>
      </c>
    </row>
    <row r="667" spans="5:5" x14ac:dyDescent="0.35">
      <c r="E667" t="s">
        <v>50</v>
      </c>
    </row>
    <row r="668" spans="5:5" x14ac:dyDescent="0.35">
      <c r="E668" t="s">
        <v>50</v>
      </c>
    </row>
    <row r="669" spans="5:5" x14ac:dyDescent="0.35">
      <c r="E669" t="s">
        <v>50</v>
      </c>
    </row>
    <row r="670" spans="5:5" x14ac:dyDescent="0.35">
      <c r="E670" t="s">
        <v>50</v>
      </c>
    </row>
    <row r="671" spans="5:5" x14ac:dyDescent="0.35">
      <c r="E671" t="s">
        <v>50</v>
      </c>
    </row>
    <row r="672" spans="5:5" x14ac:dyDescent="0.35">
      <c r="E672" t="s">
        <v>50</v>
      </c>
    </row>
    <row r="673" spans="5:5" x14ac:dyDescent="0.35">
      <c r="E673" t="s">
        <v>50</v>
      </c>
    </row>
    <row r="674" spans="5:5" x14ac:dyDescent="0.35">
      <c r="E674" t="s">
        <v>50</v>
      </c>
    </row>
    <row r="675" spans="5:5" x14ac:dyDescent="0.35">
      <c r="E675" t="s">
        <v>50</v>
      </c>
    </row>
    <row r="676" spans="5:5" x14ac:dyDescent="0.35">
      <c r="E676" t="s">
        <v>50</v>
      </c>
    </row>
    <row r="677" spans="5:5" x14ac:dyDescent="0.35">
      <c r="E677" t="s">
        <v>50</v>
      </c>
    </row>
    <row r="678" spans="5:5" x14ac:dyDescent="0.35">
      <c r="E678" t="s">
        <v>50</v>
      </c>
    </row>
    <row r="679" spans="5:5" x14ac:dyDescent="0.35">
      <c r="E679" t="s">
        <v>50</v>
      </c>
    </row>
    <row r="680" spans="5:5" x14ac:dyDescent="0.35">
      <c r="E680" t="s">
        <v>50</v>
      </c>
    </row>
    <row r="681" spans="5:5" x14ac:dyDescent="0.35">
      <c r="E681" t="s">
        <v>50</v>
      </c>
    </row>
    <row r="682" spans="5:5" x14ac:dyDescent="0.35">
      <c r="E682" t="s">
        <v>50</v>
      </c>
    </row>
    <row r="683" spans="5:5" x14ac:dyDescent="0.35">
      <c r="E683" t="s">
        <v>50</v>
      </c>
    </row>
    <row r="684" spans="5:5" x14ac:dyDescent="0.35">
      <c r="E684" t="s">
        <v>50</v>
      </c>
    </row>
    <row r="685" spans="5:5" x14ac:dyDescent="0.35">
      <c r="E685" t="s">
        <v>50</v>
      </c>
    </row>
    <row r="686" spans="5:5" x14ac:dyDescent="0.35">
      <c r="E686" t="s">
        <v>50</v>
      </c>
    </row>
    <row r="687" spans="5:5" x14ac:dyDescent="0.35">
      <c r="E687" t="s">
        <v>50</v>
      </c>
    </row>
    <row r="688" spans="5:5" x14ac:dyDescent="0.35">
      <c r="E688" t="s">
        <v>50</v>
      </c>
    </row>
    <row r="689" spans="5:5" x14ac:dyDescent="0.35">
      <c r="E689" t="s">
        <v>50</v>
      </c>
    </row>
    <row r="690" spans="5:5" x14ac:dyDescent="0.35">
      <c r="E690" t="s">
        <v>50</v>
      </c>
    </row>
    <row r="691" spans="5:5" x14ac:dyDescent="0.35">
      <c r="E691" t="s">
        <v>50</v>
      </c>
    </row>
    <row r="692" spans="5:5" x14ac:dyDescent="0.35">
      <c r="E692" t="s">
        <v>50</v>
      </c>
    </row>
    <row r="693" spans="5:5" x14ac:dyDescent="0.35">
      <c r="E693" t="s">
        <v>50</v>
      </c>
    </row>
    <row r="694" spans="5:5" x14ac:dyDescent="0.35">
      <c r="E694" t="s">
        <v>50</v>
      </c>
    </row>
    <row r="695" spans="5:5" x14ac:dyDescent="0.35">
      <c r="E695" t="s">
        <v>50</v>
      </c>
    </row>
    <row r="696" spans="5:5" x14ac:dyDescent="0.35">
      <c r="E696" t="s">
        <v>50</v>
      </c>
    </row>
    <row r="697" spans="5:5" x14ac:dyDescent="0.35">
      <c r="E697" t="s">
        <v>50</v>
      </c>
    </row>
    <row r="698" spans="5:5" x14ac:dyDescent="0.35">
      <c r="E698" t="s">
        <v>50</v>
      </c>
    </row>
    <row r="699" spans="5:5" x14ac:dyDescent="0.35">
      <c r="E699" t="s">
        <v>50</v>
      </c>
    </row>
    <row r="700" spans="5:5" x14ac:dyDescent="0.35">
      <c r="E700" t="s">
        <v>50</v>
      </c>
    </row>
    <row r="701" spans="5:5" x14ac:dyDescent="0.35">
      <c r="E701" t="s">
        <v>50</v>
      </c>
    </row>
    <row r="702" spans="5:5" x14ac:dyDescent="0.35">
      <c r="E702" t="s">
        <v>50</v>
      </c>
    </row>
    <row r="703" spans="5:5" x14ac:dyDescent="0.35">
      <c r="E703" t="s">
        <v>50</v>
      </c>
    </row>
    <row r="704" spans="5:5" x14ac:dyDescent="0.35">
      <c r="E704" t="s">
        <v>50</v>
      </c>
    </row>
    <row r="705" spans="5:5" x14ac:dyDescent="0.35">
      <c r="E705" t="s">
        <v>50</v>
      </c>
    </row>
    <row r="706" spans="5:5" x14ac:dyDescent="0.35">
      <c r="E706" t="s">
        <v>50</v>
      </c>
    </row>
    <row r="707" spans="5:5" x14ac:dyDescent="0.35">
      <c r="E707" t="s">
        <v>50</v>
      </c>
    </row>
    <row r="708" spans="5:5" x14ac:dyDescent="0.35">
      <c r="E708" t="s">
        <v>50</v>
      </c>
    </row>
    <row r="709" spans="5:5" x14ac:dyDescent="0.35">
      <c r="E709" t="s">
        <v>50</v>
      </c>
    </row>
    <row r="710" spans="5:5" x14ac:dyDescent="0.35">
      <c r="E710" t="s">
        <v>50</v>
      </c>
    </row>
    <row r="711" spans="5:5" x14ac:dyDescent="0.35">
      <c r="E711" t="s">
        <v>50</v>
      </c>
    </row>
    <row r="712" spans="5:5" x14ac:dyDescent="0.35">
      <c r="E712" t="s">
        <v>50</v>
      </c>
    </row>
    <row r="713" spans="5:5" x14ac:dyDescent="0.35">
      <c r="E713" t="s">
        <v>50</v>
      </c>
    </row>
    <row r="714" spans="5:5" x14ac:dyDescent="0.35">
      <c r="E714" t="s">
        <v>50</v>
      </c>
    </row>
    <row r="715" spans="5:5" x14ac:dyDescent="0.35">
      <c r="E715" t="s">
        <v>50</v>
      </c>
    </row>
    <row r="716" spans="5:5" x14ac:dyDescent="0.35">
      <c r="E716" t="s">
        <v>50</v>
      </c>
    </row>
    <row r="717" spans="5:5" x14ac:dyDescent="0.35">
      <c r="E717" t="s">
        <v>50</v>
      </c>
    </row>
    <row r="718" spans="5:5" x14ac:dyDescent="0.35">
      <c r="E718" t="s">
        <v>50</v>
      </c>
    </row>
    <row r="719" spans="5:5" x14ac:dyDescent="0.35">
      <c r="E719" t="s">
        <v>50</v>
      </c>
    </row>
    <row r="720" spans="5:5" x14ac:dyDescent="0.35">
      <c r="E720" t="s">
        <v>50</v>
      </c>
    </row>
    <row r="721" spans="5:5" x14ac:dyDescent="0.35">
      <c r="E721" t="s">
        <v>50</v>
      </c>
    </row>
    <row r="722" spans="5:5" x14ac:dyDescent="0.35">
      <c r="E722" t="s">
        <v>50</v>
      </c>
    </row>
    <row r="723" spans="5:5" x14ac:dyDescent="0.35">
      <c r="E723" t="s">
        <v>50</v>
      </c>
    </row>
    <row r="724" spans="5:5" x14ac:dyDescent="0.35">
      <c r="E724" t="s">
        <v>50</v>
      </c>
    </row>
    <row r="725" spans="5:5" x14ac:dyDescent="0.35">
      <c r="E725" t="s">
        <v>50</v>
      </c>
    </row>
    <row r="726" spans="5:5" x14ac:dyDescent="0.35">
      <c r="E726" t="s">
        <v>50</v>
      </c>
    </row>
    <row r="727" spans="5:5" x14ac:dyDescent="0.35">
      <c r="E727" t="s">
        <v>50</v>
      </c>
    </row>
    <row r="728" spans="5:5" x14ac:dyDescent="0.35">
      <c r="E728" t="s">
        <v>50</v>
      </c>
    </row>
    <row r="729" spans="5:5" x14ac:dyDescent="0.35">
      <c r="E729" t="s">
        <v>50</v>
      </c>
    </row>
    <row r="730" spans="5:5" x14ac:dyDescent="0.35">
      <c r="E730" t="s">
        <v>50</v>
      </c>
    </row>
    <row r="731" spans="5:5" x14ac:dyDescent="0.35">
      <c r="E731" t="s">
        <v>50</v>
      </c>
    </row>
    <row r="732" spans="5:5" x14ac:dyDescent="0.35">
      <c r="E732" t="s">
        <v>50</v>
      </c>
    </row>
    <row r="733" spans="5:5" x14ac:dyDescent="0.35">
      <c r="E733" t="s">
        <v>50</v>
      </c>
    </row>
    <row r="734" spans="5:5" x14ac:dyDescent="0.35">
      <c r="E734" t="s">
        <v>50</v>
      </c>
    </row>
    <row r="735" spans="5:5" x14ac:dyDescent="0.35">
      <c r="E735" t="s">
        <v>50</v>
      </c>
    </row>
    <row r="736" spans="5:5" x14ac:dyDescent="0.35">
      <c r="E736" t="s">
        <v>50</v>
      </c>
    </row>
    <row r="737" spans="5:5" x14ac:dyDescent="0.35">
      <c r="E737" t="s">
        <v>50</v>
      </c>
    </row>
    <row r="738" spans="5:5" x14ac:dyDescent="0.35">
      <c r="E738" t="s">
        <v>50</v>
      </c>
    </row>
    <row r="739" spans="5:5" x14ac:dyDescent="0.35">
      <c r="E739" t="s">
        <v>50</v>
      </c>
    </row>
    <row r="740" spans="5:5" x14ac:dyDescent="0.35">
      <c r="E740" t="s">
        <v>50</v>
      </c>
    </row>
    <row r="741" spans="5:5" x14ac:dyDescent="0.35">
      <c r="E741" t="s">
        <v>50</v>
      </c>
    </row>
    <row r="742" spans="5:5" x14ac:dyDescent="0.35">
      <c r="E742" t="s">
        <v>50</v>
      </c>
    </row>
    <row r="743" spans="5:5" x14ac:dyDescent="0.35">
      <c r="E743" t="s">
        <v>50</v>
      </c>
    </row>
    <row r="744" spans="5:5" x14ac:dyDescent="0.35">
      <c r="E744" t="s">
        <v>50</v>
      </c>
    </row>
    <row r="745" spans="5:5" x14ac:dyDescent="0.35">
      <c r="E745" t="s">
        <v>50</v>
      </c>
    </row>
    <row r="746" spans="5:5" x14ac:dyDescent="0.35">
      <c r="E746" t="s">
        <v>50</v>
      </c>
    </row>
    <row r="747" spans="5:5" x14ac:dyDescent="0.35">
      <c r="E747" t="s">
        <v>50</v>
      </c>
    </row>
    <row r="748" spans="5:5" x14ac:dyDescent="0.35">
      <c r="E748" t="s">
        <v>50</v>
      </c>
    </row>
    <row r="749" spans="5:5" x14ac:dyDescent="0.35">
      <c r="E749" t="s">
        <v>50</v>
      </c>
    </row>
    <row r="750" spans="5:5" x14ac:dyDescent="0.35">
      <c r="E750" t="s">
        <v>50</v>
      </c>
    </row>
    <row r="751" spans="5:5" x14ac:dyDescent="0.35">
      <c r="E751" t="s">
        <v>50</v>
      </c>
    </row>
    <row r="752" spans="5:5" x14ac:dyDescent="0.35">
      <c r="E752" t="s">
        <v>50</v>
      </c>
    </row>
    <row r="753" spans="5:5" x14ac:dyDescent="0.35">
      <c r="E753" t="s">
        <v>50</v>
      </c>
    </row>
    <row r="754" spans="5:5" x14ac:dyDescent="0.35">
      <c r="E754" t="s">
        <v>50</v>
      </c>
    </row>
    <row r="755" spans="5:5" x14ac:dyDescent="0.35">
      <c r="E755" t="s">
        <v>50</v>
      </c>
    </row>
    <row r="756" spans="5:5" x14ac:dyDescent="0.35">
      <c r="E756" t="s">
        <v>50</v>
      </c>
    </row>
    <row r="757" spans="5:5" x14ac:dyDescent="0.35">
      <c r="E757" t="s">
        <v>50</v>
      </c>
    </row>
    <row r="758" spans="5:5" x14ac:dyDescent="0.35">
      <c r="E758" t="s">
        <v>50</v>
      </c>
    </row>
    <row r="759" spans="5:5" x14ac:dyDescent="0.35">
      <c r="E759" t="s">
        <v>50</v>
      </c>
    </row>
    <row r="760" spans="5:5" x14ac:dyDescent="0.35">
      <c r="E760" t="s">
        <v>50</v>
      </c>
    </row>
    <row r="761" spans="5:5" x14ac:dyDescent="0.35">
      <c r="E761" t="s">
        <v>50</v>
      </c>
    </row>
    <row r="762" spans="5:5" x14ac:dyDescent="0.35">
      <c r="E762" t="s">
        <v>50</v>
      </c>
    </row>
    <row r="763" spans="5:5" x14ac:dyDescent="0.35">
      <c r="E763" t="s">
        <v>50</v>
      </c>
    </row>
    <row r="764" spans="5:5" x14ac:dyDescent="0.35">
      <c r="E764" t="s">
        <v>50</v>
      </c>
    </row>
    <row r="765" spans="5:5" x14ac:dyDescent="0.35">
      <c r="E765" t="s">
        <v>50</v>
      </c>
    </row>
    <row r="766" spans="5:5" x14ac:dyDescent="0.35">
      <c r="E766" t="s">
        <v>50</v>
      </c>
    </row>
    <row r="767" spans="5:5" x14ac:dyDescent="0.35">
      <c r="E767" t="s">
        <v>50</v>
      </c>
    </row>
    <row r="768" spans="5:5" x14ac:dyDescent="0.35">
      <c r="E768" t="s">
        <v>50</v>
      </c>
    </row>
    <row r="769" spans="5:5" x14ac:dyDescent="0.35">
      <c r="E769" t="s">
        <v>50</v>
      </c>
    </row>
    <row r="770" spans="5:5" x14ac:dyDescent="0.35">
      <c r="E770" t="s">
        <v>50</v>
      </c>
    </row>
    <row r="771" spans="5:5" x14ac:dyDescent="0.35">
      <c r="E771" t="s">
        <v>50</v>
      </c>
    </row>
    <row r="772" spans="5:5" x14ac:dyDescent="0.35">
      <c r="E772" t="s">
        <v>50</v>
      </c>
    </row>
    <row r="773" spans="5:5" x14ac:dyDescent="0.35">
      <c r="E773" t="s">
        <v>50</v>
      </c>
    </row>
    <row r="774" spans="5:5" x14ac:dyDescent="0.35">
      <c r="E774" t="s">
        <v>50</v>
      </c>
    </row>
    <row r="775" spans="5:5" x14ac:dyDescent="0.35">
      <c r="E775" t="s">
        <v>50</v>
      </c>
    </row>
    <row r="776" spans="5:5" x14ac:dyDescent="0.35">
      <c r="E776" t="s">
        <v>50</v>
      </c>
    </row>
    <row r="777" spans="5:5" x14ac:dyDescent="0.35">
      <c r="E777" t="s">
        <v>50</v>
      </c>
    </row>
    <row r="778" spans="5:5" x14ac:dyDescent="0.35">
      <c r="E778" t="s">
        <v>50</v>
      </c>
    </row>
    <row r="779" spans="5:5" x14ac:dyDescent="0.35">
      <c r="E779" t="s">
        <v>50</v>
      </c>
    </row>
    <row r="780" spans="5:5" x14ac:dyDescent="0.35">
      <c r="E780" t="s">
        <v>50</v>
      </c>
    </row>
    <row r="781" spans="5:5" x14ac:dyDescent="0.35">
      <c r="E781" t="s">
        <v>50</v>
      </c>
    </row>
    <row r="782" spans="5:5" x14ac:dyDescent="0.35">
      <c r="E782" t="s">
        <v>50</v>
      </c>
    </row>
    <row r="783" spans="5:5" x14ac:dyDescent="0.35">
      <c r="E783" t="s">
        <v>50</v>
      </c>
    </row>
    <row r="784" spans="5:5" x14ac:dyDescent="0.35">
      <c r="E784" t="s">
        <v>50</v>
      </c>
    </row>
    <row r="785" spans="5:5" x14ac:dyDescent="0.35">
      <c r="E785" t="s">
        <v>50</v>
      </c>
    </row>
    <row r="786" spans="5:5" x14ac:dyDescent="0.35">
      <c r="E786" t="s">
        <v>50</v>
      </c>
    </row>
    <row r="787" spans="5:5" x14ac:dyDescent="0.35">
      <c r="E787" t="s">
        <v>50</v>
      </c>
    </row>
    <row r="788" spans="5:5" x14ac:dyDescent="0.35">
      <c r="E788" t="s">
        <v>50</v>
      </c>
    </row>
    <row r="789" spans="5:5" x14ac:dyDescent="0.35">
      <c r="E789" t="s">
        <v>50</v>
      </c>
    </row>
    <row r="790" spans="5:5" x14ac:dyDescent="0.35">
      <c r="E790" t="s">
        <v>50</v>
      </c>
    </row>
    <row r="791" spans="5:5" x14ac:dyDescent="0.35">
      <c r="E791" t="s">
        <v>50</v>
      </c>
    </row>
    <row r="792" spans="5:5" x14ac:dyDescent="0.35">
      <c r="E792" t="s">
        <v>50</v>
      </c>
    </row>
    <row r="793" spans="5:5" x14ac:dyDescent="0.35">
      <c r="E793" t="s">
        <v>50</v>
      </c>
    </row>
    <row r="794" spans="5:5" x14ac:dyDescent="0.35">
      <c r="E794" t="s">
        <v>50</v>
      </c>
    </row>
    <row r="795" spans="5:5" x14ac:dyDescent="0.35">
      <c r="E795" t="s">
        <v>50</v>
      </c>
    </row>
    <row r="796" spans="5:5" x14ac:dyDescent="0.35">
      <c r="E796" t="s">
        <v>50</v>
      </c>
    </row>
    <row r="797" spans="5:5" x14ac:dyDescent="0.35">
      <c r="E797" t="s">
        <v>50</v>
      </c>
    </row>
    <row r="798" spans="5:5" x14ac:dyDescent="0.35">
      <c r="E798" t="s">
        <v>50</v>
      </c>
    </row>
    <row r="799" spans="5:5" x14ac:dyDescent="0.35">
      <c r="E799" t="s">
        <v>50</v>
      </c>
    </row>
    <row r="800" spans="5:5" x14ac:dyDescent="0.35">
      <c r="E800" t="s">
        <v>50</v>
      </c>
    </row>
    <row r="801" spans="5:5" x14ac:dyDescent="0.35">
      <c r="E801" t="s">
        <v>50</v>
      </c>
    </row>
    <row r="802" spans="5:5" x14ac:dyDescent="0.35">
      <c r="E802" t="s">
        <v>50</v>
      </c>
    </row>
    <row r="803" spans="5:5" x14ac:dyDescent="0.35">
      <c r="E803" t="s">
        <v>50</v>
      </c>
    </row>
    <row r="804" spans="5:5" x14ac:dyDescent="0.35">
      <c r="E804" t="s">
        <v>50</v>
      </c>
    </row>
    <row r="805" spans="5:5" x14ac:dyDescent="0.35">
      <c r="E805" t="s">
        <v>50</v>
      </c>
    </row>
    <row r="806" spans="5:5" x14ac:dyDescent="0.35">
      <c r="E806" t="s">
        <v>50</v>
      </c>
    </row>
    <row r="807" spans="5:5" x14ac:dyDescent="0.35">
      <c r="E807" t="s">
        <v>50</v>
      </c>
    </row>
    <row r="808" spans="5:5" x14ac:dyDescent="0.35">
      <c r="E808" t="s">
        <v>50</v>
      </c>
    </row>
    <row r="809" spans="5:5" x14ac:dyDescent="0.35">
      <c r="E809" t="s">
        <v>50</v>
      </c>
    </row>
    <row r="810" spans="5:5" x14ac:dyDescent="0.35">
      <c r="E810" t="s">
        <v>50</v>
      </c>
    </row>
    <row r="811" spans="5:5" x14ac:dyDescent="0.35">
      <c r="E811" t="s">
        <v>50</v>
      </c>
    </row>
    <row r="812" spans="5:5" x14ac:dyDescent="0.35">
      <c r="E812" t="s">
        <v>50</v>
      </c>
    </row>
    <row r="813" spans="5:5" x14ac:dyDescent="0.35">
      <c r="E813" t="s">
        <v>50</v>
      </c>
    </row>
    <row r="814" spans="5:5" x14ac:dyDescent="0.35">
      <c r="E814" t="s">
        <v>50</v>
      </c>
    </row>
    <row r="815" spans="5:5" x14ac:dyDescent="0.35">
      <c r="E815" t="s">
        <v>50</v>
      </c>
    </row>
    <row r="816" spans="5:5" x14ac:dyDescent="0.35">
      <c r="E816" t="s">
        <v>50</v>
      </c>
    </row>
    <row r="817" spans="5:5" x14ac:dyDescent="0.35">
      <c r="E817" t="s">
        <v>50</v>
      </c>
    </row>
    <row r="818" spans="5:5" x14ac:dyDescent="0.35">
      <c r="E818" t="s">
        <v>51</v>
      </c>
    </row>
    <row r="819" spans="5:5" x14ac:dyDescent="0.35">
      <c r="E819" t="s">
        <v>51</v>
      </c>
    </row>
    <row r="820" spans="5:5" x14ac:dyDescent="0.35">
      <c r="E820" t="s">
        <v>51</v>
      </c>
    </row>
    <row r="821" spans="5:5" x14ac:dyDescent="0.35">
      <c r="E821" t="s">
        <v>51</v>
      </c>
    </row>
    <row r="822" spans="5:5" x14ac:dyDescent="0.35">
      <c r="E822" t="s">
        <v>51</v>
      </c>
    </row>
    <row r="823" spans="5:5" x14ac:dyDescent="0.35">
      <c r="E823" t="s">
        <v>51</v>
      </c>
    </row>
    <row r="824" spans="5:5" x14ac:dyDescent="0.35">
      <c r="E824" t="s">
        <v>51</v>
      </c>
    </row>
    <row r="825" spans="5:5" x14ac:dyDescent="0.35">
      <c r="E825" t="s">
        <v>51</v>
      </c>
    </row>
    <row r="826" spans="5:5" x14ac:dyDescent="0.35">
      <c r="E826" t="s">
        <v>51</v>
      </c>
    </row>
    <row r="827" spans="5:5" x14ac:dyDescent="0.35">
      <c r="E827" t="s">
        <v>51</v>
      </c>
    </row>
    <row r="828" spans="5:5" x14ac:dyDescent="0.35">
      <c r="E828" t="s">
        <v>51</v>
      </c>
    </row>
    <row r="829" spans="5:5" x14ac:dyDescent="0.35">
      <c r="E829" t="s">
        <v>51</v>
      </c>
    </row>
    <row r="830" spans="5:5" x14ac:dyDescent="0.35">
      <c r="E830" t="s">
        <v>51</v>
      </c>
    </row>
    <row r="831" spans="5:5" x14ac:dyDescent="0.35">
      <c r="E831" t="s">
        <v>51</v>
      </c>
    </row>
    <row r="832" spans="5:5" x14ac:dyDescent="0.35">
      <c r="E832" t="s">
        <v>51</v>
      </c>
    </row>
    <row r="833" spans="5:5" x14ac:dyDescent="0.35">
      <c r="E833" t="s">
        <v>51</v>
      </c>
    </row>
    <row r="834" spans="5:5" x14ac:dyDescent="0.35">
      <c r="E834" t="s">
        <v>51</v>
      </c>
    </row>
    <row r="835" spans="5:5" x14ac:dyDescent="0.35">
      <c r="E835" t="s">
        <v>51</v>
      </c>
    </row>
    <row r="836" spans="5:5" x14ac:dyDescent="0.35">
      <c r="E836" t="s">
        <v>51</v>
      </c>
    </row>
    <row r="837" spans="5:5" x14ac:dyDescent="0.35">
      <c r="E837" t="s">
        <v>51</v>
      </c>
    </row>
    <row r="838" spans="5:5" x14ac:dyDescent="0.35">
      <c r="E838" t="s">
        <v>51</v>
      </c>
    </row>
    <row r="839" spans="5:5" x14ac:dyDescent="0.35">
      <c r="E839" t="s">
        <v>51</v>
      </c>
    </row>
    <row r="840" spans="5:5" x14ac:dyDescent="0.35">
      <c r="E840" t="s">
        <v>51</v>
      </c>
    </row>
    <row r="841" spans="5:5" x14ac:dyDescent="0.35">
      <c r="E841" t="s">
        <v>51</v>
      </c>
    </row>
    <row r="842" spans="5:5" x14ac:dyDescent="0.35">
      <c r="E842" t="s">
        <v>51</v>
      </c>
    </row>
    <row r="843" spans="5:5" x14ac:dyDescent="0.35">
      <c r="E843" t="s">
        <v>51</v>
      </c>
    </row>
    <row r="844" spans="5:5" x14ac:dyDescent="0.35">
      <c r="E844" t="s">
        <v>51</v>
      </c>
    </row>
    <row r="845" spans="5:5" x14ac:dyDescent="0.35">
      <c r="E845" t="s">
        <v>51</v>
      </c>
    </row>
    <row r="846" spans="5:5" x14ac:dyDescent="0.35">
      <c r="E846" t="s">
        <v>51</v>
      </c>
    </row>
    <row r="847" spans="5:5" x14ac:dyDescent="0.35">
      <c r="E847" t="s">
        <v>51</v>
      </c>
    </row>
    <row r="848" spans="5:5" x14ac:dyDescent="0.35">
      <c r="E848" t="s">
        <v>51</v>
      </c>
    </row>
    <row r="849" spans="5:5" x14ac:dyDescent="0.35">
      <c r="E849" t="s">
        <v>51</v>
      </c>
    </row>
    <row r="850" spans="5:5" x14ac:dyDescent="0.35">
      <c r="E850" t="s">
        <v>51</v>
      </c>
    </row>
    <row r="851" spans="5:5" x14ac:dyDescent="0.35">
      <c r="E851" t="s">
        <v>51</v>
      </c>
    </row>
    <row r="852" spans="5:5" x14ac:dyDescent="0.35">
      <c r="E852" t="s">
        <v>51</v>
      </c>
    </row>
    <row r="853" spans="5:5" x14ac:dyDescent="0.35">
      <c r="E853" t="s">
        <v>51</v>
      </c>
    </row>
    <row r="854" spans="5:5" x14ac:dyDescent="0.35">
      <c r="E854" t="s">
        <v>51</v>
      </c>
    </row>
    <row r="855" spans="5:5" x14ac:dyDescent="0.35">
      <c r="E855" t="s">
        <v>51</v>
      </c>
    </row>
    <row r="856" spans="5:5" x14ac:dyDescent="0.35">
      <c r="E856" t="s">
        <v>51</v>
      </c>
    </row>
    <row r="857" spans="5:5" x14ac:dyDescent="0.35">
      <c r="E857" t="s">
        <v>51</v>
      </c>
    </row>
    <row r="858" spans="5:5" x14ac:dyDescent="0.35">
      <c r="E858" t="s">
        <v>51</v>
      </c>
    </row>
    <row r="859" spans="5:5" x14ac:dyDescent="0.35">
      <c r="E859" t="s">
        <v>51</v>
      </c>
    </row>
    <row r="860" spans="5:5" x14ac:dyDescent="0.35">
      <c r="E860" t="s">
        <v>51</v>
      </c>
    </row>
    <row r="861" spans="5:5" x14ac:dyDescent="0.35">
      <c r="E861" t="s">
        <v>51</v>
      </c>
    </row>
    <row r="862" spans="5:5" x14ac:dyDescent="0.35">
      <c r="E862" t="s">
        <v>51</v>
      </c>
    </row>
    <row r="863" spans="5:5" x14ac:dyDescent="0.35">
      <c r="E863" t="s">
        <v>51</v>
      </c>
    </row>
    <row r="864" spans="5:5" x14ac:dyDescent="0.35">
      <c r="E864" t="s">
        <v>51</v>
      </c>
    </row>
    <row r="865" spans="5:5" x14ac:dyDescent="0.35">
      <c r="E865" t="s">
        <v>51</v>
      </c>
    </row>
    <row r="866" spans="5:5" x14ac:dyDescent="0.35">
      <c r="E866" t="s">
        <v>51</v>
      </c>
    </row>
    <row r="867" spans="5:5" x14ac:dyDescent="0.35">
      <c r="E867" t="s">
        <v>51</v>
      </c>
    </row>
    <row r="868" spans="5:5" x14ac:dyDescent="0.35">
      <c r="E868" t="s">
        <v>51</v>
      </c>
    </row>
    <row r="869" spans="5:5" x14ac:dyDescent="0.35">
      <c r="E869" t="s">
        <v>51</v>
      </c>
    </row>
    <row r="870" spans="5:5" x14ac:dyDescent="0.35">
      <c r="E870" t="s">
        <v>51</v>
      </c>
    </row>
    <row r="871" spans="5:5" x14ac:dyDescent="0.35">
      <c r="E871" t="s">
        <v>51</v>
      </c>
    </row>
    <row r="872" spans="5:5" x14ac:dyDescent="0.35">
      <c r="E872" t="s">
        <v>51</v>
      </c>
    </row>
    <row r="873" spans="5:5" x14ac:dyDescent="0.35">
      <c r="E873" t="s">
        <v>51</v>
      </c>
    </row>
    <row r="874" spans="5:5" x14ac:dyDescent="0.35">
      <c r="E874" t="s">
        <v>51</v>
      </c>
    </row>
    <row r="875" spans="5:5" x14ac:dyDescent="0.35">
      <c r="E875" t="s">
        <v>51</v>
      </c>
    </row>
    <row r="876" spans="5:5" x14ac:dyDescent="0.35">
      <c r="E876" t="s">
        <v>51</v>
      </c>
    </row>
    <row r="877" spans="5:5" x14ac:dyDescent="0.35">
      <c r="E877" t="s">
        <v>51</v>
      </c>
    </row>
    <row r="878" spans="5:5" x14ac:dyDescent="0.35">
      <c r="E878" t="s">
        <v>51</v>
      </c>
    </row>
    <row r="879" spans="5:5" x14ac:dyDescent="0.35">
      <c r="E879" t="s">
        <v>51</v>
      </c>
    </row>
    <row r="880" spans="5:5" x14ac:dyDescent="0.35">
      <c r="E880" t="s">
        <v>51</v>
      </c>
    </row>
    <row r="881" spans="5:5" x14ac:dyDescent="0.35">
      <c r="E881" t="s">
        <v>51</v>
      </c>
    </row>
    <row r="882" spans="5:5" x14ac:dyDescent="0.35">
      <c r="E882" t="s">
        <v>51</v>
      </c>
    </row>
    <row r="883" spans="5:5" x14ac:dyDescent="0.35">
      <c r="E883" t="s">
        <v>51</v>
      </c>
    </row>
    <row r="884" spans="5:5" x14ac:dyDescent="0.35">
      <c r="E884" t="s">
        <v>51</v>
      </c>
    </row>
    <row r="885" spans="5:5" x14ac:dyDescent="0.35">
      <c r="E885" t="s">
        <v>51</v>
      </c>
    </row>
    <row r="886" spans="5:5" x14ac:dyDescent="0.35">
      <c r="E886" t="s">
        <v>51</v>
      </c>
    </row>
    <row r="887" spans="5:5" x14ac:dyDescent="0.35">
      <c r="E887" t="s">
        <v>51</v>
      </c>
    </row>
    <row r="888" spans="5:5" x14ac:dyDescent="0.35">
      <c r="E888" t="s">
        <v>51</v>
      </c>
    </row>
    <row r="889" spans="5:5" x14ac:dyDescent="0.35">
      <c r="E889" t="s">
        <v>51</v>
      </c>
    </row>
    <row r="890" spans="5:5" x14ac:dyDescent="0.35">
      <c r="E890" t="s">
        <v>51</v>
      </c>
    </row>
    <row r="891" spans="5:5" x14ac:dyDescent="0.35">
      <c r="E891" t="s">
        <v>51</v>
      </c>
    </row>
    <row r="892" spans="5:5" x14ac:dyDescent="0.35">
      <c r="E892" t="s">
        <v>51</v>
      </c>
    </row>
    <row r="893" spans="5:5" x14ac:dyDescent="0.35">
      <c r="E893" t="s">
        <v>51</v>
      </c>
    </row>
    <row r="894" spans="5:5" x14ac:dyDescent="0.35">
      <c r="E894" t="s">
        <v>51</v>
      </c>
    </row>
    <row r="895" spans="5:5" x14ac:dyDescent="0.35">
      <c r="E895" t="s">
        <v>51</v>
      </c>
    </row>
    <row r="896" spans="5:5" x14ac:dyDescent="0.35">
      <c r="E896" t="s">
        <v>51</v>
      </c>
    </row>
    <row r="897" spans="5:5" x14ac:dyDescent="0.35">
      <c r="E897" t="s">
        <v>51</v>
      </c>
    </row>
    <row r="898" spans="5:5" x14ac:dyDescent="0.35">
      <c r="E898" t="s">
        <v>51</v>
      </c>
    </row>
    <row r="899" spans="5:5" x14ac:dyDescent="0.35">
      <c r="E899" t="s">
        <v>51</v>
      </c>
    </row>
    <row r="900" spans="5:5" x14ac:dyDescent="0.35">
      <c r="E900" t="s">
        <v>51</v>
      </c>
    </row>
    <row r="901" spans="5:5" x14ac:dyDescent="0.35">
      <c r="E901" t="s">
        <v>51</v>
      </c>
    </row>
    <row r="902" spans="5:5" x14ac:dyDescent="0.35">
      <c r="E902" t="s">
        <v>51</v>
      </c>
    </row>
    <row r="903" spans="5:5" x14ac:dyDescent="0.35">
      <c r="E903" t="s">
        <v>51</v>
      </c>
    </row>
    <row r="904" spans="5:5" x14ac:dyDescent="0.35">
      <c r="E904" t="s">
        <v>51</v>
      </c>
    </row>
    <row r="905" spans="5:5" x14ac:dyDescent="0.35">
      <c r="E905" t="s">
        <v>51</v>
      </c>
    </row>
    <row r="906" spans="5:5" x14ac:dyDescent="0.35">
      <c r="E906" t="s">
        <v>51</v>
      </c>
    </row>
    <row r="907" spans="5:5" x14ac:dyDescent="0.35">
      <c r="E907" t="s">
        <v>51</v>
      </c>
    </row>
    <row r="908" spans="5:5" x14ac:dyDescent="0.35">
      <c r="E908" t="s">
        <v>51</v>
      </c>
    </row>
    <row r="909" spans="5:5" x14ac:dyDescent="0.35">
      <c r="E909" t="s">
        <v>51</v>
      </c>
    </row>
    <row r="910" spans="5:5" x14ac:dyDescent="0.35">
      <c r="E910" t="s">
        <v>51</v>
      </c>
    </row>
    <row r="911" spans="5:5" x14ac:dyDescent="0.35">
      <c r="E911" t="s">
        <v>51</v>
      </c>
    </row>
    <row r="912" spans="5:5" x14ac:dyDescent="0.35">
      <c r="E912" t="s">
        <v>51</v>
      </c>
    </row>
    <row r="913" spans="5:5" x14ac:dyDescent="0.35">
      <c r="E913" t="s">
        <v>51</v>
      </c>
    </row>
    <row r="914" spans="5:5" x14ac:dyDescent="0.35">
      <c r="E914" t="s">
        <v>51</v>
      </c>
    </row>
    <row r="915" spans="5:5" x14ac:dyDescent="0.35">
      <c r="E915" t="s">
        <v>51</v>
      </c>
    </row>
    <row r="916" spans="5:5" x14ac:dyDescent="0.35">
      <c r="E916" t="s">
        <v>51</v>
      </c>
    </row>
    <row r="917" spans="5:5" x14ac:dyDescent="0.35">
      <c r="E917" t="s">
        <v>51</v>
      </c>
    </row>
    <row r="918" spans="5:5" x14ac:dyDescent="0.35">
      <c r="E918" t="s">
        <v>51</v>
      </c>
    </row>
    <row r="919" spans="5:5" x14ac:dyDescent="0.35">
      <c r="E919" t="s">
        <v>51</v>
      </c>
    </row>
    <row r="920" spans="5:5" x14ac:dyDescent="0.35">
      <c r="E920" t="s">
        <v>51</v>
      </c>
    </row>
    <row r="921" spans="5:5" x14ac:dyDescent="0.35">
      <c r="E921" t="s">
        <v>51</v>
      </c>
    </row>
    <row r="922" spans="5:5" x14ac:dyDescent="0.35">
      <c r="E922" t="s">
        <v>51</v>
      </c>
    </row>
    <row r="923" spans="5:5" x14ac:dyDescent="0.35">
      <c r="E923" t="s">
        <v>51</v>
      </c>
    </row>
    <row r="924" spans="5:5" x14ac:dyDescent="0.35">
      <c r="E924" t="s">
        <v>51</v>
      </c>
    </row>
    <row r="925" spans="5:5" x14ac:dyDescent="0.35">
      <c r="E925" t="s">
        <v>51</v>
      </c>
    </row>
    <row r="926" spans="5:5" x14ac:dyDescent="0.35">
      <c r="E926" t="s">
        <v>51</v>
      </c>
    </row>
    <row r="927" spans="5:5" x14ac:dyDescent="0.35">
      <c r="E927" t="s">
        <v>51</v>
      </c>
    </row>
    <row r="928" spans="5:5" x14ac:dyDescent="0.35">
      <c r="E928" t="s">
        <v>51</v>
      </c>
    </row>
    <row r="929" spans="5:5" x14ac:dyDescent="0.35">
      <c r="E929" t="s">
        <v>51</v>
      </c>
    </row>
    <row r="930" spans="5:5" x14ac:dyDescent="0.35">
      <c r="E930" t="s">
        <v>51</v>
      </c>
    </row>
    <row r="931" spans="5:5" x14ac:dyDescent="0.35">
      <c r="E931" t="s">
        <v>51</v>
      </c>
    </row>
    <row r="932" spans="5:5" x14ac:dyDescent="0.35">
      <c r="E932" t="s">
        <v>51</v>
      </c>
    </row>
    <row r="933" spans="5:5" x14ac:dyDescent="0.35">
      <c r="E933" t="s">
        <v>51</v>
      </c>
    </row>
    <row r="934" spans="5:5" x14ac:dyDescent="0.35">
      <c r="E934" t="s">
        <v>51</v>
      </c>
    </row>
    <row r="935" spans="5:5" x14ac:dyDescent="0.35">
      <c r="E935" t="s">
        <v>51</v>
      </c>
    </row>
    <row r="936" spans="5:5" x14ac:dyDescent="0.35">
      <c r="E936" t="s">
        <v>51</v>
      </c>
    </row>
    <row r="937" spans="5:5" x14ac:dyDescent="0.35">
      <c r="E937" t="s">
        <v>51</v>
      </c>
    </row>
    <row r="938" spans="5:5" x14ac:dyDescent="0.35">
      <c r="E938" t="s">
        <v>51</v>
      </c>
    </row>
    <row r="939" spans="5:5" x14ac:dyDescent="0.35">
      <c r="E939" t="s">
        <v>51</v>
      </c>
    </row>
    <row r="940" spans="5:5" x14ac:dyDescent="0.35">
      <c r="E940" t="s">
        <v>51</v>
      </c>
    </row>
    <row r="941" spans="5:5" x14ac:dyDescent="0.35">
      <c r="E941" t="s">
        <v>51</v>
      </c>
    </row>
    <row r="942" spans="5:5" x14ac:dyDescent="0.35">
      <c r="E942" t="s">
        <v>51</v>
      </c>
    </row>
    <row r="943" spans="5:5" x14ac:dyDescent="0.35">
      <c r="E943" t="s">
        <v>51</v>
      </c>
    </row>
    <row r="944" spans="5:5" x14ac:dyDescent="0.35">
      <c r="E944" t="s">
        <v>51</v>
      </c>
    </row>
    <row r="945" spans="5:5" x14ac:dyDescent="0.35">
      <c r="E945" t="s">
        <v>51</v>
      </c>
    </row>
    <row r="946" spans="5:5" x14ac:dyDescent="0.35">
      <c r="E946" t="s">
        <v>51</v>
      </c>
    </row>
    <row r="947" spans="5:5" x14ac:dyDescent="0.35">
      <c r="E947" t="s">
        <v>51</v>
      </c>
    </row>
    <row r="948" spans="5:5" x14ac:dyDescent="0.35">
      <c r="E948" t="s">
        <v>51</v>
      </c>
    </row>
    <row r="949" spans="5:5" x14ac:dyDescent="0.35">
      <c r="E949" t="s">
        <v>51</v>
      </c>
    </row>
    <row r="950" spans="5:5" x14ac:dyDescent="0.35">
      <c r="E950" t="s">
        <v>51</v>
      </c>
    </row>
    <row r="951" spans="5:5" x14ac:dyDescent="0.35">
      <c r="E951" t="s">
        <v>51</v>
      </c>
    </row>
    <row r="952" spans="5:5" x14ac:dyDescent="0.35">
      <c r="E952" t="s">
        <v>51</v>
      </c>
    </row>
    <row r="953" spans="5:5" x14ac:dyDescent="0.35">
      <c r="E953" t="s">
        <v>51</v>
      </c>
    </row>
    <row r="954" spans="5:5" x14ac:dyDescent="0.35">
      <c r="E954" t="s">
        <v>51</v>
      </c>
    </row>
    <row r="955" spans="5:5" x14ac:dyDescent="0.35">
      <c r="E955" t="s">
        <v>51</v>
      </c>
    </row>
    <row r="956" spans="5:5" x14ac:dyDescent="0.35">
      <c r="E956" t="s">
        <v>51</v>
      </c>
    </row>
    <row r="957" spans="5:5" x14ac:dyDescent="0.35">
      <c r="E957" t="s">
        <v>51</v>
      </c>
    </row>
    <row r="958" spans="5:5" x14ac:dyDescent="0.35">
      <c r="E958" t="s">
        <v>51</v>
      </c>
    </row>
    <row r="959" spans="5:5" x14ac:dyDescent="0.35">
      <c r="E959" t="s">
        <v>51</v>
      </c>
    </row>
    <row r="960" spans="5:5" x14ac:dyDescent="0.35">
      <c r="E960" t="s">
        <v>51</v>
      </c>
    </row>
    <row r="961" spans="5:5" x14ac:dyDescent="0.35">
      <c r="E961" t="s">
        <v>51</v>
      </c>
    </row>
    <row r="962" spans="5:5" x14ac:dyDescent="0.35">
      <c r="E962" t="s">
        <v>51</v>
      </c>
    </row>
    <row r="963" spans="5:5" x14ac:dyDescent="0.35">
      <c r="E963" t="s">
        <v>51</v>
      </c>
    </row>
    <row r="964" spans="5:5" x14ac:dyDescent="0.35">
      <c r="E964" t="s">
        <v>51</v>
      </c>
    </row>
    <row r="965" spans="5:5" x14ac:dyDescent="0.35">
      <c r="E965" t="s">
        <v>51</v>
      </c>
    </row>
    <row r="966" spans="5:5" x14ac:dyDescent="0.35">
      <c r="E966" t="s">
        <v>51</v>
      </c>
    </row>
    <row r="967" spans="5:5" x14ac:dyDescent="0.35">
      <c r="E967" t="s">
        <v>51</v>
      </c>
    </row>
    <row r="968" spans="5:5" x14ac:dyDescent="0.35">
      <c r="E968" t="s">
        <v>51</v>
      </c>
    </row>
    <row r="969" spans="5:5" x14ac:dyDescent="0.35">
      <c r="E969" t="s">
        <v>51</v>
      </c>
    </row>
    <row r="970" spans="5:5" x14ac:dyDescent="0.35">
      <c r="E970" t="s">
        <v>51</v>
      </c>
    </row>
    <row r="971" spans="5:5" x14ac:dyDescent="0.35">
      <c r="E971" t="s">
        <v>51</v>
      </c>
    </row>
    <row r="972" spans="5:5" x14ac:dyDescent="0.35">
      <c r="E972" t="s">
        <v>51</v>
      </c>
    </row>
    <row r="973" spans="5:5" x14ac:dyDescent="0.35">
      <c r="E973" t="s">
        <v>51</v>
      </c>
    </row>
    <row r="974" spans="5:5" x14ac:dyDescent="0.35">
      <c r="E974" t="s">
        <v>51</v>
      </c>
    </row>
    <row r="975" spans="5:5" x14ac:dyDescent="0.35">
      <c r="E975" t="s">
        <v>51</v>
      </c>
    </row>
    <row r="976" spans="5:5" x14ac:dyDescent="0.35">
      <c r="E976" t="s">
        <v>51</v>
      </c>
    </row>
    <row r="977" spans="5:5" x14ac:dyDescent="0.35">
      <c r="E977" t="s">
        <v>51</v>
      </c>
    </row>
    <row r="978" spans="5:5" x14ac:dyDescent="0.35">
      <c r="E978" t="s">
        <v>51</v>
      </c>
    </row>
    <row r="979" spans="5:5" x14ac:dyDescent="0.35">
      <c r="E979" t="s">
        <v>51</v>
      </c>
    </row>
    <row r="980" spans="5:5" x14ac:dyDescent="0.35">
      <c r="E980" t="s">
        <v>51</v>
      </c>
    </row>
    <row r="981" spans="5:5" x14ac:dyDescent="0.35">
      <c r="E981" t="s">
        <v>51</v>
      </c>
    </row>
    <row r="982" spans="5:5" x14ac:dyDescent="0.35">
      <c r="E982" t="s">
        <v>51</v>
      </c>
    </row>
    <row r="983" spans="5:5" x14ac:dyDescent="0.35">
      <c r="E983" t="s">
        <v>51</v>
      </c>
    </row>
    <row r="984" spans="5:5" x14ac:dyDescent="0.35">
      <c r="E984" t="s">
        <v>51</v>
      </c>
    </row>
    <row r="985" spans="5:5" x14ac:dyDescent="0.35">
      <c r="E985" t="s">
        <v>51</v>
      </c>
    </row>
    <row r="986" spans="5:5" x14ac:dyDescent="0.35">
      <c r="E986" t="s">
        <v>51</v>
      </c>
    </row>
    <row r="987" spans="5:5" x14ac:dyDescent="0.35">
      <c r="E987" t="s">
        <v>51</v>
      </c>
    </row>
    <row r="988" spans="5:5" x14ac:dyDescent="0.35">
      <c r="E988" t="s">
        <v>51</v>
      </c>
    </row>
    <row r="989" spans="5:5" x14ac:dyDescent="0.35">
      <c r="E989" t="s">
        <v>51</v>
      </c>
    </row>
    <row r="990" spans="5:5" x14ac:dyDescent="0.35">
      <c r="E990" t="s">
        <v>51</v>
      </c>
    </row>
    <row r="991" spans="5:5" x14ac:dyDescent="0.35">
      <c r="E991" t="s">
        <v>51</v>
      </c>
    </row>
    <row r="992" spans="5:5" x14ac:dyDescent="0.35">
      <c r="E992" t="s">
        <v>51</v>
      </c>
    </row>
    <row r="993" spans="5:5" x14ac:dyDescent="0.35">
      <c r="E993" t="s">
        <v>51</v>
      </c>
    </row>
    <row r="994" spans="5:5" x14ac:dyDescent="0.35">
      <c r="E994" t="s">
        <v>51</v>
      </c>
    </row>
    <row r="995" spans="5:5" x14ac:dyDescent="0.35">
      <c r="E995" t="s">
        <v>51</v>
      </c>
    </row>
    <row r="996" spans="5:5" x14ac:dyDescent="0.35">
      <c r="E996" t="s">
        <v>51</v>
      </c>
    </row>
    <row r="997" spans="5:5" x14ac:dyDescent="0.35">
      <c r="E997" t="s">
        <v>51</v>
      </c>
    </row>
    <row r="998" spans="5:5" x14ac:dyDescent="0.35">
      <c r="E998" t="s">
        <v>51</v>
      </c>
    </row>
    <row r="999" spans="5:5" x14ac:dyDescent="0.35">
      <c r="E999" t="s">
        <v>51</v>
      </c>
    </row>
    <row r="1000" spans="5:5" x14ac:dyDescent="0.35">
      <c r="E1000" t="s">
        <v>51</v>
      </c>
    </row>
    <row r="1001" spans="5:5" x14ac:dyDescent="0.35">
      <c r="E1001" t="s">
        <v>51</v>
      </c>
    </row>
    <row r="1002" spans="5:5" x14ac:dyDescent="0.35">
      <c r="E1002" t="s">
        <v>51</v>
      </c>
    </row>
    <row r="1003" spans="5:5" x14ac:dyDescent="0.35">
      <c r="E1003" t="s">
        <v>51</v>
      </c>
    </row>
    <row r="1004" spans="5:5" x14ac:dyDescent="0.35">
      <c r="E1004" t="s">
        <v>51</v>
      </c>
    </row>
    <row r="1005" spans="5:5" x14ac:dyDescent="0.35">
      <c r="E1005" t="s">
        <v>51</v>
      </c>
    </row>
    <row r="1006" spans="5:5" x14ac:dyDescent="0.35">
      <c r="E1006" t="s">
        <v>51</v>
      </c>
    </row>
    <row r="1007" spans="5:5" x14ac:dyDescent="0.35">
      <c r="E1007" t="s">
        <v>51</v>
      </c>
    </row>
    <row r="1008" spans="5:5" x14ac:dyDescent="0.35">
      <c r="E1008" t="s">
        <v>51</v>
      </c>
    </row>
    <row r="1009" spans="5:5" x14ac:dyDescent="0.35">
      <c r="E1009" t="s">
        <v>51</v>
      </c>
    </row>
    <row r="1010" spans="5:5" x14ac:dyDescent="0.35">
      <c r="E1010" t="s">
        <v>52</v>
      </c>
    </row>
    <row r="1011" spans="5:5" x14ac:dyDescent="0.35">
      <c r="E1011" t="s">
        <v>52</v>
      </c>
    </row>
    <row r="1012" spans="5:5" x14ac:dyDescent="0.35">
      <c r="E1012" t="s">
        <v>52</v>
      </c>
    </row>
    <row r="1013" spans="5:5" x14ac:dyDescent="0.35">
      <c r="E1013" t="s">
        <v>52</v>
      </c>
    </row>
    <row r="1014" spans="5:5" x14ac:dyDescent="0.35">
      <c r="E1014" t="s">
        <v>52</v>
      </c>
    </row>
    <row r="1015" spans="5:5" x14ac:dyDescent="0.35">
      <c r="E1015" t="s">
        <v>52</v>
      </c>
    </row>
    <row r="1016" spans="5:5" x14ac:dyDescent="0.35">
      <c r="E1016" t="s">
        <v>52</v>
      </c>
    </row>
    <row r="1017" spans="5:5" x14ac:dyDescent="0.35">
      <c r="E1017" t="s">
        <v>52</v>
      </c>
    </row>
    <row r="1018" spans="5:5" x14ac:dyDescent="0.35">
      <c r="E1018" t="s">
        <v>52</v>
      </c>
    </row>
    <row r="1019" spans="5:5" x14ac:dyDescent="0.35">
      <c r="E1019" t="s">
        <v>52</v>
      </c>
    </row>
    <row r="1020" spans="5:5" x14ac:dyDescent="0.35">
      <c r="E1020" t="s">
        <v>52</v>
      </c>
    </row>
    <row r="1021" spans="5:5" x14ac:dyDescent="0.35">
      <c r="E1021" t="s">
        <v>52</v>
      </c>
    </row>
    <row r="1022" spans="5:5" x14ac:dyDescent="0.35">
      <c r="E1022" t="s">
        <v>52</v>
      </c>
    </row>
    <row r="1023" spans="5:5" x14ac:dyDescent="0.35">
      <c r="E1023" t="s">
        <v>52</v>
      </c>
    </row>
    <row r="1024" spans="5:5" x14ac:dyDescent="0.35">
      <c r="E1024" t="s">
        <v>52</v>
      </c>
    </row>
    <row r="1025" spans="5:5" x14ac:dyDescent="0.35">
      <c r="E1025" t="s">
        <v>52</v>
      </c>
    </row>
    <row r="1026" spans="5:5" x14ac:dyDescent="0.35">
      <c r="E1026" t="s">
        <v>52</v>
      </c>
    </row>
    <row r="1027" spans="5:5" x14ac:dyDescent="0.35">
      <c r="E1027" t="s">
        <v>52</v>
      </c>
    </row>
    <row r="1028" spans="5:5" x14ac:dyDescent="0.35">
      <c r="E1028" t="s">
        <v>52</v>
      </c>
    </row>
    <row r="1029" spans="5:5" x14ac:dyDescent="0.35">
      <c r="E1029" t="s">
        <v>52</v>
      </c>
    </row>
    <row r="1030" spans="5:5" x14ac:dyDescent="0.35">
      <c r="E1030" t="s">
        <v>52</v>
      </c>
    </row>
    <row r="1031" spans="5:5" x14ac:dyDescent="0.35">
      <c r="E1031" t="s">
        <v>52</v>
      </c>
    </row>
    <row r="1032" spans="5:5" x14ac:dyDescent="0.35">
      <c r="E1032" t="s">
        <v>52</v>
      </c>
    </row>
    <row r="1033" spans="5:5" x14ac:dyDescent="0.35">
      <c r="E1033" t="s">
        <v>52</v>
      </c>
    </row>
    <row r="1034" spans="5:5" x14ac:dyDescent="0.35">
      <c r="E1034" t="s">
        <v>52</v>
      </c>
    </row>
    <row r="1035" spans="5:5" x14ac:dyDescent="0.35">
      <c r="E1035" t="s">
        <v>52</v>
      </c>
    </row>
    <row r="1036" spans="5:5" x14ac:dyDescent="0.35">
      <c r="E1036" t="s">
        <v>52</v>
      </c>
    </row>
    <row r="1037" spans="5:5" x14ac:dyDescent="0.35">
      <c r="E1037" t="s">
        <v>52</v>
      </c>
    </row>
    <row r="1038" spans="5:5" x14ac:dyDescent="0.35">
      <c r="E1038" t="s">
        <v>52</v>
      </c>
    </row>
    <row r="1039" spans="5:5" x14ac:dyDescent="0.35">
      <c r="E1039" t="s">
        <v>52</v>
      </c>
    </row>
    <row r="1040" spans="5:5" x14ac:dyDescent="0.35">
      <c r="E1040" t="s">
        <v>52</v>
      </c>
    </row>
    <row r="1041" spans="5:5" x14ac:dyDescent="0.35">
      <c r="E1041" t="s">
        <v>52</v>
      </c>
    </row>
    <row r="1042" spans="5:5" x14ac:dyDescent="0.35">
      <c r="E1042" t="s">
        <v>52</v>
      </c>
    </row>
    <row r="1043" spans="5:5" x14ac:dyDescent="0.35">
      <c r="E1043" t="s">
        <v>52</v>
      </c>
    </row>
    <row r="1044" spans="5:5" x14ac:dyDescent="0.35">
      <c r="E1044" t="s">
        <v>52</v>
      </c>
    </row>
    <row r="1045" spans="5:5" x14ac:dyDescent="0.35">
      <c r="E1045" t="s">
        <v>52</v>
      </c>
    </row>
    <row r="1046" spans="5:5" x14ac:dyDescent="0.35">
      <c r="E1046" t="s">
        <v>52</v>
      </c>
    </row>
    <row r="1047" spans="5:5" x14ac:dyDescent="0.35">
      <c r="E1047" t="s">
        <v>52</v>
      </c>
    </row>
    <row r="1048" spans="5:5" x14ac:dyDescent="0.35">
      <c r="E1048" t="s">
        <v>52</v>
      </c>
    </row>
    <row r="1049" spans="5:5" x14ac:dyDescent="0.35">
      <c r="E1049" t="s">
        <v>52</v>
      </c>
    </row>
    <row r="1050" spans="5:5" x14ac:dyDescent="0.35">
      <c r="E1050" t="s">
        <v>52</v>
      </c>
    </row>
    <row r="1051" spans="5:5" x14ac:dyDescent="0.35">
      <c r="E1051" t="s">
        <v>52</v>
      </c>
    </row>
    <row r="1052" spans="5:5" x14ac:dyDescent="0.35">
      <c r="E1052" t="s">
        <v>52</v>
      </c>
    </row>
    <row r="1053" spans="5:5" x14ac:dyDescent="0.35">
      <c r="E1053" t="s">
        <v>52</v>
      </c>
    </row>
    <row r="1054" spans="5:5" x14ac:dyDescent="0.35">
      <c r="E1054" t="s">
        <v>52</v>
      </c>
    </row>
    <row r="1055" spans="5:5" x14ac:dyDescent="0.35">
      <c r="E1055" t="s">
        <v>52</v>
      </c>
    </row>
    <row r="1056" spans="5:5" x14ac:dyDescent="0.35">
      <c r="E1056" t="s">
        <v>52</v>
      </c>
    </row>
    <row r="1057" spans="5:5" x14ac:dyDescent="0.35">
      <c r="E1057" t="s">
        <v>52</v>
      </c>
    </row>
    <row r="1058" spans="5:5" x14ac:dyDescent="0.35">
      <c r="E1058" t="s">
        <v>52</v>
      </c>
    </row>
    <row r="1059" spans="5:5" x14ac:dyDescent="0.35">
      <c r="E1059" t="s">
        <v>52</v>
      </c>
    </row>
    <row r="1060" spans="5:5" x14ac:dyDescent="0.35">
      <c r="E1060" t="s">
        <v>52</v>
      </c>
    </row>
    <row r="1061" spans="5:5" x14ac:dyDescent="0.35">
      <c r="E1061" t="s">
        <v>52</v>
      </c>
    </row>
    <row r="1062" spans="5:5" x14ac:dyDescent="0.35">
      <c r="E1062" t="s">
        <v>52</v>
      </c>
    </row>
    <row r="1063" spans="5:5" x14ac:dyDescent="0.35">
      <c r="E1063" t="s">
        <v>52</v>
      </c>
    </row>
    <row r="1064" spans="5:5" x14ac:dyDescent="0.35">
      <c r="E1064" t="s">
        <v>52</v>
      </c>
    </row>
    <row r="1065" spans="5:5" x14ac:dyDescent="0.35">
      <c r="E1065" t="s">
        <v>52</v>
      </c>
    </row>
    <row r="1066" spans="5:5" x14ac:dyDescent="0.35">
      <c r="E1066" t="s">
        <v>52</v>
      </c>
    </row>
    <row r="1067" spans="5:5" x14ac:dyDescent="0.35">
      <c r="E1067" t="s">
        <v>52</v>
      </c>
    </row>
    <row r="1068" spans="5:5" x14ac:dyDescent="0.35">
      <c r="E1068" t="s">
        <v>52</v>
      </c>
    </row>
    <row r="1069" spans="5:5" x14ac:dyDescent="0.35">
      <c r="E1069" t="s">
        <v>52</v>
      </c>
    </row>
    <row r="1070" spans="5:5" x14ac:dyDescent="0.35">
      <c r="E1070" t="s">
        <v>52</v>
      </c>
    </row>
    <row r="1071" spans="5:5" x14ac:dyDescent="0.35">
      <c r="E1071" t="s">
        <v>52</v>
      </c>
    </row>
    <row r="1072" spans="5:5" x14ac:dyDescent="0.35">
      <c r="E1072" t="s">
        <v>52</v>
      </c>
    </row>
    <row r="1073" spans="5:5" x14ac:dyDescent="0.35">
      <c r="E1073" t="s">
        <v>52</v>
      </c>
    </row>
    <row r="1074" spans="5:5" x14ac:dyDescent="0.35">
      <c r="E1074" t="s">
        <v>52</v>
      </c>
    </row>
    <row r="1075" spans="5:5" x14ac:dyDescent="0.35">
      <c r="E1075" t="s">
        <v>52</v>
      </c>
    </row>
    <row r="1076" spans="5:5" x14ac:dyDescent="0.35">
      <c r="E1076" t="s">
        <v>52</v>
      </c>
    </row>
    <row r="1077" spans="5:5" x14ac:dyDescent="0.35">
      <c r="E1077" t="s">
        <v>52</v>
      </c>
    </row>
    <row r="1078" spans="5:5" x14ac:dyDescent="0.35">
      <c r="E1078" t="s">
        <v>52</v>
      </c>
    </row>
    <row r="1079" spans="5:5" x14ac:dyDescent="0.35">
      <c r="E1079" t="s">
        <v>52</v>
      </c>
    </row>
    <row r="1080" spans="5:5" x14ac:dyDescent="0.35">
      <c r="E1080" t="s">
        <v>52</v>
      </c>
    </row>
    <row r="1081" spans="5:5" x14ac:dyDescent="0.35">
      <c r="E1081" t="s">
        <v>52</v>
      </c>
    </row>
    <row r="1082" spans="5:5" x14ac:dyDescent="0.35">
      <c r="E1082" t="s">
        <v>52</v>
      </c>
    </row>
    <row r="1083" spans="5:5" x14ac:dyDescent="0.35">
      <c r="E1083" t="s">
        <v>52</v>
      </c>
    </row>
    <row r="1084" spans="5:5" x14ac:dyDescent="0.35">
      <c r="E1084" t="s">
        <v>52</v>
      </c>
    </row>
    <row r="1085" spans="5:5" x14ac:dyDescent="0.35">
      <c r="E1085" t="s">
        <v>52</v>
      </c>
    </row>
    <row r="1086" spans="5:5" x14ac:dyDescent="0.35">
      <c r="E1086" t="s">
        <v>52</v>
      </c>
    </row>
    <row r="1087" spans="5:5" x14ac:dyDescent="0.35">
      <c r="E1087" t="s">
        <v>52</v>
      </c>
    </row>
    <row r="1088" spans="5:5" x14ac:dyDescent="0.35">
      <c r="E1088" t="s">
        <v>52</v>
      </c>
    </row>
    <row r="1089" spans="5:5" x14ac:dyDescent="0.35">
      <c r="E1089" t="s">
        <v>52</v>
      </c>
    </row>
    <row r="1090" spans="5:5" x14ac:dyDescent="0.35">
      <c r="E1090" t="s">
        <v>52</v>
      </c>
    </row>
    <row r="1091" spans="5:5" x14ac:dyDescent="0.35">
      <c r="E1091" t="s">
        <v>52</v>
      </c>
    </row>
    <row r="1092" spans="5:5" x14ac:dyDescent="0.35">
      <c r="E1092" t="s">
        <v>52</v>
      </c>
    </row>
    <row r="1093" spans="5:5" x14ac:dyDescent="0.35">
      <c r="E1093" t="s">
        <v>52</v>
      </c>
    </row>
    <row r="1094" spans="5:5" x14ac:dyDescent="0.35">
      <c r="E1094" t="s">
        <v>52</v>
      </c>
    </row>
    <row r="1095" spans="5:5" x14ac:dyDescent="0.35">
      <c r="E1095" t="s">
        <v>52</v>
      </c>
    </row>
    <row r="1096" spans="5:5" x14ac:dyDescent="0.35">
      <c r="E1096" t="s">
        <v>52</v>
      </c>
    </row>
    <row r="1097" spans="5:5" x14ac:dyDescent="0.35">
      <c r="E1097" t="s">
        <v>52</v>
      </c>
    </row>
    <row r="1098" spans="5:5" x14ac:dyDescent="0.35">
      <c r="E1098" t="s">
        <v>52</v>
      </c>
    </row>
    <row r="1099" spans="5:5" x14ac:dyDescent="0.35">
      <c r="E1099" t="s">
        <v>52</v>
      </c>
    </row>
    <row r="1100" spans="5:5" x14ac:dyDescent="0.35">
      <c r="E1100" t="s">
        <v>52</v>
      </c>
    </row>
    <row r="1101" spans="5:5" x14ac:dyDescent="0.35">
      <c r="E1101" t="s">
        <v>52</v>
      </c>
    </row>
    <row r="1102" spans="5:5" x14ac:dyDescent="0.35">
      <c r="E1102" t="s">
        <v>52</v>
      </c>
    </row>
    <row r="1103" spans="5:5" x14ac:dyDescent="0.35">
      <c r="E1103" t="s">
        <v>52</v>
      </c>
    </row>
    <row r="1104" spans="5:5" x14ac:dyDescent="0.35">
      <c r="E1104" t="s">
        <v>52</v>
      </c>
    </row>
    <row r="1105" spans="5:5" x14ac:dyDescent="0.35">
      <c r="E1105" t="s">
        <v>52</v>
      </c>
    </row>
    <row r="1106" spans="5:5" x14ac:dyDescent="0.35">
      <c r="E1106" t="s">
        <v>52</v>
      </c>
    </row>
    <row r="1107" spans="5:5" x14ac:dyDescent="0.35">
      <c r="E1107" t="s">
        <v>52</v>
      </c>
    </row>
    <row r="1108" spans="5:5" x14ac:dyDescent="0.35">
      <c r="E1108" t="s">
        <v>52</v>
      </c>
    </row>
    <row r="1109" spans="5:5" x14ac:dyDescent="0.35">
      <c r="E1109" t="s">
        <v>52</v>
      </c>
    </row>
    <row r="1110" spans="5:5" x14ac:dyDescent="0.35">
      <c r="E1110" t="s">
        <v>52</v>
      </c>
    </row>
    <row r="1111" spans="5:5" x14ac:dyDescent="0.35">
      <c r="E1111" t="s">
        <v>52</v>
      </c>
    </row>
    <row r="1112" spans="5:5" x14ac:dyDescent="0.35">
      <c r="E1112" t="s">
        <v>52</v>
      </c>
    </row>
    <row r="1113" spans="5:5" x14ac:dyDescent="0.35">
      <c r="E1113" t="s">
        <v>52</v>
      </c>
    </row>
    <row r="1114" spans="5:5" x14ac:dyDescent="0.35">
      <c r="E1114" t="s">
        <v>52</v>
      </c>
    </row>
    <row r="1115" spans="5:5" x14ac:dyDescent="0.35">
      <c r="E1115" t="s">
        <v>52</v>
      </c>
    </row>
    <row r="1116" spans="5:5" x14ac:dyDescent="0.35">
      <c r="E1116" t="s">
        <v>52</v>
      </c>
    </row>
    <row r="1117" spans="5:5" x14ac:dyDescent="0.35">
      <c r="E1117" t="s">
        <v>52</v>
      </c>
    </row>
    <row r="1118" spans="5:5" x14ac:dyDescent="0.35">
      <c r="E1118" t="s">
        <v>52</v>
      </c>
    </row>
    <row r="1119" spans="5:5" x14ac:dyDescent="0.35">
      <c r="E1119" t="s">
        <v>52</v>
      </c>
    </row>
    <row r="1120" spans="5:5" x14ac:dyDescent="0.35">
      <c r="E1120" t="s">
        <v>52</v>
      </c>
    </row>
    <row r="1121" spans="5:5" x14ac:dyDescent="0.35">
      <c r="E1121" t="s">
        <v>52</v>
      </c>
    </row>
    <row r="1122" spans="5:5" x14ac:dyDescent="0.35">
      <c r="E1122" t="s">
        <v>52</v>
      </c>
    </row>
    <row r="1123" spans="5:5" x14ac:dyDescent="0.35">
      <c r="E1123" t="s">
        <v>52</v>
      </c>
    </row>
    <row r="1124" spans="5:5" x14ac:dyDescent="0.35">
      <c r="E1124" t="s">
        <v>52</v>
      </c>
    </row>
    <row r="1125" spans="5:5" x14ac:dyDescent="0.35">
      <c r="E1125" t="s">
        <v>52</v>
      </c>
    </row>
    <row r="1126" spans="5:5" x14ac:dyDescent="0.35">
      <c r="E1126" t="s">
        <v>52</v>
      </c>
    </row>
    <row r="1127" spans="5:5" x14ac:dyDescent="0.35">
      <c r="E1127" t="s">
        <v>52</v>
      </c>
    </row>
    <row r="1128" spans="5:5" x14ac:dyDescent="0.35">
      <c r="E1128" t="s">
        <v>52</v>
      </c>
    </row>
    <row r="1129" spans="5:5" x14ac:dyDescent="0.35">
      <c r="E1129" t="s">
        <v>52</v>
      </c>
    </row>
    <row r="1130" spans="5:5" x14ac:dyDescent="0.35">
      <c r="E1130" t="s">
        <v>52</v>
      </c>
    </row>
    <row r="1131" spans="5:5" x14ac:dyDescent="0.35">
      <c r="E1131" t="s">
        <v>52</v>
      </c>
    </row>
    <row r="1132" spans="5:5" x14ac:dyDescent="0.35">
      <c r="E1132" t="s">
        <v>52</v>
      </c>
    </row>
    <row r="1133" spans="5:5" x14ac:dyDescent="0.35">
      <c r="E1133" t="s">
        <v>52</v>
      </c>
    </row>
    <row r="1134" spans="5:5" x14ac:dyDescent="0.35">
      <c r="E1134" t="s">
        <v>52</v>
      </c>
    </row>
    <row r="1135" spans="5:5" x14ac:dyDescent="0.35">
      <c r="E1135" t="s">
        <v>52</v>
      </c>
    </row>
    <row r="1136" spans="5:5" x14ac:dyDescent="0.35">
      <c r="E1136" t="s">
        <v>52</v>
      </c>
    </row>
    <row r="1137" spans="5:5" x14ac:dyDescent="0.35">
      <c r="E1137" t="s">
        <v>52</v>
      </c>
    </row>
    <row r="1138" spans="5:5" x14ac:dyDescent="0.35">
      <c r="E1138" t="s">
        <v>52</v>
      </c>
    </row>
    <row r="1139" spans="5:5" x14ac:dyDescent="0.35">
      <c r="E1139" t="s">
        <v>52</v>
      </c>
    </row>
    <row r="1140" spans="5:5" x14ac:dyDescent="0.35">
      <c r="E1140" t="s">
        <v>52</v>
      </c>
    </row>
    <row r="1141" spans="5:5" x14ac:dyDescent="0.35">
      <c r="E1141" t="s">
        <v>52</v>
      </c>
    </row>
    <row r="1142" spans="5:5" x14ac:dyDescent="0.35">
      <c r="E1142" t="s">
        <v>52</v>
      </c>
    </row>
    <row r="1143" spans="5:5" x14ac:dyDescent="0.35">
      <c r="E1143" t="s">
        <v>52</v>
      </c>
    </row>
    <row r="1144" spans="5:5" x14ac:dyDescent="0.35">
      <c r="E1144" t="s">
        <v>52</v>
      </c>
    </row>
    <row r="1145" spans="5:5" x14ac:dyDescent="0.35">
      <c r="E1145" t="s">
        <v>52</v>
      </c>
    </row>
    <row r="1146" spans="5:5" x14ac:dyDescent="0.35">
      <c r="E1146" t="s">
        <v>52</v>
      </c>
    </row>
    <row r="1147" spans="5:5" x14ac:dyDescent="0.35">
      <c r="E1147" t="s">
        <v>52</v>
      </c>
    </row>
    <row r="1148" spans="5:5" x14ac:dyDescent="0.35">
      <c r="E1148" t="s">
        <v>52</v>
      </c>
    </row>
    <row r="1149" spans="5:5" x14ac:dyDescent="0.35">
      <c r="E1149" t="s">
        <v>52</v>
      </c>
    </row>
    <row r="1150" spans="5:5" x14ac:dyDescent="0.35">
      <c r="E1150" t="s">
        <v>52</v>
      </c>
    </row>
    <row r="1151" spans="5:5" x14ac:dyDescent="0.35">
      <c r="E1151" t="s">
        <v>52</v>
      </c>
    </row>
    <row r="1152" spans="5:5" x14ac:dyDescent="0.35">
      <c r="E1152" t="s">
        <v>52</v>
      </c>
    </row>
    <row r="1153" spans="5:5" x14ac:dyDescent="0.35">
      <c r="E1153" t="s">
        <v>52</v>
      </c>
    </row>
    <row r="1154" spans="5:5" x14ac:dyDescent="0.35">
      <c r="E1154" t="s">
        <v>52</v>
      </c>
    </row>
    <row r="1155" spans="5:5" x14ac:dyDescent="0.35">
      <c r="E1155" t="s">
        <v>52</v>
      </c>
    </row>
    <row r="1156" spans="5:5" x14ac:dyDescent="0.35">
      <c r="E1156" t="s">
        <v>52</v>
      </c>
    </row>
    <row r="1157" spans="5:5" x14ac:dyDescent="0.35">
      <c r="E1157" t="s">
        <v>52</v>
      </c>
    </row>
    <row r="1158" spans="5:5" x14ac:dyDescent="0.35">
      <c r="E1158" t="s">
        <v>52</v>
      </c>
    </row>
    <row r="1159" spans="5:5" x14ac:dyDescent="0.35">
      <c r="E1159" t="s">
        <v>52</v>
      </c>
    </row>
    <row r="1160" spans="5:5" x14ac:dyDescent="0.35">
      <c r="E1160" t="s">
        <v>52</v>
      </c>
    </row>
    <row r="1161" spans="5:5" x14ac:dyDescent="0.35">
      <c r="E1161" t="s">
        <v>52</v>
      </c>
    </row>
    <row r="1162" spans="5:5" x14ac:dyDescent="0.35">
      <c r="E1162" t="s">
        <v>52</v>
      </c>
    </row>
    <row r="1163" spans="5:5" x14ac:dyDescent="0.35">
      <c r="E1163" t="s">
        <v>52</v>
      </c>
    </row>
    <row r="1164" spans="5:5" x14ac:dyDescent="0.35">
      <c r="E1164" t="s">
        <v>52</v>
      </c>
    </row>
    <row r="1165" spans="5:5" x14ac:dyDescent="0.35">
      <c r="E1165" t="s">
        <v>52</v>
      </c>
    </row>
    <row r="1166" spans="5:5" x14ac:dyDescent="0.35">
      <c r="E1166" t="s">
        <v>52</v>
      </c>
    </row>
    <row r="1167" spans="5:5" x14ac:dyDescent="0.35">
      <c r="E1167" t="s">
        <v>52</v>
      </c>
    </row>
    <row r="1168" spans="5:5" x14ac:dyDescent="0.35">
      <c r="E1168" t="s">
        <v>52</v>
      </c>
    </row>
    <row r="1169" spans="5:5" x14ac:dyDescent="0.35">
      <c r="E1169" t="s">
        <v>52</v>
      </c>
    </row>
    <row r="1170" spans="5:5" x14ac:dyDescent="0.35">
      <c r="E1170" t="s">
        <v>52</v>
      </c>
    </row>
    <row r="1171" spans="5:5" x14ac:dyDescent="0.35">
      <c r="E1171" t="s">
        <v>52</v>
      </c>
    </row>
    <row r="1172" spans="5:5" x14ac:dyDescent="0.35">
      <c r="E1172" t="s">
        <v>52</v>
      </c>
    </row>
    <row r="1173" spans="5:5" x14ac:dyDescent="0.35">
      <c r="E1173" t="s">
        <v>52</v>
      </c>
    </row>
    <row r="1174" spans="5:5" x14ac:dyDescent="0.35">
      <c r="E1174" t="s">
        <v>52</v>
      </c>
    </row>
    <row r="1175" spans="5:5" x14ac:dyDescent="0.35">
      <c r="E1175" t="s">
        <v>52</v>
      </c>
    </row>
    <row r="1176" spans="5:5" x14ac:dyDescent="0.35">
      <c r="E1176" t="s">
        <v>52</v>
      </c>
    </row>
    <row r="1177" spans="5:5" x14ac:dyDescent="0.35">
      <c r="E1177" t="s">
        <v>52</v>
      </c>
    </row>
    <row r="1178" spans="5:5" x14ac:dyDescent="0.35">
      <c r="E1178" t="s">
        <v>52</v>
      </c>
    </row>
    <row r="1179" spans="5:5" x14ac:dyDescent="0.35">
      <c r="E1179" t="s">
        <v>52</v>
      </c>
    </row>
    <row r="1180" spans="5:5" x14ac:dyDescent="0.35">
      <c r="E1180" t="s">
        <v>52</v>
      </c>
    </row>
    <row r="1181" spans="5:5" x14ac:dyDescent="0.35">
      <c r="E1181" t="s">
        <v>52</v>
      </c>
    </row>
    <row r="1182" spans="5:5" x14ac:dyDescent="0.35">
      <c r="E1182" t="s">
        <v>52</v>
      </c>
    </row>
    <row r="1183" spans="5:5" x14ac:dyDescent="0.35">
      <c r="E1183" t="s">
        <v>52</v>
      </c>
    </row>
    <row r="1184" spans="5:5" x14ac:dyDescent="0.35">
      <c r="E1184" t="s">
        <v>52</v>
      </c>
    </row>
    <row r="1185" spans="5:5" x14ac:dyDescent="0.35">
      <c r="E1185" t="s">
        <v>52</v>
      </c>
    </row>
    <row r="1186" spans="5:5" x14ac:dyDescent="0.35">
      <c r="E1186" t="s">
        <v>52</v>
      </c>
    </row>
    <row r="1187" spans="5:5" x14ac:dyDescent="0.35">
      <c r="E1187" t="s">
        <v>52</v>
      </c>
    </row>
    <row r="1188" spans="5:5" x14ac:dyDescent="0.35">
      <c r="E1188" t="s">
        <v>52</v>
      </c>
    </row>
    <row r="1189" spans="5:5" x14ac:dyDescent="0.35">
      <c r="E1189" t="s">
        <v>52</v>
      </c>
    </row>
    <row r="1190" spans="5:5" x14ac:dyDescent="0.35">
      <c r="E1190" t="s">
        <v>52</v>
      </c>
    </row>
    <row r="1191" spans="5:5" x14ac:dyDescent="0.35">
      <c r="E1191" t="s">
        <v>52</v>
      </c>
    </row>
    <row r="1192" spans="5:5" x14ac:dyDescent="0.35">
      <c r="E1192" t="s">
        <v>52</v>
      </c>
    </row>
    <row r="1193" spans="5:5" x14ac:dyDescent="0.35">
      <c r="E1193" t="s">
        <v>52</v>
      </c>
    </row>
    <row r="1194" spans="5:5" x14ac:dyDescent="0.35">
      <c r="E1194" t="s">
        <v>52</v>
      </c>
    </row>
    <row r="1195" spans="5:5" x14ac:dyDescent="0.35">
      <c r="E1195" t="s">
        <v>52</v>
      </c>
    </row>
    <row r="1196" spans="5:5" x14ac:dyDescent="0.35">
      <c r="E1196" t="s">
        <v>52</v>
      </c>
    </row>
    <row r="1197" spans="5:5" x14ac:dyDescent="0.35">
      <c r="E1197" t="s">
        <v>52</v>
      </c>
    </row>
    <row r="1198" spans="5:5" x14ac:dyDescent="0.35">
      <c r="E1198" t="s">
        <v>52</v>
      </c>
    </row>
    <row r="1199" spans="5:5" x14ac:dyDescent="0.35">
      <c r="E1199" t="s">
        <v>52</v>
      </c>
    </row>
    <row r="1200" spans="5:5" x14ac:dyDescent="0.35">
      <c r="E1200" t="s">
        <v>52</v>
      </c>
    </row>
    <row r="1201" spans="5:5" x14ac:dyDescent="0.35">
      <c r="E1201" t="s">
        <v>52</v>
      </c>
    </row>
  </sheetData>
  <pageMargins left="0.7" right="0.7" top="0.75" bottom="0.75" header="0.3" footer="0.3"/>
  <pageSetup paperSize="9" orientation="portrait" verticalDpi="300" r:id="rId1"/>
  <drawing r:id="rId2"/>
  <legacyDrawing r:id="rId3"/>
  <controls>
    <mc:AlternateContent xmlns:mc="http://schemas.openxmlformats.org/markup-compatibility/2006">
      <mc:Choice Requires="x14">
        <control shapeId="217089" r:id="rId4" name="CommandButton1">
          <controlPr defaultSize="0" autoLine="0" r:id="rId5">
            <anchor moveWithCells="1">
              <from>
                <xdr:col>8</xdr:col>
                <xdr:colOff>279400</xdr:colOff>
                <xdr:row>2</xdr:row>
                <xdr:rowOff>127000</xdr:rowOff>
              </from>
              <to>
                <xdr:col>10</xdr:col>
                <xdr:colOff>342900</xdr:colOff>
                <xdr:row>6</xdr:row>
                <xdr:rowOff>69850</xdr:rowOff>
              </to>
            </anchor>
          </controlPr>
        </control>
      </mc:Choice>
      <mc:Fallback>
        <control shapeId="217089" r:id="rId4" name="CommandButton1"/>
      </mc:Fallback>
    </mc:AlternateContent>
    <mc:AlternateContent xmlns:mc="http://schemas.openxmlformats.org/markup-compatibility/2006">
      <mc:Choice Requires="x14">
        <control shapeId="217090" r:id="rId6" name="CommandButton2">
          <controlPr defaultSize="0" autoLine="0" r:id="rId7">
            <anchor moveWithCells="1">
              <from>
                <xdr:col>28</xdr:col>
                <xdr:colOff>222250</xdr:colOff>
                <xdr:row>10</xdr:row>
                <xdr:rowOff>88900</xdr:rowOff>
              </from>
              <to>
                <xdr:col>30</xdr:col>
                <xdr:colOff>400050</xdr:colOff>
                <xdr:row>14</xdr:row>
                <xdr:rowOff>31750</xdr:rowOff>
              </to>
            </anchor>
          </controlPr>
        </control>
      </mc:Choice>
      <mc:Fallback>
        <control shapeId="217090" r:id="rId6" name="CommandButton2"/>
      </mc:Fallback>
    </mc:AlternateContent>
    <mc:AlternateContent xmlns:mc="http://schemas.openxmlformats.org/markup-compatibility/2006">
      <mc:Choice Requires="x14">
        <control shapeId="217091" r:id="rId8" name="CommandButton3">
          <controlPr defaultSize="0" autoLine="0" r:id="rId9">
            <anchor moveWithCells="1">
              <from>
                <xdr:col>8</xdr:col>
                <xdr:colOff>412750</xdr:colOff>
                <xdr:row>15</xdr:row>
                <xdr:rowOff>152400</xdr:rowOff>
              </from>
              <to>
                <xdr:col>10</xdr:col>
                <xdr:colOff>590550</xdr:colOff>
                <xdr:row>19</xdr:row>
                <xdr:rowOff>38100</xdr:rowOff>
              </to>
            </anchor>
          </controlPr>
        </control>
      </mc:Choice>
      <mc:Fallback>
        <control shapeId="217091" r:id="rId8" name="CommandButton3"/>
      </mc:Fallback>
    </mc:AlternateContent>
  </contro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TE36"/>
  <sheetViews>
    <sheetView workbookViewId="0">
      <selection activeCell="F26" sqref="F26"/>
    </sheetView>
  </sheetViews>
  <sheetFormatPr defaultColWidth="8.81640625" defaultRowHeight="14.5" x14ac:dyDescent="0.35"/>
  <sheetData>
    <row r="1" spans="1:119" x14ac:dyDescent="0.35">
      <c r="A1" s="50" t="s">
        <v>101</v>
      </c>
    </row>
    <row r="2" spans="1:119" x14ac:dyDescent="0.35">
      <c r="A2" t="s">
        <v>174</v>
      </c>
      <c r="B2" t="s">
        <v>174</v>
      </c>
      <c r="C2" t="s">
        <v>174</v>
      </c>
      <c r="D2" t="s">
        <v>51</v>
      </c>
      <c r="E2" t="s">
        <v>51</v>
      </c>
      <c r="F2" t="s">
        <v>53</v>
      </c>
      <c r="G2" t="s">
        <v>53</v>
      </c>
      <c r="H2" t="s">
        <v>57</v>
      </c>
      <c r="I2" t="s">
        <v>50</v>
      </c>
      <c r="J2" t="s">
        <v>50</v>
      </c>
      <c r="K2" t="s">
        <v>54</v>
      </c>
      <c r="L2" t="s">
        <v>54</v>
      </c>
      <c r="M2" t="s">
        <v>49</v>
      </c>
      <c r="N2" t="s">
        <v>49</v>
      </c>
      <c r="O2" t="s">
        <v>55</v>
      </c>
      <c r="P2" t="s">
        <v>55</v>
      </c>
      <c r="Q2" t="s">
        <v>53</v>
      </c>
      <c r="R2" t="s">
        <v>53</v>
      </c>
      <c r="S2" t="s">
        <v>55</v>
      </c>
      <c r="T2" t="s">
        <v>55</v>
      </c>
      <c r="U2" t="s">
        <v>56</v>
      </c>
      <c r="V2" t="s">
        <v>56</v>
      </c>
      <c r="W2" t="s">
        <v>51</v>
      </c>
      <c r="X2" t="s">
        <v>51</v>
      </c>
      <c r="Y2" t="s">
        <v>57</v>
      </c>
      <c r="Z2" t="s">
        <v>57</v>
      </c>
      <c r="AA2" t="s">
        <v>53</v>
      </c>
      <c r="AB2" t="s">
        <v>53</v>
      </c>
      <c r="AC2" t="s">
        <v>49</v>
      </c>
      <c r="AD2" t="s">
        <v>49</v>
      </c>
      <c r="AE2" t="s">
        <v>50</v>
      </c>
      <c r="AF2" t="s">
        <v>50</v>
      </c>
      <c r="AG2" t="s">
        <v>50</v>
      </c>
      <c r="AH2" t="s">
        <v>174</v>
      </c>
      <c r="AI2" t="s">
        <v>66</v>
      </c>
      <c r="AJ2" t="s">
        <v>66</v>
      </c>
      <c r="AK2" t="s">
        <v>66</v>
      </c>
      <c r="AL2" t="s">
        <v>66</v>
      </c>
      <c r="AM2" t="s">
        <v>66</v>
      </c>
      <c r="AN2" t="s">
        <v>66</v>
      </c>
      <c r="AO2" t="s">
        <v>66</v>
      </c>
      <c r="AP2" t="s">
        <v>66</v>
      </c>
      <c r="AQ2" t="s">
        <v>66</v>
      </c>
      <c r="AR2" t="s">
        <v>174</v>
      </c>
      <c r="AS2" t="s">
        <v>55</v>
      </c>
      <c r="AT2" t="s">
        <v>55</v>
      </c>
      <c r="AU2" t="s">
        <v>53</v>
      </c>
      <c r="AV2" t="s">
        <v>53</v>
      </c>
      <c r="AW2" t="s">
        <v>50</v>
      </c>
      <c r="AX2" t="s">
        <v>50</v>
      </c>
      <c r="AY2" t="s">
        <v>56</v>
      </c>
      <c r="AZ2" t="s">
        <v>56</v>
      </c>
      <c r="BA2" t="s">
        <v>51</v>
      </c>
      <c r="BB2" t="s">
        <v>51</v>
      </c>
      <c r="BC2" t="s">
        <v>51</v>
      </c>
      <c r="BD2" t="s">
        <v>52</v>
      </c>
      <c r="BE2" t="s">
        <v>52</v>
      </c>
      <c r="BF2" t="s">
        <v>52</v>
      </c>
      <c r="BG2" t="s">
        <v>52</v>
      </c>
      <c r="BH2" t="s">
        <v>52</v>
      </c>
      <c r="BI2" t="s">
        <v>51</v>
      </c>
      <c r="BJ2" t="s">
        <v>51</v>
      </c>
      <c r="BK2" t="s">
        <v>51</v>
      </c>
      <c r="BL2" t="s">
        <v>49</v>
      </c>
      <c r="BM2" t="s">
        <v>49</v>
      </c>
      <c r="BN2" t="s">
        <v>54</v>
      </c>
      <c r="BO2" t="s">
        <v>66</v>
      </c>
      <c r="BP2" t="s">
        <v>66</v>
      </c>
      <c r="BQ2" t="s">
        <v>66</v>
      </c>
      <c r="BR2" t="s">
        <v>66</v>
      </c>
      <c r="BS2" t="s">
        <v>66</v>
      </c>
      <c r="BT2" t="s">
        <v>66</v>
      </c>
      <c r="BU2" t="s">
        <v>66</v>
      </c>
      <c r="BV2" t="s">
        <v>66</v>
      </c>
      <c r="BW2" t="s">
        <v>54</v>
      </c>
      <c r="BX2" t="s">
        <v>54</v>
      </c>
      <c r="BY2" t="s">
        <v>52</v>
      </c>
      <c r="BZ2" t="s">
        <v>52</v>
      </c>
      <c r="CA2" t="s">
        <v>49</v>
      </c>
      <c r="CB2" t="s">
        <v>52</v>
      </c>
      <c r="CC2" t="s">
        <v>52</v>
      </c>
      <c r="CD2" t="s">
        <v>52</v>
      </c>
      <c r="CE2" t="s">
        <v>54</v>
      </c>
      <c r="CF2" t="s">
        <v>54</v>
      </c>
      <c r="CG2" t="s">
        <v>51</v>
      </c>
      <c r="CH2" t="s">
        <v>51</v>
      </c>
      <c r="CI2" t="s">
        <v>51</v>
      </c>
      <c r="CJ2" t="s">
        <v>49</v>
      </c>
      <c r="CK2" t="s">
        <v>49</v>
      </c>
      <c r="CL2" t="s">
        <v>49</v>
      </c>
      <c r="CM2" t="s">
        <v>50</v>
      </c>
      <c r="CN2" t="s">
        <v>50</v>
      </c>
      <c r="CO2" t="s">
        <v>50</v>
      </c>
      <c r="CP2" t="s">
        <v>56</v>
      </c>
      <c r="CQ2" t="s">
        <v>56</v>
      </c>
      <c r="CR2" t="s">
        <v>53</v>
      </c>
      <c r="CS2" t="s">
        <v>53</v>
      </c>
      <c r="CT2" t="s">
        <v>53</v>
      </c>
      <c r="CU2" t="s">
        <v>52</v>
      </c>
      <c r="CV2" t="s">
        <v>52</v>
      </c>
      <c r="CW2" t="s">
        <v>50</v>
      </c>
      <c r="CX2" t="s">
        <v>50</v>
      </c>
      <c r="CY2" t="s">
        <v>49</v>
      </c>
      <c r="CZ2" t="s">
        <v>49</v>
      </c>
      <c r="DA2" t="s">
        <v>52</v>
      </c>
      <c r="DB2" t="s">
        <v>52</v>
      </c>
      <c r="DC2" t="s">
        <v>174</v>
      </c>
      <c r="DD2" t="s">
        <v>174</v>
      </c>
      <c r="DE2" t="s">
        <v>174</v>
      </c>
      <c r="DF2" t="s">
        <v>54</v>
      </c>
      <c r="DG2" t="s">
        <v>54</v>
      </c>
      <c r="DH2" t="s">
        <v>174</v>
      </c>
      <c r="DI2" t="s">
        <v>174</v>
      </c>
      <c r="DJ2" t="s">
        <v>174</v>
      </c>
      <c r="DK2" t="s">
        <v>55</v>
      </c>
      <c r="DL2" t="s">
        <v>55</v>
      </c>
      <c r="DM2" t="s">
        <v>56</v>
      </c>
    </row>
    <row r="3" spans="1:119" x14ac:dyDescent="0.35">
      <c r="A3" t="s">
        <v>51</v>
      </c>
      <c r="B3" t="s">
        <v>51</v>
      </c>
      <c r="C3" t="s">
        <v>51</v>
      </c>
      <c r="D3" t="s">
        <v>53</v>
      </c>
      <c r="E3" t="s">
        <v>53</v>
      </c>
      <c r="F3" t="s">
        <v>53</v>
      </c>
      <c r="G3" t="s">
        <v>174</v>
      </c>
      <c r="H3" t="s">
        <v>174</v>
      </c>
      <c r="I3" t="s">
        <v>174</v>
      </c>
      <c r="J3" t="s">
        <v>50</v>
      </c>
      <c r="K3" t="s">
        <v>50</v>
      </c>
      <c r="L3" t="s">
        <v>54</v>
      </c>
      <c r="M3" t="s">
        <v>54</v>
      </c>
      <c r="N3" t="s">
        <v>55</v>
      </c>
      <c r="O3" t="s">
        <v>55</v>
      </c>
      <c r="P3" t="s">
        <v>53</v>
      </c>
      <c r="Q3" t="s">
        <v>53</v>
      </c>
      <c r="R3" t="s">
        <v>51</v>
      </c>
      <c r="S3" t="s">
        <v>51</v>
      </c>
      <c r="T3" t="s">
        <v>55</v>
      </c>
      <c r="U3" t="s">
        <v>55</v>
      </c>
      <c r="V3" t="s">
        <v>57</v>
      </c>
      <c r="W3" t="s">
        <v>57</v>
      </c>
      <c r="X3" t="s">
        <v>49</v>
      </c>
      <c r="Y3" t="s">
        <v>49</v>
      </c>
      <c r="Z3" t="s">
        <v>50</v>
      </c>
      <c r="AA3" t="s">
        <v>50</v>
      </c>
      <c r="AB3" t="s">
        <v>53</v>
      </c>
      <c r="AC3" t="s">
        <v>53</v>
      </c>
      <c r="AD3" t="s">
        <v>55</v>
      </c>
      <c r="AE3" t="s">
        <v>55</v>
      </c>
      <c r="AF3" t="s">
        <v>50</v>
      </c>
      <c r="AG3" t="s">
        <v>50</v>
      </c>
      <c r="AH3" t="s">
        <v>50</v>
      </c>
      <c r="AI3" t="s">
        <v>66</v>
      </c>
      <c r="AJ3" t="s">
        <v>66</v>
      </c>
      <c r="AK3" t="s">
        <v>66</v>
      </c>
      <c r="AL3" t="s">
        <v>66</v>
      </c>
      <c r="AM3" t="s">
        <v>66</v>
      </c>
      <c r="AN3" t="s">
        <v>66</v>
      </c>
      <c r="AO3" t="s">
        <v>66</v>
      </c>
      <c r="AP3" t="s">
        <v>66</v>
      </c>
      <c r="AQ3" t="s">
        <v>66</v>
      </c>
      <c r="AR3" t="s">
        <v>56</v>
      </c>
      <c r="AS3" t="s">
        <v>56</v>
      </c>
      <c r="AT3" t="s">
        <v>56</v>
      </c>
      <c r="AU3" t="s">
        <v>51</v>
      </c>
      <c r="AV3" t="s">
        <v>51</v>
      </c>
      <c r="AW3" t="s">
        <v>52</v>
      </c>
      <c r="AX3" t="s">
        <v>52</v>
      </c>
      <c r="AY3" t="s">
        <v>174</v>
      </c>
      <c r="AZ3" t="s">
        <v>174</v>
      </c>
      <c r="BA3" t="s">
        <v>54</v>
      </c>
      <c r="BB3" t="s">
        <v>49</v>
      </c>
      <c r="BC3" t="s">
        <v>49</v>
      </c>
      <c r="BD3" t="s">
        <v>66</v>
      </c>
      <c r="BE3" t="s">
        <v>66</v>
      </c>
      <c r="BF3" t="s">
        <v>66</v>
      </c>
      <c r="BG3" t="s">
        <v>66</v>
      </c>
      <c r="BH3" t="s">
        <v>66</v>
      </c>
      <c r="BI3" t="s">
        <v>66</v>
      </c>
      <c r="BJ3" t="s">
        <v>66</v>
      </c>
      <c r="BK3" t="s">
        <v>66</v>
      </c>
      <c r="BL3" t="s">
        <v>52</v>
      </c>
      <c r="BM3" t="s">
        <v>52</v>
      </c>
      <c r="BN3" t="s">
        <v>51</v>
      </c>
      <c r="BO3" t="s">
        <v>51</v>
      </c>
      <c r="BP3" t="s">
        <v>51</v>
      </c>
      <c r="BQ3" t="s">
        <v>54</v>
      </c>
      <c r="BR3" t="s">
        <v>54</v>
      </c>
      <c r="BS3" t="s">
        <v>49</v>
      </c>
      <c r="BT3" t="s">
        <v>49</v>
      </c>
      <c r="BU3" t="s">
        <v>57</v>
      </c>
      <c r="BV3" t="s">
        <v>52</v>
      </c>
      <c r="BW3" t="s">
        <v>49</v>
      </c>
      <c r="BX3" t="s">
        <v>52</v>
      </c>
      <c r="BY3" t="s">
        <v>52</v>
      </c>
      <c r="BZ3" t="s">
        <v>52</v>
      </c>
      <c r="CA3" t="s">
        <v>54</v>
      </c>
      <c r="CB3" t="s">
        <v>54</v>
      </c>
      <c r="CC3" t="s">
        <v>51</v>
      </c>
      <c r="CD3" t="s">
        <v>51</v>
      </c>
      <c r="CE3" t="s">
        <v>49</v>
      </c>
      <c r="CF3" t="s">
        <v>49</v>
      </c>
      <c r="CG3" t="s">
        <v>49</v>
      </c>
      <c r="CH3" t="s">
        <v>50</v>
      </c>
      <c r="CI3" t="s">
        <v>50</v>
      </c>
      <c r="CJ3" t="s">
        <v>50</v>
      </c>
      <c r="CK3" t="s">
        <v>56</v>
      </c>
      <c r="CL3" t="s">
        <v>56</v>
      </c>
      <c r="CM3" t="s">
        <v>53</v>
      </c>
      <c r="CN3" t="s">
        <v>53</v>
      </c>
      <c r="CO3" t="s">
        <v>53</v>
      </c>
      <c r="CP3" t="s">
        <v>52</v>
      </c>
      <c r="CQ3" t="s">
        <v>52</v>
      </c>
      <c r="CR3" t="s">
        <v>50</v>
      </c>
      <c r="CS3" t="s">
        <v>50</v>
      </c>
      <c r="CT3" t="s">
        <v>49</v>
      </c>
      <c r="CU3" t="s">
        <v>49</v>
      </c>
      <c r="CV3" t="s">
        <v>52</v>
      </c>
      <c r="CW3" t="s">
        <v>52</v>
      </c>
      <c r="CX3" t="s">
        <v>174</v>
      </c>
      <c r="CY3" t="s">
        <v>174</v>
      </c>
      <c r="CZ3" t="s">
        <v>174</v>
      </c>
      <c r="DA3" t="s">
        <v>52</v>
      </c>
      <c r="DB3" t="s">
        <v>54</v>
      </c>
      <c r="DC3" t="s">
        <v>52</v>
      </c>
      <c r="DD3" t="s">
        <v>54</v>
      </c>
      <c r="DE3" t="s">
        <v>174</v>
      </c>
      <c r="DF3" t="s">
        <v>174</v>
      </c>
      <c r="DG3" t="s">
        <v>174</v>
      </c>
      <c r="DH3" t="s">
        <v>55</v>
      </c>
      <c r="DI3" t="s">
        <v>55</v>
      </c>
      <c r="DJ3" t="s">
        <v>51</v>
      </c>
      <c r="DK3" t="s">
        <v>51</v>
      </c>
      <c r="DL3" t="s">
        <v>56</v>
      </c>
    </row>
    <row r="4" spans="1:119" x14ac:dyDescent="0.35">
      <c r="A4" t="s">
        <v>51</v>
      </c>
      <c r="B4" t="s">
        <v>51</v>
      </c>
      <c r="C4" t="s">
        <v>51</v>
      </c>
      <c r="D4" t="s">
        <v>55</v>
      </c>
      <c r="E4" t="s">
        <v>55</v>
      </c>
      <c r="F4" t="s">
        <v>53</v>
      </c>
      <c r="G4" t="s">
        <v>53</v>
      </c>
      <c r="H4" t="s">
        <v>50</v>
      </c>
      <c r="I4" t="s">
        <v>50</v>
      </c>
      <c r="J4" t="s">
        <v>57</v>
      </c>
      <c r="K4" t="s">
        <v>54</v>
      </c>
      <c r="L4" t="s">
        <v>54</v>
      </c>
      <c r="M4" t="s">
        <v>55</v>
      </c>
      <c r="N4" t="s">
        <v>55</v>
      </c>
      <c r="O4" t="s">
        <v>53</v>
      </c>
      <c r="P4" t="s">
        <v>53</v>
      </c>
      <c r="Q4" t="s">
        <v>174</v>
      </c>
      <c r="R4" t="s">
        <v>174</v>
      </c>
      <c r="S4" t="s">
        <v>174</v>
      </c>
      <c r="T4" t="s">
        <v>51</v>
      </c>
      <c r="U4" t="s">
        <v>51</v>
      </c>
      <c r="V4" t="s">
        <v>57</v>
      </c>
      <c r="W4" t="s">
        <v>57</v>
      </c>
      <c r="X4" t="s">
        <v>53</v>
      </c>
      <c r="Y4" t="s">
        <v>53</v>
      </c>
      <c r="Z4" t="s">
        <v>49</v>
      </c>
      <c r="AA4" t="s">
        <v>49</v>
      </c>
      <c r="AB4" t="s">
        <v>50</v>
      </c>
      <c r="AC4" t="s">
        <v>50</v>
      </c>
      <c r="AD4" t="s">
        <v>55</v>
      </c>
      <c r="AE4" t="s">
        <v>55</v>
      </c>
      <c r="AF4" t="s">
        <v>53</v>
      </c>
      <c r="AG4" t="s">
        <v>53</v>
      </c>
      <c r="AH4" t="s">
        <v>50</v>
      </c>
      <c r="AI4" t="s">
        <v>66</v>
      </c>
      <c r="AJ4" t="s">
        <v>66</v>
      </c>
      <c r="AK4" t="s">
        <v>66</v>
      </c>
      <c r="AL4" t="s">
        <v>66</v>
      </c>
      <c r="AM4" t="s">
        <v>66</v>
      </c>
      <c r="AN4" t="s">
        <v>66</v>
      </c>
      <c r="AO4" t="s">
        <v>66</v>
      </c>
      <c r="AP4" t="s">
        <v>66</v>
      </c>
      <c r="AQ4" t="s">
        <v>66</v>
      </c>
      <c r="AR4" t="s">
        <v>50</v>
      </c>
      <c r="AS4" t="s">
        <v>50</v>
      </c>
      <c r="AT4" t="s">
        <v>56</v>
      </c>
      <c r="AU4" t="s">
        <v>56</v>
      </c>
      <c r="AV4" t="s">
        <v>51</v>
      </c>
      <c r="AW4" t="s">
        <v>51</v>
      </c>
      <c r="AX4" t="s">
        <v>52</v>
      </c>
      <c r="AY4" t="s">
        <v>52</v>
      </c>
      <c r="AZ4" t="s">
        <v>174</v>
      </c>
      <c r="BA4" t="s">
        <v>174</v>
      </c>
      <c r="BB4" t="s">
        <v>49</v>
      </c>
      <c r="BC4" t="s">
        <v>49</v>
      </c>
      <c r="BD4" t="s">
        <v>54</v>
      </c>
      <c r="BE4" t="s">
        <v>54</v>
      </c>
      <c r="BF4" t="s">
        <v>54</v>
      </c>
      <c r="BG4" t="s">
        <v>52</v>
      </c>
      <c r="BH4" t="s">
        <v>52</v>
      </c>
      <c r="BI4" t="s">
        <v>51</v>
      </c>
      <c r="BJ4" t="s">
        <v>51</v>
      </c>
      <c r="BK4" t="s">
        <v>51</v>
      </c>
      <c r="BL4" t="s">
        <v>55</v>
      </c>
      <c r="BM4" t="s">
        <v>55</v>
      </c>
      <c r="BN4" t="s">
        <v>66</v>
      </c>
      <c r="BO4" t="s">
        <v>66</v>
      </c>
      <c r="BP4" t="s">
        <v>66</v>
      </c>
      <c r="BQ4" t="s">
        <v>66</v>
      </c>
      <c r="BR4" t="s">
        <v>66</v>
      </c>
      <c r="BS4" t="s">
        <v>66</v>
      </c>
      <c r="BT4" t="s">
        <v>66</v>
      </c>
      <c r="BU4" t="s">
        <v>66</v>
      </c>
      <c r="BV4" t="s">
        <v>49</v>
      </c>
      <c r="BW4" t="s">
        <v>49</v>
      </c>
      <c r="BX4" t="s">
        <v>52</v>
      </c>
      <c r="BY4" t="s">
        <v>49</v>
      </c>
      <c r="BZ4" t="s">
        <v>56</v>
      </c>
      <c r="CA4" t="s">
        <v>56</v>
      </c>
      <c r="CB4" t="s">
        <v>52</v>
      </c>
      <c r="CC4" t="s">
        <v>52</v>
      </c>
      <c r="CD4" t="s">
        <v>52</v>
      </c>
      <c r="CE4" t="s">
        <v>54</v>
      </c>
      <c r="CF4" t="s">
        <v>54</v>
      </c>
      <c r="CG4" t="s">
        <v>51</v>
      </c>
      <c r="CH4" t="s">
        <v>51</v>
      </c>
      <c r="CI4" t="s">
        <v>49</v>
      </c>
      <c r="CJ4" t="s">
        <v>49</v>
      </c>
      <c r="CK4" t="s">
        <v>49</v>
      </c>
      <c r="CL4" t="s">
        <v>50</v>
      </c>
      <c r="CM4" t="s">
        <v>50</v>
      </c>
      <c r="CN4" t="s">
        <v>56</v>
      </c>
      <c r="CO4" t="s">
        <v>56</v>
      </c>
      <c r="CP4" t="s">
        <v>53</v>
      </c>
      <c r="CQ4" t="s">
        <v>53</v>
      </c>
      <c r="CR4" t="s">
        <v>53</v>
      </c>
      <c r="CS4" t="s">
        <v>52</v>
      </c>
      <c r="CT4" t="s">
        <v>52</v>
      </c>
      <c r="CU4" t="s">
        <v>50</v>
      </c>
      <c r="CV4" t="s">
        <v>50</v>
      </c>
      <c r="CW4" t="s">
        <v>50</v>
      </c>
      <c r="CX4" t="s">
        <v>49</v>
      </c>
      <c r="CY4" t="s">
        <v>49</v>
      </c>
      <c r="CZ4" t="s">
        <v>52</v>
      </c>
      <c r="DA4" t="s">
        <v>52</v>
      </c>
      <c r="DB4" t="s">
        <v>174</v>
      </c>
      <c r="DC4" t="s">
        <v>174</v>
      </c>
      <c r="DD4" t="s">
        <v>174</v>
      </c>
      <c r="DE4" t="s">
        <v>52</v>
      </c>
      <c r="DF4" t="s">
        <v>52</v>
      </c>
      <c r="DG4" t="s">
        <v>54</v>
      </c>
      <c r="DH4" t="s">
        <v>54</v>
      </c>
      <c r="DI4" t="s">
        <v>54</v>
      </c>
      <c r="DJ4" t="s">
        <v>174</v>
      </c>
      <c r="DK4" t="s">
        <v>174</v>
      </c>
      <c r="DL4" t="s">
        <v>174</v>
      </c>
      <c r="DM4" t="s">
        <v>51</v>
      </c>
      <c r="DN4" t="s">
        <v>51</v>
      </c>
      <c r="DO4" t="s">
        <v>56</v>
      </c>
    </row>
    <row r="5" spans="1:119" x14ac:dyDescent="0.35">
      <c r="A5" t="s">
        <v>174</v>
      </c>
      <c r="B5" t="s">
        <v>174</v>
      </c>
      <c r="C5" t="s">
        <v>174</v>
      </c>
      <c r="D5" t="s">
        <v>49</v>
      </c>
      <c r="E5" t="s">
        <v>49</v>
      </c>
      <c r="F5" t="s">
        <v>57</v>
      </c>
      <c r="G5" t="s">
        <v>51</v>
      </c>
      <c r="H5" t="s">
        <v>51</v>
      </c>
      <c r="I5" t="s">
        <v>51</v>
      </c>
      <c r="J5" t="s">
        <v>53</v>
      </c>
      <c r="K5" t="s">
        <v>53</v>
      </c>
      <c r="L5" t="s">
        <v>53</v>
      </c>
      <c r="M5" t="s">
        <v>66</v>
      </c>
      <c r="N5" t="s">
        <v>66</v>
      </c>
      <c r="O5" t="s">
        <v>66</v>
      </c>
      <c r="P5" t="s">
        <v>66</v>
      </c>
      <c r="Q5" t="s">
        <v>66</v>
      </c>
      <c r="R5" t="s">
        <v>66</v>
      </c>
      <c r="S5" t="s">
        <v>66</v>
      </c>
      <c r="T5" t="s">
        <v>66</v>
      </c>
      <c r="U5" t="s">
        <v>66</v>
      </c>
      <c r="V5" t="s">
        <v>50</v>
      </c>
      <c r="W5" t="s">
        <v>50</v>
      </c>
      <c r="X5" t="s">
        <v>54</v>
      </c>
      <c r="Y5" t="s">
        <v>54</v>
      </c>
      <c r="Z5" t="s">
        <v>55</v>
      </c>
      <c r="AA5" t="s">
        <v>55</v>
      </c>
      <c r="AB5" t="s">
        <v>53</v>
      </c>
      <c r="AC5" t="s">
        <v>53</v>
      </c>
      <c r="AD5" t="s">
        <v>55</v>
      </c>
      <c r="AE5" t="s">
        <v>55</v>
      </c>
      <c r="AF5" t="s">
        <v>51</v>
      </c>
      <c r="AG5" t="s">
        <v>51</v>
      </c>
      <c r="AH5" t="s">
        <v>57</v>
      </c>
      <c r="AI5" t="s">
        <v>57</v>
      </c>
      <c r="AJ5" t="s">
        <v>49</v>
      </c>
      <c r="AK5" t="s">
        <v>49</v>
      </c>
      <c r="AL5" t="s">
        <v>50</v>
      </c>
      <c r="AM5" t="s">
        <v>50</v>
      </c>
      <c r="AN5" t="s">
        <v>53</v>
      </c>
      <c r="AO5" t="s">
        <v>53</v>
      </c>
      <c r="AP5" t="s">
        <v>55</v>
      </c>
      <c r="AQ5" t="s">
        <v>55</v>
      </c>
      <c r="AR5" t="s">
        <v>50</v>
      </c>
      <c r="AS5" t="s">
        <v>50</v>
      </c>
      <c r="AT5" t="s">
        <v>50</v>
      </c>
      <c r="AU5" t="s">
        <v>52</v>
      </c>
      <c r="AV5" t="s">
        <v>52</v>
      </c>
      <c r="AW5" t="s">
        <v>174</v>
      </c>
      <c r="AX5" t="s">
        <v>174</v>
      </c>
      <c r="AY5" t="s">
        <v>54</v>
      </c>
      <c r="AZ5" t="s">
        <v>56</v>
      </c>
      <c r="BA5" t="s">
        <v>56</v>
      </c>
      <c r="BB5" t="s">
        <v>56</v>
      </c>
      <c r="BC5" t="s">
        <v>51</v>
      </c>
      <c r="BD5" t="s">
        <v>51</v>
      </c>
      <c r="BE5" t="s">
        <v>66</v>
      </c>
      <c r="BF5" t="s">
        <v>66</v>
      </c>
      <c r="BG5" t="s">
        <v>66</v>
      </c>
      <c r="BH5" t="s">
        <v>66</v>
      </c>
      <c r="BI5" t="s">
        <v>66</v>
      </c>
      <c r="BJ5" t="s">
        <v>66</v>
      </c>
      <c r="BK5" t="s">
        <v>66</v>
      </c>
      <c r="BL5" t="s">
        <v>54</v>
      </c>
      <c r="BM5" t="s">
        <v>54</v>
      </c>
      <c r="BN5" t="s">
        <v>52</v>
      </c>
      <c r="BO5" t="s">
        <v>52</v>
      </c>
      <c r="BP5" t="s">
        <v>51</v>
      </c>
      <c r="BQ5" t="s">
        <v>51</v>
      </c>
      <c r="BR5" t="s">
        <v>51</v>
      </c>
      <c r="BS5" t="s">
        <v>49</v>
      </c>
      <c r="BT5" t="s">
        <v>49</v>
      </c>
      <c r="BU5" t="s">
        <v>52</v>
      </c>
      <c r="BV5" t="s">
        <v>49</v>
      </c>
      <c r="BW5" t="s">
        <v>52</v>
      </c>
      <c r="BX5" t="s">
        <v>52</v>
      </c>
      <c r="BY5" t="s">
        <v>52</v>
      </c>
      <c r="BZ5" t="s">
        <v>54</v>
      </c>
      <c r="CA5" t="s">
        <v>54</v>
      </c>
      <c r="CB5" t="s">
        <v>51</v>
      </c>
      <c r="CC5" t="s">
        <v>51</v>
      </c>
      <c r="CD5" t="s">
        <v>49</v>
      </c>
      <c r="CE5" t="s">
        <v>49</v>
      </c>
      <c r="CF5" t="s">
        <v>49</v>
      </c>
      <c r="CG5" t="s">
        <v>50</v>
      </c>
      <c r="CH5" t="s">
        <v>50</v>
      </c>
      <c r="CI5" t="s">
        <v>50</v>
      </c>
      <c r="CJ5" t="s">
        <v>56</v>
      </c>
      <c r="CK5" t="s">
        <v>56</v>
      </c>
      <c r="CL5" t="s">
        <v>53</v>
      </c>
      <c r="CM5" t="s">
        <v>53</v>
      </c>
      <c r="CN5" t="s">
        <v>53</v>
      </c>
      <c r="CO5" t="s">
        <v>52</v>
      </c>
      <c r="CP5" t="s">
        <v>52</v>
      </c>
      <c r="CQ5" t="s">
        <v>50</v>
      </c>
      <c r="CR5" t="s">
        <v>50</v>
      </c>
      <c r="CS5" t="s">
        <v>49</v>
      </c>
      <c r="CT5" t="s">
        <v>49</v>
      </c>
      <c r="CU5" t="s">
        <v>52</v>
      </c>
      <c r="CV5" t="s">
        <v>52</v>
      </c>
      <c r="CW5" t="s">
        <v>174</v>
      </c>
      <c r="CX5" t="s">
        <v>174</v>
      </c>
      <c r="CY5" t="s">
        <v>174</v>
      </c>
      <c r="CZ5" t="s">
        <v>52</v>
      </c>
      <c r="DA5" t="s">
        <v>54</v>
      </c>
      <c r="DB5" t="s">
        <v>52</v>
      </c>
      <c r="DC5" t="s">
        <v>54</v>
      </c>
      <c r="DD5" t="s">
        <v>174</v>
      </c>
      <c r="DE5" t="s">
        <v>174</v>
      </c>
      <c r="DF5" t="s">
        <v>174</v>
      </c>
      <c r="DG5" t="s">
        <v>55</v>
      </c>
      <c r="DH5" t="s">
        <v>55</v>
      </c>
      <c r="DI5" t="s">
        <v>51</v>
      </c>
      <c r="DJ5" t="s">
        <v>51</v>
      </c>
      <c r="DK5" t="s">
        <v>56</v>
      </c>
    </row>
    <row r="6" spans="1:119" x14ac:dyDescent="0.35">
      <c r="A6" t="s">
        <v>49</v>
      </c>
      <c r="B6" t="s">
        <v>49</v>
      </c>
      <c r="C6" t="s">
        <v>51</v>
      </c>
      <c r="D6" t="s">
        <v>51</v>
      </c>
      <c r="E6" t="s">
        <v>51</v>
      </c>
      <c r="F6" t="s">
        <v>53</v>
      </c>
      <c r="G6" t="s">
        <v>53</v>
      </c>
      <c r="H6" t="s">
        <v>57</v>
      </c>
      <c r="I6" t="s">
        <v>55</v>
      </c>
      <c r="J6" t="s">
        <v>55</v>
      </c>
      <c r="K6" t="s">
        <v>174</v>
      </c>
      <c r="L6" t="s">
        <v>174</v>
      </c>
      <c r="M6" t="s">
        <v>66</v>
      </c>
      <c r="N6" t="s">
        <v>66</v>
      </c>
      <c r="O6" t="s">
        <v>66</v>
      </c>
      <c r="P6" t="s">
        <v>66</v>
      </c>
      <c r="Q6" t="s">
        <v>66</v>
      </c>
      <c r="R6" t="s">
        <v>66</v>
      </c>
      <c r="S6" t="s">
        <v>66</v>
      </c>
      <c r="T6" t="s">
        <v>66</v>
      </c>
      <c r="U6" t="s">
        <v>66</v>
      </c>
      <c r="V6" t="s">
        <v>174</v>
      </c>
      <c r="W6" t="s">
        <v>50</v>
      </c>
      <c r="X6" t="s">
        <v>50</v>
      </c>
      <c r="Y6" t="s">
        <v>54</v>
      </c>
      <c r="Z6" t="s">
        <v>54</v>
      </c>
      <c r="AA6" t="s">
        <v>55</v>
      </c>
      <c r="AB6" t="s">
        <v>55</v>
      </c>
      <c r="AC6" t="s">
        <v>53</v>
      </c>
      <c r="AD6" t="s">
        <v>53</v>
      </c>
      <c r="AE6" t="s">
        <v>56</v>
      </c>
      <c r="AF6" t="s">
        <v>56</v>
      </c>
      <c r="AG6" t="s">
        <v>51</v>
      </c>
      <c r="AH6" t="s">
        <v>51</v>
      </c>
      <c r="AI6" t="s">
        <v>57</v>
      </c>
      <c r="AJ6" t="s">
        <v>57</v>
      </c>
      <c r="AK6" t="s">
        <v>53</v>
      </c>
      <c r="AL6" t="s">
        <v>53</v>
      </c>
      <c r="AM6" t="s">
        <v>49</v>
      </c>
      <c r="AN6" t="s">
        <v>49</v>
      </c>
      <c r="AO6" t="s">
        <v>50</v>
      </c>
      <c r="AP6" t="s">
        <v>50</v>
      </c>
      <c r="AQ6" t="s">
        <v>50</v>
      </c>
      <c r="AR6" t="s">
        <v>55</v>
      </c>
      <c r="AS6" t="s">
        <v>55</v>
      </c>
      <c r="AT6" t="s">
        <v>53</v>
      </c>
      <c r="AU6" t="s">
        <v>53</v>
      </c>
      <c r="AV6" t="s">
        <v>50</v>
      </c>
      <c r="AW6" t="s">
        <v>50</v>
      </c>
      <c r="AX6" t="s">
        <v>174</v>
      </c>
      <c r="AY6" t="s">
        <v>174</v>
      </c>
      <c r="AZ6" t="s">
        <v>56</v>
      </c>
      <c r="BA6" t="s">
        <v>56</v>
      </c>
      <c r="BB6" t="s">
        <v>51</v>
      </c>
      <c r="BC6" t="s">
        <v>51</v>
      </c>
      <c r="BD6" t="s">
        <v>51</v>
      </c>
      <c r="BE6" t="s">
        <v>52</v>
      </c>
      <c r="BF6" t="s">
        <v>52</v>
      </c>
      <c r="BG6" t="s">
        <v>66</v>
      </c>
      <c r="BH6" t="s">
        <v>66</v>
      </c>
      <c r="BI6" t="s">
        <v>66</v>
      </c>
      <c r="BJ6" t="s">
        <v>66</v>
      </c>
      <c r="BK6" t="s">
        <v>66</v>
      </c>
      <c r="BL6" t="s">
        <v>66</v>
      </c>
      <c r="BM6" t="s">
        <v>51</v>
      </c>
      <c r="BN6" t="s">
        <v>51</v>
      </c>
      <c r="BO6" t="s">
        <v>54</v>
      </c>
      <c r="BP6" t="s">
        <v>54</v>
      </c>
      <c r="BQ6" t="s">
        <v>54</v>
      </c>
      <c r="BR6" t="s">
        <v>52</v>
      </c>
      <c r="BS6" t="s">
        <v>52</v>
      </c>
      <c r="BT6" t="s">
        <v>52</v>
      </c>
      <c r="BU6" t="s">
        <v>49</v>
      </c>
      <c r="BV6" t="s">
        <v>49</v>
      </c>
      <c r="BW6" t="s">
        <v>52</v>
      </c>
      <c r="BX6" t="s">
        <v>52</v>
      </c>
      <c r="BY6" t="s">
        <v>49</v>
      </c>
      <c r="BZ6" t="s">
        <v>52</v>
      </c>
      <c r="CA6" t="s">
        <v>52</v>
      </c>
      <c r="CB6" t="s">
        <v>52</v>
      </c>
      <c r="CC6" t="s">
        <v>54</v>
      </c>
      <c r="CD6" t="s">
        <v>54</v>
      </c>
      <c r="CE6" t="s">
        <v>51</v>
      </c>
      <c r="CF6" t="s">
        <v>51</v>
      </c>
      <c r="CG6" t="s">
        <v>51</v>
      </c>
      <c r="CH6" t="s">
        <v>49</v>
      </c>
      <c r="CI6" t="s">
        <v>49</v>
      </c>
      <c r="CJ6" t="s">
        <v>49</v>
      </c>
      <c r="CK6" t="s">
        <v>50</v>
      </c>
      <c r="CL6" t="s">
        <v>50</v>
      </c>
      <c r="CM6" t="s">
        <v>50</v>
      </c>
      <c r="CN6" t="s">
        <v>56</v>
      </c>
      <c r="CO6" t="s">
        <v>56</v>
      </c>
      <c r="CP6" t="s">
        <v>53</v>
      </c>
      <c r="CQ6" t="s">
        <v>53</v>
      </c>
      <c r="CR6" t="s">
        <v>53</v>
      </c>
      <c r="CS6" t="s">
        <v>52</v>
      </c>
      <c r="CT6" t="s">
        <v>52</v>
      </c>
      <c r="CU6" t="s">
        <v>50</v>
      </c>
      <c r="CV6" t="s">
        <v>50</v>
      </c>
      <c r="CW6" t="s">
        <v>49</v>
      </c>
      <c r="CX6" t="s">
        <v>49</v>
      </c>
      <c r="CY6" t="s">
        <v>52</v>
      </c>
      <c r="CZ6" t="s">
        <v>52</v>
      </c>
      <c r="DA6" t="s">
        <v>174</v>
      </c>
      <c r="DB6" t="s">
        <v>174</v>
      </c>
      <c r="DC6" t="s">
        <v>174</v>
      </c>
      <c r="DD6" t="s">
        <v>54</v>
      </c>
      <c r="DE6" t="s">
        <v>54</v>
      </c>
      <c r="DF6" t="s">
        <v>174</v>
      </c>
      <c r="DG6" t="s">
        <v>174</v>
      </c>
      <c r="DH6" t="s">
        <v>174</v>
      </c>
      <c r="DI6" t="s">
        <v>55</v>
      </c>
      <c r="DJ6" t="s">
        <v>55</v>
      </c>
      <c r="DK6" t="s">
        <v>56</v>
      </c>
    </row>
    <row r="8" spans="1:119" x14ac:dyDescent="0.35">
      <c r="A8" s="50" t="s">
        <v>102</v>
      </c>
    </row>
    <row r="9" spans="1:119" x14ac:dyDescent="0.35">
      <c r="A9" t="s">
        <v>51</v>
      </c>
      <c r="B9" t="s">
        <v>50</v>
      </c>
      <c r="C9" t="s">
        <v>50</v>
      </c>
      <c r="D9" t="s">
        <v>60</v>
      </c>
      <c r="E9" t="s">
        <v>60</v>
      </c>
      <c r="F9" t="s">
        <v>60</v>
      </c>
      <c r="G9" t="s">
        <v>52</v>
      </c>
      <c r="H9" t="s">
        <v>53</v>
      </c>
      <c r="I9" t="s">
        <v>174</v>
      </c>
      <c r="J9" t="s">
        <v>52</v>
      </c>
      <c r="K9" t="s">
        <v>107</v>
      </c>
      <c r="L9" t="s">
        <v>50</v>
      </c>
      <c r="M9" t="s">
        <v>53</v>
      </c>
      <c r="N9" t="s">
        <v>53</v>
      </c>
      <c r="O9" t="s">
        <v>49</v>
      </c>
      <c r="P9" t="s">
        <v>60</v>
      </c>
      <c r="Q9" t="s">
        <v>49</v>
      </c>
      <c r="R9" t="s">
        <v>54</v>
      </c>
      <c r="S9" t="s">
        <v>51</v>
      </c>
      <c r="T9" t="s">
        <v>53</v>
      </c>
      <c r="U9" t="s">
        <v>55</v>
      </c>
      <c r="V9" t="s">
        <v>174</v>
      </c>
      <c r="W9" t="s">
        <v>60</v>
      </c>
      <c r="X9" t="s">
        <v>60</v>
      </c>
      <c r="Y9" t="s">
        <v>54</v>
      </c>
      <c r="Z9" t="s">
        <v>54</v>
      </c>
      <c r="AA9" t="s">
        <v>56</v>
      </c>
      <c r="AB9" t="s">
        <v>107</v>
      </c>
      <c r="AC9" t="s">
        <v>50</v>
      </c>
      <c r="AD9" t="s">
        <v>51</v>
      </c>
      <c r="AE9" t="s">
        <v>49</v>
      </c>
      <c r="AF9" t="s">
        <v>49</v>
      </c>
      <c r="AG9" t="s">
        <v>174</v>
      </c>
      <c r="AH9" t="s">
        <v>60</v>
      </c>
      <c r="AI9" t="s">
        <v>60</v>
      </c>
      <c r="AJ9" t="s">
        <v>60</v>
      </c>
      <c r="AK9" t="s">
        <v>49</v>
      </c>
      <c r="AL9" t="s">
        <v>56</v>
      </c>
      <c r="AM9" t="s">
        <v>51</v>
      </c>
      <c r="AN9" t="s">
        <v>50</v>
      </c>
      <c r="AO9" t="s">
        <v>56</v>
      </c>
      <c r="AP9" t="s">
        <v>174</v>
      </c>
      <c r="AQ9" t="s">
        <v>174</v>
      </c>
      <c r="AR9" t="s">
        <v>54</v>
      </c>
      <c r="AS9" t="s">
        <v>60</v>
      </c>
      <c r="AT9" t="s">
        <v>52</v>
      </c>
      <c r="AU9" t="s">
        <v>52</v>
      </c>
      <c r="AV9" t="s">
        <v>53</v>
      </c>
      <c r="AW9" t="s">
        <v>174</v>
      </c>
      <c r="AX9" t="s">
        <v>55</v>
      </c>
      <c r="AY9" t="s">
        <v>52</v>
      </c>
      <c r="AZ9" t="s">
        <v>60</v>
      </c>
      <c r="BA9" t="s">
        <v>60</v>
      </c>
      <c r="BB9" t="s">
        <v>49</v>
      </c>
      <c r="BC9" t="s">
        <v>52</v>
      </c>
      <c r="BD9" t="s">
        <v>55</v>
      </c>
      <c r="BE9" t="s">
        <v>51</v>
      </c>
      <c r="BF9" t="s">
        <v>49</v>
      </c>
      <c r="BG9" t="s">
        <v>52</v>
      </c>
      <c r="BH9" t="s">
        <v>49</v>
      </c>
      <c r="BI9" t="s">
        <v>60</v>
      </c>
      <c r="BJ9" t="s">
        <v>50</v>
      </c>
      <c r="BK9" t="s">
        <v>50</v>
      </c>
      <c r="BL9" t="s">
        <v>52</v>
      </c>
      <c r="BM9" t="s">
        <v>52</v>
      </c>
      <c r="BN9" t="s">
        <v>50</v>
      </c>
      <c r="BO9" t="s">
        <v>51</v>
      </c>
      <c r="BP9" t="s">
        <v>60</v>
      </c>
      <c r="BQ9" t="s">
        <v>60</v>
      </c>
      <c r="BR9" t="s">
        <v>51</v>
      </c>
      <c r="BS9" t="s">
        <v>53</v>
      </c>
      <c r="BT9" t="s">
        <v>174</v>
      </c>
      <c r="BU9" t="s">
        <v>51</v>
      </c>
      <c r="BV9" t="s">
        <v>54</v>
      </c>
      <c r="BW9" t="s">
        <v>51</v>
      </c>
      <c r="BX9" t="s">
        <v>55</v>
      </c>
    </row>
    <row r="10" spans="1:119" x14ac:dyDescent="0.35">
      <c r="A10" t="s">
        <v>50</v>
      </c>
      <c r="B10" t="s">
        <v>51</v>
      </c>
      <c r="C10" t="s">
        <v>53</v>
      </c>
      <c r="D10" t="s">
        <v>60</v>
      </c>
      <c r="E10" t="s">
        <v>60</v>
      </c>
      <c r="F10" t="s">
        <v>60</v>
      </c>
      <c r="G10" t="s">
        <v>49</v>
      </c>
      <c r="H10" t="s">
        <v>174</v>
      </c>
      <c r="I10" t="s">
        <v>54</v>
      </c>
      <c r="J10" t="s">
        <v>174</v>
      </c>
      <c r="K10" t="s">
        <v>52</v>
      </c>
      <c r="L10" t="s">
        <v>53</v>
      </c>
      <c r="M10" t="s">
        <v>52</v>
      </c>
      <c r="N10" t="s">
        <v>52</v>
      </c>
      <c r="O10" t="s">
        <v>55</v>
      </c>
      <c r="P10" t="s">
        <v>60</v>
      </c>
      <c r="Q10" t="s">
        <v>174</v>
      </c>
      <c r="R10" t="s">
        <v>49</v>
      </c>
      <c r="S10" t="s">
        <v>52</v>
      </c>
      <c r="T10" t="s">
        <v>56</v>
      </c>
      <c r="U10" t="s">
        <v>55</v>
      </c>
      <c r="V10" t="s">
        <v>53</v>
      </c>
      <c r="W10" t="s">
        <v>60</v>
      </c>
      <c r="X10" t="s">
        <v>60</v>
      </c>
      <c r="Y10" t="s">
        <v>51</v>
      </c>
      <c r="Z10" t="s">
        <v>174</v>
      </c>
      <c r="AA10" t="s">
        <v>52</v>
      </c>
      <c r="AB10" t="s">
        <v>54</v>
      </c>
      <c r="AC10" t="s">
        <v>174</v>
      </c>
      <c r="AD10" t="s">
        <v>49</v>
      </c>
      <c r="AE10" t="s">
        <v>51</v>
      </c>
      <c r="AF10" t="s">
        <v>49</v>
      </c>
      <c r="AG10" t="s">
        <v>52</v>
      </c>
      <c r="AH10" t="s">
        <v>60</v>
      </c>
      <c r="AI10" t="s">
        <v>60</v>
      </c>
      <c r="AJ10" t="s">
        <v>60</v>
      </c>
      <c r="AK10" t="s">
        <v>49</v>
      </c>
      <c r="AL10" t="s">
        <v>51</v>
      </c>
      <c r="AM10" t="s">
        <v>51</v>
      </c>
      <c r="AN10" t="s">
        <v>49</v>
      </c>
      <c r="AO10" t="s">
        <v>52</v>
      </c>
      <c r="AP10" t="s">
        <v>54</v>
      </c>
      <c r="AQ10" t="s">
        <v>49</v>
      </c>
      <c r="AR10" t="s">
        <v>174</v>
      </c>
      <c r="AS10" t="s">
        <v>60</v>
      </c>
      <c r="AT10" t="s">
        <v>56</v>
      </c>
      <c r="AU10" t="s">
        <v>56</v>
      </c>
      <c r="AV10" t="s">
        <v>50</v>
      </c>
      <c r="AW10" t="s">
        <v>52</v>
      </c>
      <c r="AX10" t="s">
        <v>50</v>
      </c>
      <c r="AY10" t="s">
        <v>53</v>
      </c>
      <c r="AZ10" t="s">
        <v>60</v>
      </c>
      <c r="BA10" t="s">
        <v>60</v>
      </c>
      <c r="BB10" t="s">
        <v>51</v>
      </c>
      <c r="BC10" t="s">
        <v>50</v>
      </c>
      <c r="BD10" t="s">
        <v>55</v>
      </c>
      <c r="BE10" t="s">
        <v>53</v>
      </c>
      <c r="BF10" t="s">
        <v>50</v>
      </c>
      <c r="BG10" t="s">
        <v>53</v>
      </c>
      <c r="BH10" t="s">
        <v>51</v>
      </c>
      <c r="BI10" t="s">
        <v>60</v>
      </c>
      <c r="BJ10" t="s">
        <v>50</v>
      </c>
      <c r="BK10" t="s">
        <v>55</v>
      </c>
      <c r="BL10" t="s">
        <v>54</v>
      </c>
      <c r="BM10" t="s">
        <v>51</v>
      </c>
      <c r="BN10" t="s">
        <v>51</v>
      </c>
      <c r="BO10" t="s">
        <v>52</v>
      </c>
      <c r="BP10" t="s">
        <v>60</v>
      </c>
      <c r="BQ10" t="s">
        <v>60</v>
      </c>
      <c r="BR10" t="s">
        <v>174</v>
      </c>
      <c r="BS10" t="s">
        <v>54</v>
      </c>
      <c r="BT10" t="s">
        <v>50</v>
      </c>
      <c r="BU10" t="s">
        <v>50</v>
      </c>
      <c r="BV10" t="s">
        <v>49</v>
      </c>
    </row>
    <row r="11" spans="1:119" x14ac:dyDescent="0.35">
      <c r="A11" t="s">
        <v>174</v>
      </c>
      <c r="B11" t="s">
        <v>52</v>
      </c>
      <c r="C11" t="s">
        <v>49</v>
      </c>
      <c r="D11" t="s">
        <v>60</v>
      </c>
      <c r="E11" t="s">
        <v>60</v>
      </c>
      <c r="F11" t="s">
        <v>60</v>
      </c>
      <c r="G11" t="s">
        <v>50</v>
      </c>
      <c r="H11" t="s">
        <v>52</v>
      </c>
      <c r="I11" t="s">
        <v>54</v>
      </c>
      <c r="J11" t="s">
        <v>51</v>
      </c>
      <c r="K11" t="s">
        <v>174</v>
      </c>
      <c r="L11" t="s">
        <v>52</v>
      </c>
      <c r="M11" t="s">
        <v>50</v>
      </c>
      <c r="N11" t="s">
        <v>53</v>
      </c>
      <c r="O11" t="s">
        <v>53</v>
      </c>
      <c r="P11" t="s">
        <v>60</v>
      </c>
      <c r="Q11" t="s">
        <v>50</v>
      </c>
      <c r="R11" t="s">
        <v>54</v>
      </c>
      <c r="S11" t="s">
        <v>52</v>
      </c>
      <c r="T11" t="s">
        <v>49</v>
      </c>
      <c r="U11" t="s">
        <v>52</v>
      </c>
      <c r="V11" t="s">
        <v>54</v>
      </c>
      <c r="W11" t="s">
        <v>60</v>
      </c>
      <c r="X11" t="s">
        <v>60</v>
      </c>
      <c r="Y11" t="s">
        <v>52</v>
      </c>
      <c r="Z11" t="s">
        <v>54</v>
      </c>
      <c r="AA11" t="s">
        <v>174</v>
      </c>
      <c r="AB11" t="s">
        <v>174</v>
      </c>
      <c r="AC11" t="s">
        <v>51</v>
      </c>
      <c r="AD11" t="s">
        <v>51</v>
      </c>
      <c r="AE11" t="s">
        <v>174</v>
      </c>
      <c r="AF11" t="s">
        <v>53</v>
      </c>
      <c r="AG11" t="s">
        <v>49</v>
      </c>
      <c r="AH11" t="s">
        <v>60</v>
      </c>
      <c r="AI11" t="s">
        <v>60</v>
      </c>
      <c r="AJ11" t="s">
        <v>60</v>
      </c>
      <c r="AK11" t="s">
        <v>174</v>
      </c>
      <c r="AL11" t="s">
        <v>53</v>
      </c>
      <c r="AM11" t="s">
        <v>51</v>
      </c>
      <c r="AN11" t="s">
        <v>55</v>
      </c>
      <c r="AO11" t="s">
        <v>52</v>
      </c>
      <c r="AP11" t="s">
        <v>49</v>
      </c>
      <c r="AQ11" t="s">
        <v>51</v>
      </c>
      <c r="AR11" t="s">
        <v>51</v>
      </c>
      <c r="AS11" t="s">
        <v>60</v>
      </c>
      <c r="AT11" t="s">
        <v>50</v>
      </c>
      <c r="AU11" t="s">
        <v>50</v>
      </c>
      <c r="AV11" t="s">
        <v>50</v>
      </c>
      <c r="AW11" t="s">
        <v>51</v>
      </c>
      <c r="AX11" t="s">
        <v>51</v>
      </c>
      <c r="AY11" t="s">
        <v>56</v>
      </c>
      <c r="AZ11" t="s">
        <v>60</v>
      </c>
      <c r="BA11" t="s">
        <v>60</v>
      </c>
      <c r="BB11" t="s">
        <v>49</v>
      </c>
      <c r="BC11" t="s">
        <v>52</v>
      </c>
      <c r="BD11" t="s">
        <v>53</v>
      </c>
      <c r="BE11" t="s">
        <v>49</v>
      </c>
      <c r="BF11" t="s">
        <v>53</v>
      </c>
      <c r="BG11" t="s">
        <v>55</v>
      </c>
      <c r="BH11" t="s">
        <v>55</v>
      </c>
      <c r="BI11" t="s">
        <v>60</v>
      </c>
      <c r="BJ11" t="s">
        <v>49</v>
      </c>
      <c r="BK11" t="s">
        <v>49</v>
      </c>
      <c r="BL11" t="s">
        <v>50</v>
      </c>
      <c r="BM11" t="s">
        <v>174</v>
      </c>
      <c r="BN11" t="s">
        <v>54</v>
      </c>
      <c r="BO11" t="s">
        <v>52</v>
      </c>
      <c r="BP11" t="s">
        <v>60</v>
      </c>
      <c r="BQ11" t="s">
        <v>60</v>
      </c>
      <c r="BR11" t="s">
        <v>56</v>
      </c>
      <c r="BS11" t="s">
        <v>51</v>
      </c>
      <c r="BT11" t="s">
        <v>50</v>
      </c>
      <c r="BU11" t="s">
        <v>56</v>
      </c>
      <c r="BV11" t="s">
        <v>55</v>
      </c>
    </row>
    <row r="12" spans="1:119" x14ac:dyDescent="0.35">
      <c r="A12" t="s">
        <v>174</v>
      </c>
      <c r="B12" t="s">
        <v>54</v>
      </c>
      <c r="C12" t="s">
        <v>56</v>
      </c>
      <c r="D12" t="s">
        <v>60</v>
      </c>
      <c r="E12" t="s">
        <v>60</v>
      </c>
      <c r="F12" t="s">
        <v>60</v>
      </c>
      <c r="G12" t="s">
        <v>52</v>
      </c>
      <c r="H12" t="s">
        <v>55</v>
      </c>
      <c r="I12" t="s">
        <v>53</v>
      </c>
      <c r="J12" t="s">
        <v>50</v>
      </c>
      <c r="K12" t="s">
        <v>51</v>
      </c>
      <c r="L12" t="s">
        <v>53</v>
      </c>
      <c r="M12" t="s">
        <v>174</v>
      </c>
      <c r="N12" t="s">
        <v>49</v>
      </c>
      <c r="O12" t="s">
        <v>52</v>
      </c>
      <c r="P12" t="s">
        <v>60</v>
      </c>
      <c r="Q12" t="s">
        <v>52</v>
      </c>
      <c r="R12" t="s">
        <v>52</v>
      </c>
      <c r="S12" t="s">
        <v>174</v>
      </c>
      <c r="T12" t="s">
        <v>49</v>
      </c>
      <c r="U12" t="s">
        <v>51</v>
      </c>
      <c r="V12" t="s">
        <v>50</v>
      </c>
      <c r="W12" t="s">
        <v>60</v>
      </c>
      <c r="X12" t="s">
        <v>60</v>
      </c>
      <c r="Y12" t="s">
        <v>174</v>
      </c>
      <c r="Z12" t="s">
        <v>55</v>
      </c>
      <c r="AA12" t="s">
        <v>50</v>
      </c>
      <c r="AB12" t="s">
        <v>52</v>
      </c>
      <c r="AC12" t="s">
        <v>51</v>
      </c>
      <c r="AD12" t="s">
        <v>53</v>
      </c>
      <c r="AE12" t="s">
        <v>49</v>
      </c>
      <c r="AF12" t="s">
        <v>49</v>
      </c>
      <c r="AG12" t="s">
        <v>53</v>
      </c>
      <c r="AH12" t="s">
        <v>60</v>
      </c>
      <c r="AI12" t="s">
        <v>60</v>
      </c>
      <c r="AJ12" t="s">
        <v>60</v>
      </c>
      <c r="AK12" t="s">
        <v>51</v>
      </c>
      <c r="AL12" t="s">
        <v>49</v>
      </c>
      <c r="AM12" t="s">
        <v>174</v>
      </c>
      <c r="AN12" t="s">
        <v>50</v>
      </c>
      <c r="AO12" t="s">
        <v>54</v>
      </c>
      <c r="AP12" t="s">
        <v>51</v>
      </c>
      <c r="AQ12" t="s">
        <v>49</v>
      </c>
      <c r="AR12" t="s">
        <v>49</v>
      </c>
      <c r="AS12" t="s">
        <v>60</v>
      </c>
      <c r="AT12" t="s">
        <v>174</v>
      </c>
      <c r="AU12" t="s">
        <v>56</v>
      </c>
      <c r="AV12" t="s">
        <v>53</v>
      </c>
      <c r="AW12" t="s">
        <v>50</v>
      </c>
      <c r="AX12" t="s">
        <v>51</v>
      </c>
      <c r="AY12" t="s">
        <v>55</v>
      </c>
      <c r="AZ12" t="s">
        <v>60</v>
      </c>
      <c r="BA12" t="s">
        <v>60</v>
      </c>
      <c r="BB12" t="s">
        <v>53</v>
      </c>
      <c r="BC12" t="s">
        <v>174</v>
      </c>
      <c r="BD12" t="s">
        <v>50</v>
      </c>
      <c r="BE12" t="s">
        <v>50</v>
      </c>
      <c r="BF12" t="s">
        <v>50</v>
      </c>
      <c r="BG12" t="s">
        <v>51</v>
      </c>
      <c r="BH12" t="s">
        <v>54</v>
      </c>
      <c r="BI12" t="s">
        <v>60</v>
      </c>
      <c r="BJ12" t="s">
        <v>52</v>
      </c>
      <c r="BK12" t="s">
        <v>51</v>
      </c>
      <c r="BL12" t="s">
        <v>49</v>
      </c>
      <c r="BM12" t="s">
        <v>52</v>
      </c>
      <c r="BN12" t="s">
        <v>51</v>
      </c>
      <c r="BO12" t="s">
        <v>55</v>
      </c>
      <c r="BP12" t="s">
        <v>60</v>
      </c>
      <c r="BQ12" t="s">
        <v>60</v>
      </c>
      <c r="BR12" t="s">
        <v>54</v>
      </c>
      <c r="BS12" t="s">
        <v>56</v>
      </c>
      <c r="BT12" t="s">
        <v>52</v>
      </c>
      <c r="BU12" t="s">
        <v>52</v>
      </c>
      <c r="BV12" t="s">
        <v>54</v>
      </c>
    </row>
    <row r="13" spans="1:119" x14ac:dyDescent="0.35">
      <c r="A13" t="s">
        <v>49</v>
      </c>
      <c r="B13" t="s">
        <v>52</v>
      </c>
      <c r="C13" t="s">
        <v>52</v>
      </c>
      <c r="D13" t="s">
        <v>60</v>
      </c>
      <c r="E13" t="s">
        <v>60</v>
      </c>
      <c r="F13" t="s">
        <v>60</v>
      </c>
      <c r="G13" t="s">
        <v>51</v>
      </c>
      <c r="H13" t="s">
        <v>50</v>
      </c>
      <c r="I13" t="s">
        <v>174</v>
      </c>
      <c r="J13" t="s">
        <v>49</v>
      </c>
      <c r="K13" t="s">
        <v>107</v>
      </c>
      <c r="L13" t="s">
        <v>56</v>
      </c>
      <c r="M13" t="s">
        <v>53</v>
      </c>
      <c r="N13" t="s">
        <v>53</v>
      </c>
      <c r="O13" t="s">
        <v>174</v>
      </c>
      <c r="P13" t="s">
        <v>60</v>
      </c>
      <c r="Q13" t="s">
        <v>50</v>
      </c>
      <c r="R13" t="s">
        <v>54</v>
      </c>
      <c r="S13" t="s">
        <v>174</v>
      </c>
      <c r="T13" t="s">
        <v>49</v>
      </c>
      <c r="U13" t="s">
        <v>51</v>
      </c>
      <c r="V13" t="s">
        <v>174</v>
      </c>
      <c r="W13" t="s">
        <v>60</v>
      </c>
      <c r="X13" t="s">
        <v>60</v>
      </c>
      <c r="Y13" t="s">
        <v>53</v>
      </c>
      <c r="Z13" t="s">
        <v>51</v>
      </c>
      <c r="AA13" t="s">
        <v>51</v>
      </c>
      <c r="AB13" t="s">
        <v>107</v>
      </c>
      <c r="AC13" t="s">
        <v>54</v>
      </c>
      <c r="AD13" t="s">
        <v>52</v>
      </c>
      <c r="AE13" t="s">
        <v>52</v>
      </c>
      <c r="AF13" t="s">
        <v>53</v>
      </c>
      <c r="AG13" t="s">
        <v>56</v>
      </c>
      <c r="AH13" t="s">
        <v>60</v>
      </c>
      <c r="AI13" t="s">
        <v>60</v>
      </c>
      <c r="AJ13" t="s">
        <v>60</v>
      </c>
      <c r="AK13" t="s">
        <v>55</v>
      </c>
      <c r="AL13" t="s">
        <v>50</v>
      </c>
      <c r="AM13" t="s">
        <v>51</v>
      </c>
      <c r="AN13" t="s">
        <v>49</v>
      </c>
      <c r="AO13" t="s">
        <v>49</v>
      </c>
      <c r="AP13" t="s">
        <v>50</v>
      </c>
      <c r="AQ13" t="s">
        <v>50</v>
      </c>
      <c r="AR13" t="s">
        <v>49</v>
      </c>
      <c r="AS13" t="s">
        <v>60</v>
      </c>
      <c r="AT13" t="s">
        <v>174</v>
      </c>
      <c r="AU13" t="s">
        <v>52</v>
      </c>
      <c r="AV13" t="s">
        <v>56</v>
      </c>
      <c r="AW13" t="s">
        <v>54</v>
      </c>
      <c r="AX13" t="s">
        <v>53</v>
      </c>
      <c r="AY13" t="s">
        <v>52</v>
      </c>
      <c r="AZ13" t="s">
        <v>60</v>
      </c>
      <c r="BA13" t="s">
        <v>60</v>
      </c>
      <c r="BB13" t="s">
        <v>50</v>
      </c>
      <c r="BC13" t="s">
        <v>51</v>
      </c>
      <c r="BD13" t="s">
        <v>52</v>
      </c>
      <c r="BE13" t="s">
        <v>174</v>
      </c>
      <c r="BF13" t="s">
        <v>50</v>
      </c>
      <c r="BG13" t="s">
        <v>55</v>
      </c>
      <c r="BH13" t="s">
        <v>49</v>
      </c>
      <c r="BI13" t="s">
        <v>60</v>
      </c>
      <c r="BJ13" t="s">
        <v>52</v>
      </c>
      <c r="BK13" t="s">
        <v>53</v>
      </c>
      <c r="BL13" t="s">
        <v>51</v>
      </c>
      <c r="BM13" t="s">
        <v>54</v>
      </c>
      <c r="BN13" t="s">
        <v>52</v>
      </c>
      <c r="BO13" t="s">
        <v>50</v>
      </c>
      <c r="BP13" t="s">
        <v>60</v>
      </c>
      <c r="BQ13" t="s">
        <v>60</v>
      </c>
      <c r="BR13" t="s">
        <v>55</v>
      </c>
      <c r="BS13" t="s">
        <v>55</v>
      </c>
      <c r="BT13" t="s">
        <v>51</v>
      </c>
      <c r="BU13" t="s">
        <v>174</v>
      </c>
      <c r="BV13" t="s">
        <v>51</v>
      </c>
      <c r="BW13" t="s">
        <v>54</v>
      </c>
      <c r="BX13" t="s">
        <v>49</v>
      </c>
    </row>
    <row r="15" spans="1:119" x14ac:dyDescent="0.35">
      <c r="A15" s="50" t="s">
        <v>126</v>
      </c>
    </row>
    <row r="16" spans="1:119" x14ac:dyDescent="0.35">
      <c r="A16" t="s">
        <v>51</v>
      </c>
      <c r="B16" t="s">
        <v>50</v>
      </c>
      <c r="C16" t="s">
        <v>50</v>
      </c>
      <c r="D16" t="s">
        <v>60</v>
      </c>
      <c r="E16" t="s">
        <v>52</v>
      </c>
      <c r="F16" t="s">
        <v>53</v>
      </c>
      <c r="G16" t="s">
        <v>174</v>
      </c>
      <c r="H16" t="s">
        <v>52</v>
      </c>
      <c r="I16" t="s">
        <v>60</v>
      </c>
      <c r="J16" t="s">
        <v>60</v>
      </c>
      <c r="K16" t="s">
        <v>60</v>
      </c>
      <c r="L16" t="s">
        <v>50</v>
      </c>
      <c r="M16" t="s">
        <v>53</v>
      </c>
      <c r="N16" t="s">
        <v>53</v>
      </c>
      <c r="O16" t="s">
        <v>49</v>
      </c>
      <c r="P16" t="s">
        <v>49</v>
      </c>
      <c r="Q16" t="s">
        <v>60</v>
      </c>
      <c r="R16" t="s">
        <v>60</v>
      </c>
      <c r="S16" t="s">
        <v>54</v>
      </c>
      <c r="T16" t="s">
        <v>51</v>
      </c>
      <c r="U16" t="s">
        <v>53</v>
      </c>
      <c r="V16" t="s">
        <v>55</v>
      </c>
      <c r="W16" t="s">
        <v>174</v>
      </c>
      <c r="X16" t="s">
        <v>54</v>
      </c>
      <c r="Y16" t="s">
        <v>54</v>
      </c>
      <c r="Z16" t="s">
        <v>56</v>
      </c>
      <c r="AA16" t="s">
        <v>60</v>
      </c>
      <c r="AB16" t="s">
        <v>50</v>
      </c>
      <c r="AC16" t="s">
        <v>51</v>
      </c>
      <c r="AD16" t="s">
        <v>49</v>
      </c>
      <c r="AE16" t="s">
        <v>49</v>
      </c>
      <c r="AF16" t="s">
        <v>174</v>
      </c>
      <c r="AG16" t="s">
        <v>49</v>
      </c>
      <c r="AH16" t="s">
        <v>56</v>
      </c>
      <c r="AI16" t="s">
        <v>60</v>
      </c>
      <c r="AJ16" t="s">
        <v>60</v>
      </c>
      <c r="AK16" t="s">
        <v>51</v>
      </c>
      <c r="AL16" t="s">
        <v>50</v>
      </c>
      <c r="AM16" t="s">
        <v>56</v>
      </c>
      <c r="AN16" t="s">
        <v>174</v>
      </c>
      <c r="AO16" t="s">
        <v>60</v>
      </c>
      <c r="AP16" t="s">
        <v>60</v>
      </c>
      <c r="AQ16" t="s">
        <v>60</v>
      </c>
      <c r="AR16" t="s">
        <v>174</v>
      </c>
      <c r="AS16" t="s">
        <v>54</v>
      </c>
      <c r="AT16" t="s">
        <v>52</v>
      </c>
      <c r="AU16" t="s">
        <v>52</v>
      </c>
      <c r="AV16" t="s">
        <v>60</v>
      </c>
      <c r="AW16" t="s">
        <v>53</v>
      </c>
      <c r="AX16" t="s">
        <v>174</v>
      </c>
      <c r="AY16" t="s">
        <v>55</v>
      </c>
      <c r="AZ16" t="s">
        <v>52</v>
      </c>
      <c r="BA16" t="s">
        <v>49</v>
      </c>
      <c r="BB16" t="s">
        <v>52</v>
      </c>
      <c r="BC16" t="s">
        <v>55</v>
      </c>
      <c r="BD16" t="s">
        <v>60</v>
      </c>
      <c r="BE16" t="s">
        <v>60</v>
      </c>
      <c r="BF16" t="s">
        <v>51</v>
      </c>
      <c r="BG16" t="s">
        <v>49</v>
      </c>
      <c r="BH16" t="s">
        <v>52</v>
      </c>
      <c r="BI16" t="s">
        <v>49</v>
      </c>
      <c r="BJ16" t="s">
        <v>50</v>
      </c>
      <c r="BK16" t="s">
        <v>50</v>
      </c>
      <c r="BL16" t="s">
        <v>60</v>
      </c>
      <c r="BM16" t="s">
        <v>60</v>
      </c>
      <c r="BN16" t="s">
        <v>52</v>
      </c>
      <c r="BO16" t="s">
        <v>52</v>
      </c>
      <c r="BP16" t="s">
        <v>50</v>
      </c>
      <c r="BQ16" t="s">
        <v>51</v>
      </c>
      <c r="BR16" t="s">
        <v>51</v>
      </c>
      <c r="BS16" t="s">
        <v>53</v>
      </c>
      <c r="BT16" t="s">
        <v>60</v>
      </c>
      <c r="BU16" t="s">
        <v>174</v>
      </c>
      <c r="BV16" t="s">
        <v>51</v>
      </c>
      <c r="BW16" t="s">
        <v>54</v>
      </c>
      <c r="BX16" t="s">
        <v>51</v>
      </c>
      <c r="BY16" t="s">
        <v>55</v>
      </c>
    </row>
    <row r="17" spans="1:1201" x14ac:dyDescent="0.35">
      <c r="A17" t="s">
        <v>50</v>
      </c>
      <c r="B17" t="s">
        <v>51</v>
      </c>
      <c r="C17" t="s">
        <v>53</v>
      </c>
      <c r="D17" t="s">
        <v>60</v>
      </c>
      <c r="E17" t="s">
        <v>49</v>
      </c>
      <c r="F17" t="s">
        <v>174</v>
      </c>
      <c r="G17" t="s">
        <v>54</v>
      </c>
      <c r="H17" t="s">
        <v>174</v>
      </c>
      <c r="I17" t="s">
        <v>60</v>
      </c>
      <c r="J17" t="s">
        <v>60</v>
      </c>
      <c r="K17" t="s">
        <v>60</v>
      </c>
      <c r="L17" t="s">
        <v>52</v>
      </c>
      <c r="M17" t="s">
        <v>53</v>
      </c>
      <c r="N17" t="s">
        <v>52</v>
      </c>
      <c r="O17" t="s">
        <v>52</v>
      </c>
      <c r="P17" t="s">
        <v>55</v>
      </c>
      <c r="Q17" t="s">
        <v>60</v>
      </c>
      <c r="R17" t="s">
        <v>60</v>
      </c>
      <c r="S17" t="s">
        <v>174</v>
      </c>
      <c r="T17" t="s">
        <v>49</v>
      </c>
      <c r="U17" t="s">
        <v>52</v>
      </c>
      <c r="V17" t="s">
        <v>56</v>
      </c>
      <c r="W17" t="s">
        <v>55</v>
      </c>
      <c r="X17" t="s">
        <v>53</v>
      </c>
      <c r="Y17" t="s">
        <v>51</v>
      </c>
      <c r="Z17" t="s">
        <v>174</v>
      </c>
      <c r="AA17" t="s">
        <v>60</v>
      </c>
      <c r="AB17" t="s">
        <v>52</v>
      </c>
      <c r="AC17" t="s">
        <v>54</v>
      </c>
      <c r="AD17" t="s">
        <v>174</v>
      </c>
      <c r="AE17" t="s">
        <v>49</v>
      </c>
      <c r="AF17" t="s">
        <v>51</v>
      </c>
      <c r="AG17" t="s">
        <v>49</v>
      </c>
      <c r="AH17" t="s">
        <v>52</v>
      </c>
      <c r="AI17" t="s">
        <v>60</v>
      </c>
      <c r="AJ17" t="s">
        <v>60</v>
      </c>
      <c r="AK17" t="s">
        <v>49</v>
      </c>
      <c r="AL17" t="s">
        <v>51</v>
      </c>
      <c r="AM17" t="s">
        <v>51</v>
      </c>
      <c r="AN17" t="s">
        <v>49</v>
      </c>
      <c r="AO17" t="s">
        <v>60</v>
      </c>
      <c r="AP17" t="s">
        <v>60</v>
      </c>
      <c r="AQ17" t="s">
        <v>60</v>
      </c>
      <c r="AR17" t="s">
        <v>52</v>
      </c>
      <c r="AS17" t="s">
        <v>54</v>
      </c>
      <c r="AT17" t="s">
        <v>49</v>
      </c>
      <c r="AU17" t="s">
        <v>174</v>
      </c>
      <c r="AV17" t="s">
        <v>60</v>
      </c>
      <c r="AW17" t="s">
        <v>56</v>
      </c>
      <c r="AX17" t="s">
        <v>56</v>
      </c>
      <c r="AY17" t="s">
        <v>50</v>
      </c>
      <c r="AZ17" t="s">
        <v>52</v>
      </c>
      <c r="BA17" t="s">
        <v>50</v>
      </c>
      <c r="BB17" t="s">
        <v>53</v>
      </c>
      <c r="BC17" t="s">
        <v>51</v>
      </c>
      <c r="BD17" t="s">
        <v>60</v>
      </c>
      <c r="BE17" t="s">
        <v>60</v>
      </c>
      <c r="BF17" t="s">
        <v>50</v>
      </c>
      <c r="BG17" t="s">
        <v>55</v>
      </c>
      <c r="BH17" t="s">
        <v>53</v>
      </c>
      <c r="BI17" t="s">
        <v>50</v>
      </c>
      <c r="BJ17" t="s">
        <v>53</v>
      </c>
      <c r="BK17" t="s">
        <v>51</v>
      </c>
      <c r="BL17" t="s">
        <v>60</v>
      </c>
      <c r="BM17" t="s">
        <v>60</v>
      </c>
      <c r="BN17" t="s">
        <v>50</v>
      </c>
      <c r="BO17" t="s">
        <v>55</v>
      </c>
      <c r="BP17" t="s">
        <v>54</v>
      </c>
      <c r="BQ17" t="s">
        <v>51</v>
      </c>
      <c r="BR17" t="s">
        <v>51</v>
      </c>
      <c r="BS17" t="s">
        <v>52</v>
      </c>
      <c r="BT17" t="s">
        <v>60</v>
      </c>
      <c r="BU17" t="s">
        <v>174</v>
      </c>
      <c r="BV17" t="s">
        <v>54</v>
      </c>
      <c r="BW17" t="s">
        <v>50</v>
      </c>
      <c r="BX17" t="s">
        <v>50</v>
      </c>
      <c r="BY17" t="s">
        <v>49</v>
      </c>
    </row>
    <row r="18" spans="1:1201" x14ac:dyDescent="0.35">
      <c r="A18" t="s">
        <v>174</v>
      </c>
      <c r="B18" t="s">
        <v>52</v>
      </c>
      <c r="C18" t="s">
        <v>49</v>
      </c>
      <c r="D18" t="s">
        <v>60</v>
      </c>
      <c r="E18" t="s">
        <v>50</v>
      </c>
      <c r="F18" t="s">
        <v>52</v>
      </c>
      <c r="G18" t="s">
        <v>54</v>
      </c>
      <c r="H18" t="s">
        <v>51</v>
      </c>
      <c r="I18" t="s">
        <v>60</v>
      </c>
      <c r="J18" t="s">
        <v>60</v>
      </c>
      <c r="K18" t="s">
        <v>60</v>
      </c>
      <c r="L18" t="s">
        <v>174</v>
      </c>
      <c r="M18" t="s">
        <v>52</v>
      </c>
      <c r="N18" t="s">
        <v>50</v>
      </c>
      <c r="O18" t="s">
        <v>53</v>
      </c>
      <c r="P18" t="s">
        <v>53</v>
      </c>
      <c r="Q18" t="s">
        <v>60</v>
      </c>
      <c r="R18" t="s">
        <v>60</v>
      </c>
      <c r="S18" t="s">
        <v>50</v>
      </c>
      <c r="T18" t="s">
        <v>54</v>
      </c>
      <c r="U18" t="s">
        <v>52</v>
      </c>
      <c r="V18" t="s">
        <v>49</v>
      </c>
      <c r="W18" t="s">
        <v>52</v>
      </c>
      <c r="X18" t="s">
        <v>54</v>
      </c>
      <c r="Y18" t="s">
        <v>52</v>
      </c>
      <c r="Z18" t="s">
        <v>54</v>
      </c>
      <c r="AA18" t="s">
        <v>60</v>
      </c>
      <c r="AB18" t="s">
        <v>174</v>
      </c>
      <c r="AC18" t="s">
        <v>174</v>
      </c>
      <c r="AD18" t="s">
        <v>51</v>
      </c>
      <c r="AE18" t="s">
        <v>51</v>
      </c>
      <c r="AF18" t="s">
        <v>174</v>
      </c>
      <c r="AG18" t="s">
        <v>53</v>
      </c>
      <c r="AH18" t="s">
        <v>49</v>
      </c>
      <c r="AI18" t="s">
        <v>60</v>
      </c>
      <c r="AJ18" t="s">
        <v>60</v>
      </c>
      <c r="AK18" t="s">
        <v>174</v>
      </c>
      <c r="AL18" t="s">
        <v>53</v>
      </c>
      <c r="AM18" t="s">
        <v>51</v>
      </c>
      <c r="AN18" t="s">
        <v>55</v>
      </c>
      <c r="AO18" t="s">
        <v>60</v>
      </c>
      <c r="AP18" t="s">
        <v>60</v>
      </c>
      <c r="AQ18" t="s">
        <v>60</v>
      </c>
      <c r="AR18" t="s">
        <v>52</v>
      </c>
      <c r="AS18" t="s">
        <v>49</v>
      </c>
      <c r="AT18" t="s">
        <v>51</v>
      </c>
      <c r="AU18" t="s">
        <v>51</v>
      </c>
      <c r="AV18" t="s">
        <v>60</v>
      </c>
      <c r="AW18" t="s">
        <v>50</v>
      </c>
      <c r="AX18" t="s">
        <v>50</v>
      </c>
      <c r="AY18" t="s">
        <v>50</v>
      </c>
      <c r="AZ18" t="s">
        <v>51</v>
      </c>
      <c r="BA18" t="s">
        <v>51</v>
      </c>
      <c r="BB18" t="s">
        <v>56</v>
      </c>
      <c r="BC18" t="s">
        <v>49</v>
      </c>
      <c r="BD18" t="s">
        <v>60</v>
      </c>
      <c r="BE18" t="s">
        <v>60</v>
      </c>
      <c r="BF18" t="s">
        <v>52</v>
      </c>
      <c r="BG18" t="s">
        <v>53</v>
      </c>
      <c r="BH18" t="s">
        <v>49</v>
      </c>
      <c r="BI18" t="s">
        <v>53</v>
      </c>
      <c r="BJ18" t="s">
        <v>55</v>
      </c>
      <c r="BK18" t="s">
        <v>55</v>
      </c>
      <c r="BL18" t="s">
        <v>60</v>
      </c>
      <c r="BM18" t="s">
        <v>60</v>
      </c>
      <c r="BN18" t="s">
        <v>49</v>
      </c>
      <c r="BO18" t="s">
        <v>49</v>
      </c>
      <c r="BP18" t="s">
        <v>50</v>
      </c>
      <c r="BQ18" t="s">
        <v>174</v>
      </c>
      <c r="BR18" t="s">
        <v>54</v>
      </c>
      <c r="BS18" t="s">
        <v>52</v>
      </c>
      <c r="BT18" t="s">
        <v>60</v>
      </c>
      <c r="BU18" t="s">
        <v>56</v>
      </c>
      <c r="BV18" t="s">
        <v>51</v>
      </c>
      <c r="BW18" t="s">
        <v>50</v>
      </c>
      <c r="BX18" t="s">
        <v>56</v>
      </c>
      <c r="BY18" t="s">
        <v>55</v>
      </c>
    </row>
    <row r="19" spans="1:1201" x14ac:dyDescent="0.35">
      <c r="A19" t="s">
        <v>174</v>
      </c>
      <c r="B19" t="s">
        <v>54</v>
      </c>
      <c r="C19" t="s">
        <v>56</v>
      </c>
      <c r="D19" t="s">
        <v>60</v>
      </c>
      <c r="E19" t="s">
        <v>52</v>
      </c>
      <c r="F19" t="s">
        <v>55</v>
      </c>
      <c r="G19" t="s">
        <v>53</v>
      </c>
      <c r="H19" t="s">
        <v>50</v>
      </c>
      <c r="I19" t="s">
        <v>60</v>
      </c>
      <c r="J19" t="s">
        <v>60</v>
      </c>
      <c r="K19" t="s">
        <v>60</v>
      </c>
      <c r="L19" t="s">
        <v>51</v>
      </c>
      <c r="M19" t="s">
        <v>53</v>
      </c>
      <c r="N19" t="s">
        <v>174</v>
      </c>
      <c r="O19" t="s">
        <v>49</v>
      </c>
      <c r="P19" t="s">
        <v>52</v>
      </c>
      <c r="Q19" t="s">
        <v>60</v>
      </c>
      <c r="R19" t="s">
        <v>60</v>
      </c>
      <c r="S19" t="s">
        <v>52</v>
      </c>
      <c r="T19" t="s">
        <v>52</v>
      </c>
      <c r="U19" t="s">
        <v>174</v>
      </c>
      <c r="V19" t="s">
        <v>49</v>
      </c>
      <c r="W19" t="s">
        <v>51</v>
      </c>
      <c r="X19" t="s">
        <v>50</v>
      </c>
      <c r="Y19" t="s">
        <v>174</v>
      </c>
      <c r="Z19" t="s">
        <v>55</v>
      </c>
      <c r="AA19" t="s">
        <v>60</v>
      </c>
      <c r="AB19" t="s">
        <v>50</v>
      </c>
      <c r="AC19" t="s">
        <v>52</v>
      </c>
      <c r="AD19" t="s">
        <v>51</v>
      </c>
      <c r="AE19" t="s">
        <v>53</v>
      </c>
      <c r="AF19" t="s">
        <v>49</v>
      </c>
      <c r="AG19" t="s">
        <v>49</v>
      </c>
      <c r="AH19" t="s">
        <v>53</v>
      </c>
      <c r="AI19" t="s">
        <v>60</v>
      </c>
      <c r="AJ19" t="s">
        <v>60</v>
      </c>
      <c r="AK19" t="s">
        <v>51</v>
      </c>
      <c r="AL19" t="s">
        <v>49</v>
      </c>
      <c r="AM19" t="s">
        <v>174</v>
      </c>
      <c r="AN19" t="s">
        <v>50</v>
      </c>
      <c r="AO19" t="s">
        <v>60</v>
      </c>
      <c r="AP19" t="s">
        <v>60</v>
      </c>
      <c r="AQ19" t="s">
        <v>60</v>
      </c>
      <c r="AR19" t="s">
        <v>54</v>
      </c>
      <c r="AS19" t="s">
        <v>51</v>
      </c>
      <c r="AT19" t="s">
        <v>49</v>
      </c>
      <c r="AU19" t="s">
        <v>49</v>
      </c>
      <c r="AV19" t="s">
        <v>60</v>
      </c>
      <c r="AW19" t="s">
        <v>174</v>
      </c>
      <c r="AX19" t="s">
        <v>56</v>
      </c>
      <c r="AY19" t="s">
        <v>53</v>
      </c>
      <c r="AZ19" t="s">
        <v>50</v>
      </c>
      <c r="BA19" t="s">
        <v>51</v>
      </c>
      <c r="BB19" t="s">
        <v>55</v>
      </c>
      <c r="BC19" t="s">
        <v>53</v>
      </c>
      <c r="BD19" t="s">
        <v>60</v>
      </c>
      <c r="BE19" t="s">
        <v>60</v>
      </c>
      <c r="BF19" t="s">
        <v>174</v>
      </c>
      <c r="BG19" t="s">
        <v>50</v>
      </c>
      <c r="BH19" t="s">
        <v>50</v>
      </c>
      <c r="BI19" t="s">
        <v>50</v>
      </c>
      <c r="BJ19" t="s">
        <v>51</v>
      </c>
      <c r="BK19" t="s">
        <v>54</v>
      </c>
      <c r="BL19" t="s">
        <v>60</v>
      </c>
      <c r="BM19" t="s">
        <v>60</v>
      </c>
      <c r="BN19" t="s">
        <v>52</v>
      </c>
      <c r="BO19" t="s">
        <v>51</v>
      </c>
      <c r="BP19" t="s">
        <v>49</v>
      </c>
      <c r="BQ19" t="s">
        <v>52</v>
      </c>
      <c r="BR19" t="s">
        <v>51</v>
      </c>
      <c r="BS19" t="s">
        <v>55</v>
      </c>
      <c r="BT19" t="s">
        <v>60</v>
      </c>
      <c r="BU19" t="s">
        <v>54</v>
      </c>
      <c r="BV19" t="s">
        <v>56</v>
      </c>
      <c r="BW19" t="s">
        <v>52</v>
      </c>
      <c r="BX19" t="s">
        <v>52</v>
      </c>
      <c r="BY19" t="s">
        <v>54</v>
      </c>
    </row>
    <row r="20" spans="1:1201" x14ac:dyDescent="0.35">
      <c r="A20" t="s">
        <v>56</v>
      </c>
      <c r="B20" t="s">
        <v>55</v>
      </c>
      <c r="C20" t="s">
        <v>55</v>
      </c>
      <c r="D20" t="s">
        <v>56</v>
      </c>
      <c r="E20" t="s">
        <v>53</v>
      </c>
      <c r="F20" t="s">
        <v>56</v>
      </c>
      <c r="G20" t="s">
        <v>54</v>
      </c>
      <c r="H20" t="s">
        <v>55</v>
      </c>
      <c r="I20" t="s">
        <v>56</v>
      </c>
      <c r="J20" t="s">
        <v>55</v>
      </c>
      <c r="K20" t="s">
        <v>53</v>
      </c>
      <c r="L20" t="s">
        <v>55</v>
      </c>
      <c r="M20" t="s">
        <v>53</v>
      </c>
      <c r="N20" t="s">
        <v>55</v>
      </c>
      <c r="O20" t="s">
        <v>55</v>
      </c>
      <c r="P20" t="s">
        <v>55</v>
      </c>
      <c r="Q20" t="s">
        <v>54</v>
      </c>
      <c r="R20" t="s">
        <v>56</v>
      </c>
      <c r="S20" t="s">
        <v>53</v>
      </c>
      <c r="T20" t="s">
        <v>53</v>
      </c>
      <c r="U20" t="s">
        <v>107</v>
      </c>
      <c r="V20" t="s">
        <v>54</v>
      </c>
      <c r="W20" t="s">
        <v>55</v>
      </c>
      <c r="X20" t="s">
        <v>53</v>
      </c>
      <c r="Y20" t="s">
        <v>54</v>
      </c>
      <c r="Z20" t="s">
        <v>53</v>
      </c>
      <c r="AA20" t="s">
        <v>54</v>
      </c>
      <c r="AB20" t="s">
        <v>55</v>
      </c>
      <c r="AC20" t="s">
        <v>53</v>
      </c>
      <c r="AD20" t="s">
        <v>54</v>
      </c>
      <c r="AE20" t="s">
        <v>53</v>
      </c>
      <c r="AF20" t="s">
        <v>54</v>
      </c>
      <c r="AG20" t="s">
        <v>56</v>
      </c>
      <c r="AH20" t="s">
        <v>54</v>
      </c>
      <c r="AI20" t="s">
        <v>54</v>
      </c>
      <c r="AJ20" t="s">
        <v>53</v>
      </c>
      <c r="AK20" t="s">
        <v>55</v>
      </c>
      <c r="AL20" t="s">
        <v>54</v>
      </c>
      <c r="AM20" t="s">
        <v>54</v>
      </c>
      <c r="AN20" t="s">
        <v>54</v>
      </c>
      <c r="AO20" t="s">
        <v>56</v>
      </c>
      <c r="AP20" t="s">
        <v>54</v>
      </c>
      <c r="AQ20" t="s">
        <v>54</v>
      </c>
      <c r="AR20" t="s">
        <v>53</v>
      </c>
      <c r="AS20" t="s">
        <v>54</v>
      </c>
      <c r="AT20" t="s">
        <v>54</v>
      </c>
      <c r="AU20" t="s">
        <v>56</v>
      </c>
      <c r="AV20" t="s">
        <v>54</v>
      </c>
      <c r="AW20" t="s">
        <v>53</v>
      </c>
      <c r="AX20" t="s">
        <v>54</v>
      </c>
      <c r="AY20" t="s">
        <v>54</v>
      </c>
      <c r="AZ20" t="s">
        <v>53</v>
      </c>
      <c r="BA20" t="s">
        <v>53</v>
      </c>
      <c r="BB20" t="s">
        <v>53</v>
      </c>
      <c r="BC20" t="s">
        <v>53</v>
      </c>
      <c r="BD20" t="s">
        <v>54</v>
      </c>
      <c r="BE20" t="s">
        <v>54</v>
      </c>
      <c r="BF20" t="s">
        <v>54</v>
      </c>
      <c r="BG20" t="s">
        <v>53</v>
      </c>
      <c r="BH20" t="s">
        <v>55</v>
      </c>
      <c r="BI20" t="s">
        <v>53</v>
      </c>
      <c r="BJ20" t="s">
        <v>53</v>
      </c>
      <c r="BK20" t="s">
        <v>53</v>
      </c>
      <c r="BL20" t="s">
        <v>54</v>
      </c>
      <c r="BM20" t="s">
        <v>55</v>
      </c>
      <c r="BN20" t="s">
        <v>54</v>
      </c>
      <c r="BO20" t="s">
        <v>54</v>
      </c>
      <c r="BP20" t="s">
        <v>53</v>
      </c>
      <c r="BQ20" t="s">
        <v>56</v>
      </c>
      <c r="BR20" t="s">
        <v>55</v>
      </c>
      <c r="BS20" t="s">
        <v>53</v>
      </c>
      <c r="BT20" t="s">
        <v>55</v>
      </c>
      <c r="BU20" t="s">
        <v>54</v>
      </c>
      <c r="BV20" t="s">
        <v>53</v>
      </c>
      <c r="BW20" t="s">
        <v>55</v>
      </c>
      <c r="BX20" t="s">
        <v>53</v>
      </c>
      <c r="BY20" t="s">
        <v>54</v>
      </c>
      <c r="BZ20" t="s">
        <v>53</v>
      </c>
      <c r="CA20" t="s">
        <v>53</v>
      </c>
      <c r="CB20" t="s">
        <v>54</v>
      </c>
      <c r="CC20" t="s">
        <v>54</v>
      </c>
      <c r="CD20" t="s">
        <v>55</v>
      </c>
      <c r="CE20" t="s">
        <v>55</v>
      </c>
      <c r="CF20" t="s">
        <v>54</v>
      </c>
      <c r="CG20" t="s">
        <v>53</v>
      </c>
      <c r="CH20" t="s">
        <v>54</v>
      </c>
      <c r="CI20" t="s">
        <v>55</v>
      </c>
      <c r="CJ20" t="s">
        <v>54</v>
      </c>
      <c r="CK20" t="s">
        <v>55</v>
      </c>
      <c r="CL20" t="s">
        <v>54</v>
      </c>
      <c r="CM20" t="s">
        <v>55</v>
      </c>
      <c r="CN20" t="s">
        <v>54</v>
      </c>
      <c r="CO20" t="s">
        <v>54</v>
      </c>
      <c r="CP20" t="s">
        <v>54</v>
      </c>
      <c r="CQ20" t="s">
        <v>55</v>
      </c>
      <c r="CR20" t="s">
        <v>53</v>
      </c>
      <c r="CS20" t="s">
        <v>56</v>
      </c>
      <c r="CT20" t="s">
        <v>56</v>
      </c>
      <c r="CU20" t="s">
        <v>56</v>
      </c>
      <c r="CV20" t="s">
        <v>55</v>
      </c>
      <c r="CW20" t="s">
        <v>53</v>
      </c>
      <c r="CX20" t="s">
        <v>53</v>
      </c>
      <c r="CY20" t="s">
        <v>56</v>
      </c>
      <c r="CZ20" t="s">
        <v>54</v>
      </c>
      <c r="DA20" t="s">
        <v>54</v>
      </c>
      <c r="DB20" t="s">
        <v>53</v>
      </c>
      <c r="DC20" t="s">
        <v>56</v>
      </c>
      <c r="DD20" t="s">
        <v>54</v>
      </c>
      <c r="DE20" t="s">
        <v>54</v>
      </c>
      <c r="DF20" t="s">
        <v>55</v>
      </c>
      <c r="DG20" t="s">
        <v>54</v>
      </c>
      <c r="DH20" t="s">
        <v>56</v>
      </c>
      <c r="DI20" t="s">
        <v>54</v>
      </c>
      <c r="DJ20" t="s">
        <v>54</v>
      </c>
      <c r="DK20" t="s">
        <v>56</v>
      </c>
      <c r="DL20" t="s">
        <v>54</v>
      </c>
      <c r="DM20" t="s">
        <v>54</v>
      </c>
      <c r="DN20" t="s">
        <v>55</v>
      </c>
      <c r="DO20" t="s">
        <v>54</v>
      </c>
      <c r="DP20" t="s">
        <v>54</v>
      </c>
      <c r="DQ20" t="s">
        <v>54</v>
      </c>
      <c r="DR20" t="s">
        <v>54</v>
      </c>
      <c r="DS20" t="s">
        <v>53</v>
      </c>
      <c r="DT20" t="s">
        <v>55</v>
      </c>
      <c r="DU20" t="s">
        <v>54</v>
      </c>
      <c r="DV20" t="s">
        <v>54</v>
      </c>
      <c r="DW20" t="s">
        <v>53</v>
      </c>
      <c r="DX20" t="s">
        <v>54</v>
      </c>
      <c r="DY20" t="s">
        <v>53</v>
      </c>
      <c r="DZ20" t="s">
        <v>54</v>
      </c>
      <c r="EA20" t="s">
        <v>54</v>
      </c>
      <c r="EB20" t="s">
        <v>56</v>
      </c>
      <c r="EC20" t="s">
        <v>54</v>
      </c>
      <c r="ED20" t="s">
        <v>55</v>
      </c>
      <c r="EE20" t="s">
        <v>54</v>
      </c>
      <c r="EF20" t="s">
        <v>55</v>
      </c>
      <c r="EG20" t="s">
        <v>53</v>
      </c>
      <c r="EH20" t="s">
        <v>55</v>
      </c>
      <c r="EI20" t="s">
        <v>53</v>
      </c>
      <c r="EJ20" t="s">
        <v>53</v>
      </c>
      <c r="EK20" t="s">
        <v>56</v>
      </c>
      <c r="EL20" t="s">
        <v>55</v>
      </c>
      <c r="EM20" t="s">
        <v>55</v>
      </c>
      <c r="EN20" t="s">
        <v>54</v>
      </c>
      <c r="EO20" t="s">
        <v>54</v>
      </c>
      <c r="EP20" t="s">
        <v>53</v>
      </c>
      <c r="EQ20" t="s">
        <v>56</v>
      </c>
      <c r="ER20" t="s">
        <v>54</v>
      </c>
      <c r="ES20" t="s">
        <v>55</v>
      </c>
      <c r="ET20" t="s">
        <v>53</v>
      </c>
      <c r="EU20" t="s">
        <v>55</v>
      </c>
      <c r="EV20" t="s">
        <v>54</v>
      </c>
      <c r="EW20" t="s">
        <v>53</v>
      </c>
      <c r="EX20" t="s">
        <v>53</v>
      </c>
      <c r="EY20" t="s">
        <v>54</v>
      </c>
      <c r="EZ20" t="s">
        <v>56</v>
      </c>
      <c r="FA20" t="s">
        <v>54</v>
      </c>
      <c r="FB20" t="s">
        <v>55</v>
      </c>
      <c r="FC20" t="s">
        <v>54</v>
      </c>
      <c r="FD20" t="s">
        <v>53</v>
      </c>
      <c r="FE20" t="s">
        <v>55</v>
      </c>
      <c r="FF20" t="s">
        <v>54</v>
      </c>
      <c r="FG20" t="s">
        <v>54</v>
      </c>
      <c r="FH20" t="s">
        <v>56</v>
      </c>
      <c r="FI20" t="s">
        <v>56</v>
      </c>
      <c r="FJ20" t="s">
        <v>53</v>
      </c>
      <c r="FK20" t="s">
        <v>53</v>
      </c>
      <c r="FL20" t="s">
        <v>56</v>
      </c>
      <c r="FM20" t="s">
        <v>54</v>
      </c>
      <c r="FN20" t="s">
        <v>54</v>
      </c>
      <c r="FO20" t="s">
        <v>55</v>
      </c>
      <c r="FP20" t="s">
        <v>55</v>
      </c>
      <c r="FQ20" t="s">
        <v>54</v>
      </c>
      <c r="FR20" t="s">
        <v>53</v>
      </c>
      <c r="FS20" t="s">
        <v>53</v>
      </c>
      <c r="FT20" t="s">
        <v>55</v>
      </c>
      <c r="FU20" t="s">
        <v>53</v>
      </c>
      <c r="FV20" t="s">
        <v>53</v>
      </c>
      <c r="FW20" t="s">
        <v>53</v>
      </c>
      <c r="FX20" t="s">
        <v>56</v>
      </c>
      <c r="FY20" t="s">
        <v>54</v>
      </c>
      <c r="FZ20" t="s">
        <v>54</v>
      </c>
      <c r="GA20" t="s">
        <v>55</v>
      </c>
      <c r="GB20" t="s">
        <v>54</v>
      </c>
      <c r="GC20" t="s">
        <v>53</v>
      </c>
      <c r="GD20" t="s">
        <v>54</v>
      </c>
      <c r="GE20" t="s">
        <v>55</v>
      </c>
      <c r="GF20" t="s">
        <v>53</v>
      </c>
      <c r="GG20" t="s">
        <v>55</v>
      </c>
      <c r="GH20" t="s">
        <v>54</v>
      </c>
      <c r="GI20" t="s">
        <v>54</v>
      </c>
      <c r="GJ20" t="s">
        <v>55</v>
      </c>
      <c r="GK20" t="s">
        <v>55</v>
      </c>
      <c r="GL20" t="s">
        <v>56</v>
      </c>
      <c r="GM20" t="s">
        <v>53</v>
      </c>
      <c r="GN20" t="s">
        <v>56</v>
      </c>
      <c r="GO20" t="s">
        <v>53</v>
      </c>
      <c r="GP20" t="s">
        <v>55</v>
      </c>
      <c r="GQ20" t="s">
        <v>56</v>
      </c>
      <c r="GR20" t="s">
        <v>55</v>
      </c>
      <c r="GS20" t="s">
        <v>53</v>
      </c>
      <c r="GT20" t="s">
        <v>54</v>
      </c>
      <c r="GU20" t="s">
        <v>56</v>
      </c>
      <c r="GV20" t="s">
        <v>53</v>
      </c>
      <c r="GW20" t="s">
        <v>54</v>
      </c>
      <c r="GX20" t="s">
        <v>53</v>
      </c>
      <c r="GY20" t="s">
        <v>53</v>
      </c>
      <c r="GZ20" t="s">
        <v>54</v>
      </c>
      <c r="HA20" t="s">
        <v>56</v>
      </c>
      <c r="HB20" t="s">
        <v>56</v>
      </c>
      <c r="HC20" t="s">
        <v>56</v>
      </c>
      <c r="HD20" t="s">
        <v>54</v>
      </c>
      <c r="HE20" t="s">
        <v>55</v>
      </c>
      <c r="HF20" t="s">
        <v>53</v>
      </c>
      <c r="HG20" t="s">
        <v>54</v>
      </c>
      <c r="HH20" t="s">
        <v>53</v>
      </c>
      <c r="HI20" t="s">
        <v>53</v>
      </c>
      <c r="HJ20" t="s">
        <v>53</v>
      </c>
      <c r="HK20" t="s">
        <v>55</v>
      </c>
      <c r="HL20" t="s">
        <v>56</v>
      </c>
      <c r="HM20" t="s">
        <v>56</v>
      </c>
      <c r="HN20" t="s">
        <v>55</v>
      </c>
      <c r="HO20" t="s">
        <v>55</v>
      </c>
      <c r="HP20" t="s">
        <v>56</v>
      </c>
      <c r="HQ20" t="s">
        <v>54</v>
      </c>
      <c r="HR20" t="s">
        <v>55</v>
      </c>
      <c r="HS20" t="s">
        <v>54</v>
      </c>
      <c r="HT20" t="s">
        <v>56</v>
      </c>
      <c r="HU20" t="s">
        <v>56</v>
      </c>
      <c r="HV20" t="s">
        <v>56</v>
      </c>
      <c r="HW20" t="s">
        <v>53</v>
      </c>
      <c r="HX20" t="s">
        <v>53</v>
      </c>
      <c r="HY20" t="s">
        <v>53</v>
      </c>
      <c r="HZ20" t="s">
        <v>53</v>
      </c>
      <c r="IA20" t="s">
        <v>55</v>
      </c>
      <c r="IB20" t="s">
        <v>55</v>
      </c>
      <c r="IC20" t="s">
        <v>53</v>
      </c>
      <c r="ID20" t="s">
        <v>55</v>
      </c>
      <c r="IE20" t="s">
        <v>55</v>
      </c>
      <c r="IF20" t="s">
        <v>54</v>
      </c>
      <c r="IG20" t="s">
        <v>55</v>
      </c>
      <c r="IH20" t="s">
        <v>55</v>
      </c>
      <c r="II20" t="s">
        <v>53</v>
      </c>
      <c r="IJ20" t="s">
        <v>53</v>
      </c>
      <c r="IK20" t="s">
        <v>55</v>
      </c>
      <c r="IL20" t="s">
        <v>56</v>
      </c>
      <c r="IM20" t="s">
        <v>55</v>
      </c>
      <c r="IN20" t="s">
        <v>56</v>
      </c>
      <c r="IO20" t="s">
        <v>54</v>
      </c>
      <c r="IP20" t="s">
        <v>53</v>
      </c>
      <c r="IQ20" t="s">
        <v>53</v>
      </c>
      <c r="IR20" t="s">
        <v>54</v>
      </c>
      <c r="IS20" t="s">
        <v>53</v>
      </c>
      <c r="IT20" t="s">
        <v>56</v>
      </c>
      <c r="IU20" t="s">
        <v>54</v>
      </c>
      <c r="IV20" t="s">
        <v>54</v>
      </c>
      <c r="IW20" t="s">
        <v>53</v>
      </c>
      <c r="IX20" t="s">
        <v>55</v>
      </c>
      <c r="IY20" t="s">
        <v>55</v>
      </c>
      <c r="IZ20" t="s">
        <v>53</v>
      </c>
      <c r="JA20" t="s">
        <v>54</v>
      </c>
      <c r="JB20" t="s">
        <v>55</v>
      </c>
      <c r="JC20" t="s">
        <v>53</v>
      </c>
      <c r="JD20" t="s">
        <v>54</v>
      </c>
      <c r="JE20" t="s">
        <v>54</v>
      </c>
      <c r="JF20" t="s">
        <v>55</v>
      </c>
      <c r="JG20" t="s">
        <v>56</v>
      </c>
      <c r="JH20" t="s">
        <v>54</v>
      </c>
      <c r="JI20" t="s">
        <v>53</v>
      </c>
      <c r="JJ20" t="s">
        <v>54</v>
      </c>
      <c r="JK20" t="s">
        <v>56</v>
      </c>
      <c r="JL20" t="s">
        <v>56</v>
      </c>
      <c r="JM20" t="s">
        <v>53</v>
      </c>
      <c r="JN20" t="s">
        <v>56</v>
      </c>
      <c r="JO20" t="s">
        <v>53</v>
      </c>
      <c r="JP20" t="s">
        <v>54</v>
      </c>
      <c r="JQ20" t="s">
        <v>55</v>
      </c>
      <c r="JR20" t="s">
        <v>53</v>
      </c>
      <c r="JS20" t="s">
        <v>54</v>
      </c>
      <c r="JT20" t="s">
        <v>54</v>
      </c>
      <c r="JU20" t="s">
        <v>55</v>
      </c>
      <c r="JV20" t="s">
        <v>56</v>
      </c>
      <c r="JW20" t="s">
        <v>55</v>
      </c>
      <c r="JX20" t="s">
        <v>54</v>
      </c>
      <c r="JY20" t="s">
        <v>53</v>
      </c>
      <c r="JZ20" t="s">
        <v>55</v>
      </c>
      <c r="KA20" t="s">
        <v>56</v>
      </c>
      <c r="KB20" t="s">
        <v>55</v>
      </c>
      <c r="KC20" t="s">
        <v>53</v>
      </c>
      <c r="KD20" t="s">
        <v>56</v>
      </c>
      <c r="KE20" t="s">
        <v>55</v>
      </c>
      <c r="KF20" t="s">
        <v>55</v>
      </c>
      <c r="KG20" t="s">
        <v>56</v>
      </c>
      <c r="KH20" t="s">
        <v>53</v>
      </c>
      <c r="KI20" t="s">
        <v>55</v>
      </c>
      <c r="KJ20" t="s">
        <v>55</v>
      </c>
      <c r="KK20" t="s">
        <v>53</v>
      </c>
      <c r="KL20" t="s">
        <v>54</v>
      </c>
      <c r="KM20" t="s">
        <v>53</v>
      </c>
      <c r="KN20" t="s">
        <v>53</v>
      </c>
      <c r="KO20" t="s">
        <v>55</v>
      </c>
      <c r="KP20" t="s">
        <v>53</v>
      </c>
      <c r="KQ20" t="s">
        <v>53</v>
      </c>
      <c r="KR20" t="s">
        <v>53</v>
      </c>
      <c r="KS20" t="s">
        <v>53</v>
      </c>
      <c r="KT20" t="s">
        <v>53</v>
      </c>
      <c r="KU20" t="s">
        <v>53</v>
      </c>
      <c r="KV20" t="s">
        <v>53</v>
      </c>
      <c r="KW20" t="s">
        <v>53</v>
      </c>
      <c r="KX20" t="s">
        <v>53</v>
      </c>
      <c r="KY20" t="s">
        <v>53</v>
      </c>
      <c r="KZ20" t="s">
        <v>53</v>
      </c>
      <c r="LA20" t="s">
        <v>53</v>
      </c>
      <c r="LB20" t="s">
        <v>53</v>
      </c>
      <c r="LC20" t="s">
        <v>53</v>
      </c>
      <c r="LD20" t="s">
        <v>53</v>
      </c>
      <c r="LE20" t="s">
        <v>53</v>
      </c>
      <c r="LF20" t="s">
        <v>53</v>
      </c>
      <c r="LG20" t="s">
        <v>53</v>
      </c>
      <c r="LH20" t="s">
        <v>53</v>
      </c>
      <c r="LI20" t="s">
        <v>53</v>
      </c>
      <c r="LJ20" t="s">
        <v>53</v>
      </c>
      <c r="LK20" t="s">
        <v>53</v>
      </c>
      <c r="LL20" t="s">
        <v>53</v>
      </c>
      <c r="LM20" t="s">
        <v>53</v>
      </c>
      <c r="LN20" t="s">
        <v>53</v>
      </c>
      <c r="LO20" t="s">
        <v>53</v>
      </c>
      <c r="LP20" t="s">
        <v>53</v>
      </c>
      <c r="LQ20" t="s">
        <v>53</v>
      </c>
      <c r="LR20" t="s">
        <v>53</v>
      </c>
      <c r="LS20" t="s">
        <v>53</v>
      </c>
      <c r="LT20" t="s">
        <v>53</v>
      </c>
      <c r="LU20" t="s">
        <v>53</v>
      </c>
      <c r="LV20" t="s">
        <v>53</v>
      </c>
      <c r="LW20" t="s">
        <v>53</v>
      </c>
      <c r="LX20" t="s">
        <v>53</v>
      </c>
      <c r="LY20" t="s">
        <v>53</v>
      </c>
      <c r="LZ20" t="s">
        <v>174</v>
      </c>
      <c r="MA20" t="s">
        <v>174</v>
      </c>
      <c r="MB20" t="s">
        <v>174</v>
      </c>
      <c r="MC20" t="s">
        <v>174</v>
      </c>
      <c r="MD20" t="s">
        <v>174</v>
      </c>
      <c r="ME20" t="s">
        <v>174</v>
      </c>
      <c r="MF20" t="s">
        <v>174</v>
      </c>
      <c r="MG20" t="s">
        <v>174</v>
      </c>
      <c r="MH20" t="s">
        <v>174</v>
      </c>
      <c r="MI20" t="s">
        <v>174</v>
      </c>
      <c r="MJ20" t="s">
        <v>174</v>
      </c>
      <c r="MK20" t="s">
        <v>174</v>
      </c>
      <c r="ML20" t="s">
        <v>174</v>
      </c>
      <c r="MM20" t="s">
        <v>174</v>
      </c>
      <c r="MN20" t="s">
        <v>174</v>
      </c>
      <c r="MO20" t="s">
        <v>174</v>
      </c>
      <c r="MP20" t="s">
        <v>174</v>
      </c>
      <c r="MQ20" t="s">
        <v>174</v>
      </c>
      <c r="MR20" t="s">
        <v>174</v>
      </c>
      <c r="MS20" t="s">
        <v>174</v>
      </c>
      <c r="MT20" t="s">
        <v>174</v>
      </c>
      <c r="MU20" t="s">
        <v>174</v>
      </c>
      <c r="MV20" t="s">
        <v>174</v>
      </c>
      <c r="MW20" t="s">
        <v>174</v>
      </c>
      <c r="MX20" t="s">
        <v>174</v>
      </c>
      <c r="MY20" t="s">
        <v>174</v>
      </c>
      <c r="MZ20" t="s">
        <v>174</v>
      </c>
      <c r="NA20" t="s">
        <v>174</v>
      </c>
      <c r="NB20" t="s">
        <v>174</v>
      </c>
      <c r="NC20" t="s">
        <v>174</v>
      </c>
      <c r="ND20" t="s">
        <v>174</v>
      </c>
      <c r="NE20" t="s">
        <v>174</v>
      </c>
      <c r="NF20" t="s">
        <v>174</v>
      </c>
      <c r="NG20" t="s">
        <v>174</v>
      </c>
      <c r="NH20" t="s">
        <v>174</v>
      </c>
      <c r="NI20" t="s">
        <v>174</v>
      </c>
      <c r="NJ20" t="s">
        <v>174</v>
      </c>
      <c r="NK20" t="s">
        <v>174</v>
      </c>
      <c r="NL20" t="s">
        <v>174</v>
      </c>
      <c r="NM20" t="s">
        <v>174</v>
      </c>
      <c r="NN20" t="s">
        <v>174</v>
      </c>
      <c r="NO20" t="s">
        <v>174</v>
      </c>
      <c r="NP20" t="s">
        <v>174</v>
      </c>
      <c r="NQ20" t="s">
        <v>174</v>
      </c>
      <c r="NR20" t="s">
        <v>174</v>
      </c>
      <c r="NS20" t="s">
        <v>174</v>
      </c>
      <c r="NT20" t="s">
        <v>174</v>
      </c>
      <c r="NU20" t="s">
        <v>174</v>
      </c>
      <c r="NV20" t="s">
        <v>174</v>
      </c>
      <c r="NW20" t="s">
        <v>174</v>
      </c>
      <c r="NX20" t="s">
        <v>174</v>
      </c>
      <c r="NY20" t="s">
        <v>174</v>
      </c>
      <c r="NZ20" t="s">
        <v>174</v>
      </c>
      <c r="OA20" t="s">
        <v>174</v>
      </c>
      <c r="OB20" t="s">
        <v>174</v>
      </c>
      <c r="OC20" t="s">
        <v>174</v>
      </c>
      <c r="OD20" t="s">
        <v>174</v>
      </c>
      <c r="OE20" t="s">
        <v>174</v>
      </c>
      <c r="OF20" t="s">
        <v>174</v>
      </c>
      <c r="OG20" t="s">
        <v>174</v>
      </c>
      <c r="OH20" t="s">
        <v>174</v>
      </c>
      <c r="OI20" t="s">
        <v>174</v>
      </c>
      <c r="OJ20" t="s">
        <v>174</v>
      </c>
      <c r="OK20" t="s">
        <v>174</v>
      </c>
      <c r="OL20" t="s">
        <v>174</v>
      </c>
      <c r="OM20" t="s">
        <v>174</v>
      </c>
      <c r="ON20" t="s">
        <v>174</v>
      </c>
      <c r="OO20" t="s">
        <v>174</v>
      </c>
      <c r="OP20" t="s">
        <v>174</v>
      </c>
      <c r="OQ20" t="s">
        <v>174</v>
      </c>
      <c r="OR20" t="s">
        <v>174</v>
      </c>
      <c r="OS20" t="s">
        <v>174</v>
      </c>
      <c r="OT20" t="s">
        <v>174</v>
      </c>
      <c r="OU20" t="s">
        <v>174</v>
      </c>
      <c r="OV20" t="s">
        <v>174</v>
      </c>
      <c r="OW20" t="s">
        <v>174</v>
      </c>
      <c r="OX20" t="s">
        <v>174</v>
      </c>
      <c r="OY20" t="s">
        <v>174</v>
      </c>
      <c r="OZ20" t="s">
        <v>174</v>
      </c>
      <c r="PA20" t="s">
        <v>174</v>
      </c>
      <c r="PB20" t="s">
        <v>174</v>
      </c>
      <c r="PC20" t="s">
        <v>174</v>
      </c>
      <c r="PD20" t="s">
        <v>174</v>
      </c>
      <c r="PE20" t="s">
        <v>174</v>
      </c>
      <c r="PF20" t="s">
        <v>174</v>
      </c>
      <c r="PG20" t="s">
        <v>174</v>
      </c>
      <c r="PH20" t="s">
        <v>174</v>
      </c>
      <c r="PI20" t="s">
        <v>174</v>
      </c>
      <c r="PJ20" t="s">
        <v>174</v>
      </c>
      <c r="PK20" t="s">
        <v>174</v>
      </c>
      <c r="PL20" t="s">
        <v>174</v>
      </c>
      <c r="PM20" t="s">
        <v>174</v>
      </c>
      <c r="PN20" t="s">
        <v>174</v>
      </c>
      <c r="PO20" t="s">
        <v>174</v>
      </c>
      <c r="PP20" t="s">
        <v>174</v>
      </c>
      <c r="PQ20" t="s">
        <v>174</v>
      </c>
      <c r="PR20" t="s">
        <v>174</v>
      </c>
      <c r="PS20" t="s">
        <v>174</v>
      </c>
      <c r="PT20" t="s">
        <v>174</v>
      </c>
      <c r="PU20" t="s">
        <v>174</v>
      </c>
      <c r="PV20" t="s">
        <v>174</v>
      </c>
      <c r="PW20" t="s">
        <v>174</v>
      </c>
      <c r="PX20" t="s">
        <v>174</v>
      </c>
      <c r="PY20" t="s">
        <v>174</v>
      </c>
      <c r="PZ20" t="s">
        <v>174</v>
      </c>
      <c r="QA20" t="s">
        <v>174</v>
      </c>
      <c r="QB20" t="s">
        <v>174</v>
      </c>
      <c r="QC20" t="s">
        <v>174</v>
      </c>
      <c r="QD20" t="s">
        <v>174</v>
      </c>
      <c r="QE20" t="s">
        <v>174</v>
      </c>
      <c r="QF20" t="s">
        <v>174</v>
      </c>
      <c r="QG20" t="s">
        <v>174</v>
      </c>
      <c r="QH20" t="s">
        <v>174</v>
      </c>
      <c r="QI20" t="s">
        <v>174</v>
      </c>
      <c r="QJ20" t="s">
        <v>174</v>
      </c>
      <c r="QK20" t="s">
        <v>174</v>
      </c>
      <c r="QL20" t="s">
        <v>174</v>
      </c>
      <c r="QM20" t="s">
        <v>174</v>
      </c>
      <c r="QN20" t="s">
        <v>174</v>
      </c>
      <c r="QO20" t="s">
        <v>174</v>
      </c>
      <c r="QP20" t="s">
        <v>174</v>
      </c>
      <c r="QQ20" t="s">
        <v>174</v>
      </c>
      <c r="QR20" t="s">
        <v>174</v>
      </c>
      <c r="QS20" t="s">
        <v>174</v>
      </c>
      <c r="QT20" t="s">
        <v>174</v>
      </c>
      <c r="QU20" t="s">
        <v>174</v>
      </c>
      <c r="QV20" t="s">
        <v>174</v>
      </c>
      <c r="QW20" t="s">
        <v>174</v>
      </c>
      <c r="QX20" t="s">
        <v>174</v>
      </c>
      <c r="QY20" t="s">
        <v>174</v>
      </c>
      <c r="QZ20" t="s">
        <v>174</v>
      </c>
      <c r="RA20" t="s">
        <v>174</v>
      </c>
      <c r="RB20" t="s">
        <v>174</v>
      </c>
      <c r="RC20" t="s">
        <v>174</v>
      </c>
      <c r="RD20" t="s">
        <v>174</v>
      </c>
      <c r="RE20" t="s">
        <v>174</v>
      </c>
      <c r="RF20" t="s">
        <v>174</v>
      </c>
      <c r="RG20" t="s">
        <v>174</v>
      </c>
      <c r="RH20" t="s">
        <v>174</v>
      </c>
      <c r="RI20" t="s">
        <v>174</v>
      </c>
      <c r="RJ20" t="s">
        <v>174</v>
      </c>
      <c r="RK20" t="s">
        <v>174</v>
      </c>
      <c r="RL20" t="s">
        <v>174</v>
      </c>
      <c r="RM20" t="s">
        <v>174</v>
      </c>
      <c r="RN20" t="s">
        <v>49</v>
      </c>
      <c r="RO20" t="s">
        <v>49</v>
      </c>
      <c r="RP20" t="s">
        <v>49</v>
      </c>
      <c r="RQ20" t="s">
        <v>49</v>
      </c>
      <c r="RR20" t="s">
        <v>49</v>
      </c>
      <c r="RS20" t="s">
        <v>49</v>
      </c>
      <c r="RT20" t="s">
        <v>49</v>
      </c>
      <c r="RU20" t="s">
        <v>49</v>
      </c>
      <c r="RV20" t="s">
        <v>49</v>
      </c>
      <c r="RW20" t="s">
        <v>49</v>
      </c>
      <c r="RX20" t="s">
        <v>49</v>
      </c>
      <c r="RY20" t="s">
        <v>49</v>
      </c>
      <c r="RZ20" t="s">
        <v>49</v>
      </c>
      <c r="SA20" t="s">
        <v>49</v>
      </c>
      <c r="SB20" t="s">
        <v>49</v>
      </c>
      <c r="SC20" t="s">
        <v>49</v>
      </c>
      <c r="SD20" t="s">
        <v>49</v>
      </c>
      <c r="SE20" t="s">
        <v>49</v>
      </c>
      <c r="SF20" t="s">
        <v>49</v>
      </c>
      <c r="SG20" t="s">
        <v>49</v>
      </c>
      <c r="SH20" t="s">
        <v>49</v>
      </c>
      <c r="SI20" t="s">
        <v>49</v>
      </c>
      <c r="SJ20" t="s">
        <v>49</v>
      </c>
      <c r="SK20" t="s">
        <v>49</v>
      </c>
      <c r="SL20" t="s">
        <v>49</v>
      </c>
      <c r="SM20" t="s">
        <v>49</v>
      </c>
      <c r="SN20" t="s">
        <v>49</v>
      </c>
      <c r="SO20" t="s">
        <v>49</v>
      </c>
      <c r="SP20" t="s">
        <v>49</v>
      </c>
      <c r="SQ20" t="s">
        <v>49</v>
      </c>
      <c r="SR20" t="s">
        <v>49</v>
      </c>
      <c r="SS20" t="s">
        <v>49</v>
      </c>
      <c r="ST20" t="s">
        <v>49</v>
      </c>
      <c r="SU20" t="s">
        <v>49</v>
      </c>
      <c r="SV20" t="s">
        <v>49</v>
      </c>
      <c r="SW20" t="s">
        <v>49</v>
      </c>
      <c r="SX20" t="s">
        <v>49</v>
      </c>
      <c r="SY20" t="s">
        <v>49</v>
      </c>
      <c r="SZ20" t="s">
        <v>49</v>
      </c>
      <c r="TA20" t="s">
        <v>49</v>
      </c>
      <c r="TB20" t="s">
        <v>49</v>
      </c>
      <c r="TC20" t="s">
        <v>49</v>
      </c>
      <c r="TD20" t="s">
        <v>49</v>
      </c>
      <c r="TE20" t="s">
        <v>49</v>
      </c>
      <c r="TF20" t="s">
        <v>49</v>
      </c>
      <c r="TG20" t="s">
        <v>49</v>
      </c>
      <c r="TH20" t="s">
        <v>49</v>
      </c>
      <c r="TI20" t="s">
        <v>49</v>
      </c>
      <c r="TJ20" t="s">
        <v>49</v>
      </c>
      <c r="TK20" t="s">
        <v>49</v>
      </c>
      <c r="TL20" t="s">
        <v>49</v>
      </c>
      <c r="TM20" t="s">
        <v>49</v>
      </c>
      <c r="TN20" t="s">
        <v>49</v>
      </c>
      <c r="TO20" t="s">
        <v>49</v>
      </c>
      <c r="TP20" t="s">
        <v>49</v>
      </c>
      <c r="TQ20" t="s">
        <v>49</v>
      </c>
      <c r="TR20" t="s">
        <v>49</v>
      </c>
      <c r="TS20" t="s">
        <v>49</v>
      </c>
      <c r="TT20" t="s">
        <v>49</v>
      </c>
      <c r="TU20" t="s">
        <v>49</v>
      </c>
      <c r="TV20" t="s">
        <v>49</v>
      </c>
      <c r="TW20" t="s">
        <v>49</v>
      </c>
      <c r="TX20" t="s">
        <v>49</v>
      </c>
      <c r="TY20" t="s">
        <v>49</v>
      </c>
      <c r="TZ20" t="s">
        <v>49</v>
      </c>
      <c r="UA20" t="s">
        <v>49</v>
      </c>
      <c r="UB20" t="s">
        <v>49</v>
      </c>
      <c r="UC20" t="s">
        <v>49</v>
      </c>
      <c r="UD20" t="s">
        <v>49</v>
      </c>
      <c r="UE20" t="s">
        <v>49</v>
      </c>
      <c r="UF20" t="s">
        <v>49</v>
      </c>
      <c r="UG20" t="s">
        <v>49</v>
      </c>
      <c r="UH20" t="s">
        <v>49</v>
      </c>
      <c r="UI20" t="s">
        <v>49</v>
      </c>
      <c r="UJ20" t="s">
        <v>49</v>
      </c>
      <c r="UK20" t="s">
        <v>49</v>
      </c>
      <c r="UL20" t="s">
        <v>49</v>
      </c>
      <c r="UM20" t="s">
        <v>49</v>
      </c>
      <c r="UN20" t="s">
        <v>49</v>
      </c>
      <c r="UO20" t="s">
        <v>49</v>
      </c>
      <c r="UP20" t="s">
        <v>49</v>
      </c>
      <c r="UQ20" t="s">
        <v>49</v>
      </c>
      <c r="UR20" t="s">
        <v>49</v>
      </c>
      <c r="US20" t="s">
        <v>49</v>
      </c>
      <c r="UT20" t="s">
        <v>49</v>
      </c>
      <c r="UU20" t="s">
        <v>49</v>
      </c>
      <c r="UV20" t="s">
        <v>49</v>
      </c>
      <c r="UW20" t="s">
        <v>49</v>
      </c>
      <c r="UX20" t="s">
        <v>49</v>
      </c>
      <c r="UY20" t="s">
        <v>49</v>
      </c>
      <c r="UZ20" t="s">
        <v>49</v>
      </c>
      <c r="VA20" t="s">
        <v>49</v>
      </c>
      <c r="VB20" t="s">
        <v>49</v>
      </c>
      <c r="VC20" t="s">
        <v>49</v>
      </c>
      <c r="VD20" t="s">
        <v>49</v>
      </c>
      <c r="VE20" t="s">
        <v>49</v>
      </c>
      <c r="VF20" t="s">
        <v>49</v>
      </c>
      <c r="VG20" t="s">
        <v>49</v>
      </c>
      <c r="VH20" t="s">
        <v>49</v>
      </c>
      <c r="VI20" t="s">
        <v>49</v>
      </c>
      <c r="VJ20" t="s">
        <v>49</v>
      </c>
      <c r="VK20" t="s">
        <v>49</v>
      </c>
      <c r="VL20" t="s">
        <v>49</v>
      </c>
      <c r="VM20" t="s">
        <v>49</v>
      </c>
      <c r="VN20" t="s">
        <v>49</v>
      </c>
      <c r="VO20" t="s">
        <v>49</v>
      </c>
      <c r="VP20" t="s">
        <v>49</v>
      </c>
      <c r="VQ20" t="s">
        <v>49</v>
      </c>
      <c r="VR20" t="s">
        <v>49</v>
      </c>
      <c r="VS20" t="s">
        <v>49</v>
      </c>
      <c r="VT20" t="s">
        <v>49</v>
      </c>
      <c r="VU20" t="s">
        <v>49</v>
      </c>
      <c r="VV20" t="s">
        <v>49</v>
      </c>
      <c r="VW20" t="s">
        <v>49</v>
      </c>
      <c r="VX20" t="s">
        <v>49</v>
      </c>
      <c r="VY20" t="s">
        <v>49</v>
      </c>
      <c r="VZ20" t="s">
        <v>49</v>
      </c>
      <c r="WA20" t="s">
        <v>49</v>
      </c>
      <c r="WB20" t="s">
        <v>49</v>
      </c>
      <c r="WC20" t="s">
        <v>49</v>
      </c>
      <c r="WD20" t="s">
        <v>49</v>
      </c>
      <c r="WE20" t="s">
        <v>49</v>
      </c>
      <c r="WF20" t="s">
        <v>49</v>
      </c>
      <c r="WG20" t="s">
        <v>49</v>
      </c>
      <c r="WH20" t="s">
        <v>49</v>
      </c>
      <c r="WI20" t="s">
        <v>49</v>
      </c>
      <c r="WJ20" t="s">
        <v>49</v>
      </c>
      <c r="WK20" t="s">
        <v>49</v>
      </c>
      <c r="WL20" t="s">
        <v>49</v>
      </c>
      <c r="WM20" t="s">
        <v>49</v>
      </c>
      <c r="WN20" t="s">
        <v>49</v>
      </c>
      <c r="WO20" t="s">
        <v>49</v>
      </c>
      <c r="WP20" t="s">
        <v>49</v>
      </c>
      <c r="WQ20" t="s">
        <v>49</v>
      </c>
      <c r="WR20" t="s">
        <v>49</v>
      </c>
      <c r="WS20" t="s">
        <v>49</v>
      </c>
      <c r="WT20" t="s">
        <v>49</v>
      </c>
      <c r="WU20" t="s">
        <v>49</v>
      </c>
      <c r="WV20" t="s">
        <v>49</v>
      </c>
      <c r="WW20" t="s">
        <v>49</v>
      </c>
      <c r="WX20" t="s">
        <v>49</v>
      </c>
      <c r="WY20" t="s">
        <v>49</v>
      </c>
      <c r="WZ20" t="s">
        <v>49</v>
      </c>
      <c r="XA20" t="s">
        <v>49</v>
      </c>
      <c r="XB20" t="s">
        <v>49</v>
      </c>
      <c r="XC20" t="s">
        <v>49</v>
      </c>
      <c r="XD20" t="s">
        <v>49</v>
      </c>
      <c r="XE20" t="s">
        <v>49</v>
      </c>
      <c r="XF20" t="s">
        <v>49</v>
      </c>
      <c r="XG20" t="s">
        <v>49</v>
      </c>
      <c r="XH20" t="s">
        <v>49</v>
      </c>
      <c r="XI20" t="s">
        <v>49</v>
      </c>
      <c r="XJ20" t="s">
        <v>49</v>
      </c>
      <c r="XK20" t="s">
        <v>49</v>
      </c>
      <c r="XL20" t="s">
        <v>49</v>
      </c>
      <c r="XM20" t="s">
        <v>49</v>
      </c>
      <c r="XN20" t="s">
        <v>49</v>
      </c>
      <c r="XO20" t="s">
        <v>49</v>
      </c>
      <c r="XP20" t="s">
        <v>49</v>
      </c>
      <c r="XQ20" t="s">
        <v>49</v>
      </c>
      <c r="XR20" t="s">
        <v>49</v>
      </c>
      <c r="XS20" t="s">
        <v>49</v>
      </c>
      <c r="XT20" t="s">
        <v>49</v>
      </c>
      <c r="XU20" t="s">
        <v>49</v>
      </c>
      <c r="XV20" t="s">
        <v>49</v>
      </c>
      <c r="XW20" t="s">
        <v>49</v>
      </c>
      <c r="XX20" t="s">
        <v>49</v>
      </c>
      <c r="XY20" t="s">
        <v>49</v>
      </c>
      <c r="XZ20" t="s">
        <v>50</v>
      </c>
      <c r="YA20" t="s">
        <v>50</v>
      </c>
      <c r="YB20" t="s">
        <v>50</v>
      </c>
      <c r="YC20" t="s">
        <v>50</v>
      </c>
      <c r="YD20" t="s">
        <v>50</v>
      </c>
      <c r="YE20" t="s">
        <v>50</v>
      </c>
      <c r="YF20" t="s">
        <v>50</v>
      </c>
      <c r="YG20" t="s">
        <v>50</v>
      </c>
      <c r="YH20" t="s">
        <v>50</v>
      </c>
      <c r="YI20" t="s">
        <v>50</v>
      </c>
      <c r="YJ20" t="s">
        <v>50</v>
      </c>
      <c r="YK20" t="s">
        <v>50</v>
      </c>
      <c r="YL20" t="s">
        <v>50</v>
      </c>
      <c r="YM20" t="s">
        <v>50</v>
      </c>
      <c r="YN20" t="s">
        <v>50</v>
      </c>
      <c r="YO20" t="s">
        <v>50</v>
      </c>
      <c r="YP20" t="s">
        <v>50</v>
      </c>
      <c r="YQ20" t="s">
        <v>50</v>
      </c>
      <c r="YR20" t="s">
        <v>50</v>
      </c>
      <c r="YS20" t="s">
        <v>50</v>
      </c>
      <c r="YT20" t="s">
        <v>50</v>
      </c>
      <c r="YU20" t="s">
        <v>50</v>
      </c>
      <c r="YV20" t="s">
        <v>50</v>
      </c>
      <c r="YW20" t="s">
        <v>50</v>
      </c>
      <c r="YX20" t="s">
        <v>50</v>
      </c>
      <c r="YY20" t="s">
        <v>50</v>
      </c>
      <c r="YZ20" t="s">
        <v>50</v>
      </c>
      <c r="ZA20" t="s">
        <v>50</v>
      </c>
      <c r="ZB20" t="s">
        <v>50</v>
      </c>
      <c r="ZC20" t="s">
        <v>50</v>
      </c>
      <c r="ZD20" t="s">
        <v>50</v>
      </c>
      <c r="ZE20" t="s">
        <v>50</v>
      </c>
      <c r="ZF20" t="s">
        <v>50</v>
      </c>
      <c r="ZG20" t="s">
        <v>50</v>
      </c>
      <c r="ZH20" t="s">
        <v>50</v>
      </c>
      <c r="ZI20" t="s">
        <v>50</v>
      </c>
      <c r="ZJ20" t="s">
        <v>50</v>
      </c>
      <c r="ZK20" t="s">
        <v>50</v>
      </c>
      <c r="ZL20" t="s">
        <v>50</v>
      </c>
      <c r="ZM20" t="s">
        <v>50</v>
      </c>
      <c r="ZN20" t="s">
        <v>50</v>
      </c>
      <c r="ZO20" t="s">
        <v>50</v>
      </c>
      <c r="ZP20" t="s">
        <v>50</v>
      </c>
      <c r="ZQ20" t="s">
        <v>50</v>
      </c>
      <c r="ZR20" t="s">
        <v>50</v>
      </c>
      <c r="ZS20" t="s">
        <v>50</v>
      </c>
      <c r="ZT20" t="s">
        <v>50</v>
      </c>
      <c r="ZU20" t="s">
        <v>50</v>
      </c>
      <c r="ZV20" t="s">
        <v>50</v>
      </c>
      <c r="ZW20" t="s">
        <v>50</v>
      </c>
      <c r="ZX20" t="s">
        <v>50</v>
      </c>
      <c r="ZY20" t="s">
        <v>50</v>
      </c>
      <c r="ZZ20" t="s">
        <v>50</v>
      </c>
      <c r="AAA20" t="s">
        <v>50</v>
      </c>
      <c r="AAB20" t="s">
        <v>50</v>
      </c>
      <c r="AAC20" t="s">
        <v>50</v>
      </c>
      <c r="AAD20" t="s">
        <v>50</v>
      </c>
      <c r="AAE20" t="s">
        <v>50</v>
      </c>
      <c r="AAF20" t="s">
        <v>50</v>
      </c>
      <c r="AAG20" t="s">
        <v>50</v>
      </c>
      <c r="AAH20" t="s">
        <v>50</v>
      </c>
      <c r="AAI20" t="s">
        <v>50</v>
      </c>
      <c r="AAJ20" t="s">
        <v>50</v>
      </c>
      <c r="AAK20" t="s">
        <v>50</v>
      </c>
      <c r="AAL20" t="s">
        <v>50</v>
      </c>
      <c r="AAM20" t="s">
        <v>50</v>
      </c>
      <c r="AAN20" t="s">
        <v>50</v>
      </c>
      <c r="AAO20" t="s">
        <v>50</v>
      </c>
      <c r="AAP20" t="s">
        <v>50</v>
      </c>
      <c r="AAQ20" t="s">
        <v>50</v>
      </c>
      <c r="AAR20" t="s">
        <v>50</v>
      </c>
      <c r="AAS20" t="s">
        <v>50</v>
      </c>
      <c r="AAT20" t="s">
        <v>50</v>
      </c>
      <c r="AAU20" t="s">
        <v>50</v>
      </c>
      <c r="AAV20" t="s">
        <v>50</v>
      </c>
      <c r="AAW20" t="s">
        <v>50</v>
      </c>
      <c r="AAX20" t="s">
        <v>50</v>
      </c>
      <c r="AAY20" t="s">
        <v>50</v>
      </c>
      <c r="AAZ20" t="s">
        <v>50</v>
      </c>
      <c r="ABA20" t="s">
        <v>50</v>
      </c>
      <c r="ABB20" t="s">
        <v>50</v>
      </c>
      <c r="ABC20" t="s">
        <v>50</v>
      </c>
      <c r="ABD20" t="s">
        <v>50</v>
      </c>
      <c r="ABE20" t="s">
        <v>50</v>
      </c>
      <c r="ABF20" t="s">
        <v>50</v>
      </c>
      <c r="ABG20" t="s">
        <v>50</v>
      </c>
      <c r="ABH20" t="s">
        <v>50</v>
      </c>
      <c r="ABI20" t="s">
        <v>50</v>
      </c>
      <c r="ABJ20" t="s">
        <v>50</v>
      </c>
      <c r="ABK20" t="s">
        <v>50</v>
      </c>
      <c r="ABL20" t="s">
        <v>50</v>
      </c>
      <c r="ABM20" t="s">
        <v>50</v>
      </c>
      <c r="ABN20" t="s">
        <v>50</v>
      </c>
      <c r="ABO20" t="s">
        <v>50</v>
      </c>
      <c r="ABP20" t="s">
        <v>50</v>
      </c>
      <c r="ABQ20" t="s">
        <v>50</v>
      </c>
      <c r="ABR20" t="s">
        <v>50</v>
      </c>
      <c r="ABS20" t="s">
        <v>50</v>
      </c>
      <c r="ABT20" t="s">
        <v>50</v>
      </c>
      <c r="ABU20" t="s">
        <v>50</v>
      </c>
      <c r="ABV20" t="s">
        <v>50</v>
      </c>
      <c r="ABW20" t="s">
        <v>50</v>
      </c>
      <c r="ABX20" t="s">
        <v>50</v>
      </c>
      <c r="ABY20" t="s">
        <v>50</v>
      </c>
      <c r="ABZ20" t="s">
        <v>50</v>
      </c>
      <c r="ACA20" t="s">
        <v>50</v>
      </c>
      <c r="ACB20" t="s">
        <v>50</v>
      </c>
      <c r="ACC20" t="s">
        <v>50</v>
      </c>
      <c r="ACD20" t="s">
        <v>50</v>
      </c>
      <c r="ACE20" t="s">
        <v>50</v>
      </c>
      <c r="ACF20" t="s">
        <v>50</v>
      </c>
      <c r="ACG20" t="s">
        <v>50</v>
      </c>
      <c r="ACH20" t="s">
        <v>50</v>
      </c>
      <c r="ACI20" t="s">
        <v>50</v>
      </c>
      <c r="ACJ20" t="s">
        <v>50</v>
      </c>
      <c r="ACK20" t="s">
        <v>50</v>
      </c>
      <c r="ACL20" t="s">
        <v>50</v>
      </c>
      <c r="ACM20" t="s">
        <v>50</v>
      </c>
      <c r="ACN20" t="s">
        <v>50</v>
      </c>
      <c r="ACO20" t="s">
        <v>50</v>
      </c>
      <c r="ACP20" t="s">
        <v>50</v>
      </c>
      <c r="ACQ20" t="s">
        <v>50</v>
      </c>
      <c r="ACR20" t="s">
        <v>50</v>
      </c>
      <c r="ACS20" t="s">
        <v>50</v>
      </c>
      <c r="ACT20" t="s">
        <v>50</v>
      </c>
      <c r="ACU20" t="s">
        <v>50</v>
      </c>
      <c r="ACV20" t="s">
        <v>50</v>
      </c>
      <c r="ACW20" t="s">
        <v>50</v>
      </c>
      <c r="ACX20" t="s">
        <v>50</v>
      </c>
      <c r="ACY20" t="s">
        <v>50</v>
      </c>
      <c r="ACZ20" t="s">
        <v>50</v>
      </c>
      <c r="ADA20" t="s">
        <v>50</v>
      </c>
      <c r="ADB20" t="s">
        <v>50</v>
      </c>
      <c r="ADC20" t="s">
        <v>50</v>
      </c>
      <c r="ADD20" t="s">
        <v>50</v>
      </c>
      <c r="ADE20" t="s">
        <v>50</v>
      </c>
      <c r="ADF20" t="s">
        <v>50</v>
      </c>
      <c r="ADG20" t="s">
        <v>50</v>
      </c>
      <c r="ADH20" t="s">
        <v>50</v>
      </c>
      <c r="ADI20" t="s">
        <v>50</v>
      </c>
      <c r="ADJ20" t="s">
        <v>50</v>
      </c>
      <c r="ADK20" t="s">
        <v>50</v>
      </c>
      <c r="ADL20" t="s">
        <v>50</v>
      </c>
      <c r="ADM20" t="s">
        <v>50</v>
      </c>
      <c r="ADN20" t="s">
        <v>50</v>
      </c>
      <c r="ADO20" t="s">
        <v>50</v>
      </c>
      <c r="ADP20" t="s">
        <v>50</v>
      </c>
      <c r="ADQ20" t="s">
        <v>50</v>
      </c>
      <c r="ADR20" t="s">
        <v>50</v>
      </c>
      <c r="ADS20" t="s">
        <v>50</v>
      </c>
      <c r="ADT20" t="s">
        <v>50</v>
      </c>
      <c r="ADU20" t="s">
        <v>50</v>
      </c>
      <c r="ADV20" t="s">
        <v>50</v>
      </c>
      <c r="ADW20" t="s">
        <v>50</v>
      </c>
      <c r="ADX20" t="s">
        <v>50</v>
      </c>
      <c r="ADY20" t="s">
        <v>50</v>
      </c>
      <c r="ADZ20" t="s">
        <v>50</v>
      </c>
      <c r="AEA20" t="s">
        <v>50</v>
      </c>
      <c r="AEB20" t="s">
        <v>50</v>
      </c>
      <c r="AEC20" t="s">
        <v>50</v>
      </c>
      <c r="AED20" t="s">
        <v>50</v>
      </c>
      <c r="AEE20" t="s">
        <v>50</v>
      </c>
      <c r="AEF20" t="s">
        <v>50</v>
      </c>
      <c r="AEG20" t="s">
        <v>50</v>
      </c>
      <c r="AEH20" t="s">
        <v>50</v>
      </c>
      <c r="AEI20" t="s">
        <v>50</v>
      </c>
      <c r="AEJ20" t="s">
        <v>50</v>
      </c>
      <c r="AEK20" t="s">
        <v>50</v>
      </c>
      <c r="AEL20" t="s">
        <v>51</v>
      </c>
      <c r="AEM20" t="s">
        <v>51</v>
      </c>
      <c r="AEN20" t="s">
        <v>51</v>
      </c>
      <c r="AEO20" t="s">
        <v>51</v>
      </c>
      <c r="AEP20" t="s">
        <v>51</v>
      </c>
      <c r="AEQ20" t="s">
        <v>51</v>
      </c>
      <c r="AER20" t="s">
        <v>51</v>
      </c>
      <c r="AES20" t="s">
        <v>51</v>
      </c>
      <c r="AET20" t="s">
        <v>51</v>
      </c>
      <c r="AEU20" t="s">
        <v>51</v>
      </c>
      <c r="AEV20" t="s">
        <v>51</v>
      </c>
      <c r="AEW20" t="s">
        <v>51</v>
      </c>
      <c r="AEX20" t="s">
        <v>51</v>
      </c>
      <c r="AEY20" t="s">
        <v>51</v>
      </c>
      <c r="AEZ20" t="s">
        <v>51</v>
      </c>
      <c r="AFA20" t="s">
        <v>51</v>
      </c>
      <c r="AFB20" t="s">
        <v>51</v>
      </c>
      <c r="AFC20" t="s">
        <v>51</v>
      </c>
      <c r="AFD20" t="s">
        <v>51</v>
      </c>
      <c r="AFE20" t="s">
        <v>51</v>
      </c>
      <c r="AFF20" t="s">
        <v>51</v>
      </c>
      <c r="AFG20" t="s">
        <v>51</v>
      </c>
      <c r="AFH20" t="s">
        <v>51</v>
      </c>
      <c r="AFI20" t="s">
        <v>51</v>
      </c>
      <c r="AFJ20" t="s">
        <v>51</v>
      </c>
      <c r="AFK20" t="s">
        <v>51</v>
      </c>
      <c r="AFL20" t="s">
        <v>51</v>
      </c>
      <c r="AFM20" t="s">
        <v>51</v>
      </c>
      <c r="AFN20" t="s">
        <v>51</v>
      </c>
      <c r="AFO20" t="s">
        <v>51</v>
      </c>
      <c r="AFP20" t="s">
        <v>51</v>
      </c>
      <c r="AFQ20" t="s">
        <v>51</v>
      </c>
      <c r="AFR20" t="s">
        <v>51</v>
      </c>
      <c r="AFS20" t="s">
        <v>51</v>
      </c>
      <c r="AFT20" t="s">
        <v>51</v>
      </c>
      <c r="AFU20" t="s">
        <v>51</v>
      </c>
      <c r="AFV20" t="s">
        <v>51</v>
      </c>
      <c r="AFW20" t="s">
        <v>51</v>
      </c>
      <c r="AFX20" t="s">
        <v>51</v>
      </c>
      <c r="AFY20" t="s">
        <v>51</v>
      </c>
      <c r="AFZ20" t="s">
        <v>51</v>
      </c>
      <c r="AGA20" t="s">
        <v>51</v>
      </c>
      <c r="AGB20" t="s">
        <v>51</v>
      </c>
      <c r="AGC20" t="s">
        <v>51</v>
      </c>
      <c r="AGD20" t="s">
        <v>51</v>
      </c>
      <c r="AGE20" t="s">
        <v>51</v>
      </c>
      <c r="AGF20" t="s">
        <v>51</v>
      </c>
      <c r="AGG20" t="s">
        <v>51</v>
      </c>
      <c r="AGH20" t="s">
        <v>51</v>
      </c>
      <c r="AGI20" t="s">
        <v>51</v>
      </c>
      <c r="AGJ20" t="s">
        <v>51</v>
      </c>
      <c r="AGK20" t="s">
        <v>51</v>
      </c>
      <c r="AGL20" t="s">
        <v>51</v>
      </c>
      <c r="AGM20" t="s">
        <v>51</v>
      </c>
      <c r="AGN20" t="s">
        <v>51</v>
      </c>
      <c r="AGO20" t="s">
        <v>51</v>
      </c>
      <c r="AGP20" t="s">
        <v>51</v>
      </c>
      <c r="AGQ20" t="s">
        <v>51</v>
      </c>
      <c r="AGR20" t="s">
        <v>51</v>
      </c>
      <c r="AGS20" t="s">
        <v>51</v>
      </c>
      <c r="AGT20" t="s">
        <v>51</v>
      </c>
      <c r="AGU20" t="s">
        <v>51</v>
      </c>
      <c r="AGV20" t="s">
        <v>51</v>
      </c>
      <c r="AGW20" t="s">
        <v>51</v>
      </c>
      <c r="AGX20" t="s">
        <v>51</v>
      </c>
      <c r="AGY20" t="s">
        <v>51</v>
      </c>
      <c r="AGZ20" t="s">
        <v>51</v>
      </c>
      <c r="AHA20" t="s">
        <v>51</v>
      </c>
      <c r="AHB20" t="s">
        <v>51</v>
      </c>
      <c r="AHC20" t="s">
        <v>51</v>
      </c>
      <c r="AHD20" t="s">
        <v>51</v>
      </c>
      <c r="AHE20" t="s">
        <v>51</v>
      </c>
      <c r="AHF20" t="s">
        <v>51</v>
      </c>
      <c r="AHG20" t="s">
        <v>51</v>
      </c>
      <c r="AHH20" t="s">
        <v>51</v>
      </c>
      <c r="AHI20" t="s">
        <v>51</v>
      </c>
      <c r="AHJ20" t="s">
        <v>51</v>
      </c>
      <c r="AHK20" t="s">
        <v>51</v>
      </c>
      <c r="AHL20" t="s">
        <v>51</v>
      </c>
      <c r="AHM20" t="s">
        <v>51</v>
      </c>
      <c r="AHN20" t="s">
        <v>51</v>
      </c>
      <c r="AHO20" t="s">
        <v>51</v>
      </c>
      <c r="AHP20" t="s">
        <v>51</v>
      </c>
      <c r="AHQ20" t="s">
        <v>51</v>
      </c>
      <c r="AHR20" t="s">
        <v>51</v>
      </c>
      <c r="AHS20" t="s">
        <v>51</v>
      </c>
      <c r="AHT20" t="s">
        <v>51</v>
      </c>
      <c r="AHU20" t="s">
        <v>51</v>
      </c>
      <c r="AHV20" t="s">
        <v>51</v>
      </c>
      <c r="AHW20" t="s">
        <v>51</v>
      </c>
      <c r="AHX20" t="s">
        <v>51</v>
      </c>
      <c r="AHY20" t="s">
        <v>51</v>
      </c>
      <c r="AHZ20" t="s">
        <v>51</v>
      </c>
      <c r="AIA20" t="s">
        <v>51</v>
      </c>
      <c r="AIB20" t="s">
        <v>51</v>
      </c>
      <c r="AIC20" t="s">
        <v>51</v>
      </c>
      <c r="AID20" t="s">
        <v>51</v>
      </c>
      <c r="AIE20" t="s">
        <v>51</v>
      </c>
      <c r="AIF20" t="s">
        <v>51</v>
      </c>
      <c r="AIG20" t="s">
        <v>51</v>
      </c>
      <c r="AIH20" t="s">
        <v>51</v>
      </c>
      <c r="AII20" t="s">
        <v>51</v>
      </c>
      <c r="AIJ20" t="s">
        <v>51</v>
      </c>
      <c r="AIK20" t="s">
        <v>51</v>
      </c>
      <c r="AIL20" t="s">
        <v>51</v>
      </c>
      <c r="AIM20" t="s">
        <v>51</v>
      </c>
      <c r="AIN20" t="s">
        <v>51</v>
      </c>
      <c r="AIO20" t="s">
        <v>51</v>
      </c>
      <c r="AIP20" t="s">
        <v>51</v>
      </c>
      <c r="AIQ20" t="s">
        <v>51</v>
      </c>
      <c r="AIR20" t="s">
        <v>51</v>
      </c>
      <c r="AIS20" t="s">
        <v>51</v>
      </c>
      <c r="AIT20" t="s">
        <v>51</v>
      </c>
      <c r="AIU20" t="s">
        <v>51</v>
      </c>
      <c r="AIV20" t="s">
        <v>51</v>
      </c>
      <c r="AIW20" t="s">
        <v>51</v>
      </c>
      <c r="AIX20" t="s">
        <v>51</v>
      </c>
      <c r="AIY20" t="s">
        <v>51</v>
      </c>
      <c r="AIZ20" t="s">
        <v>51</v>
      </c>
      <c r="AJA20" t="s">
        <v>51</v>
      </c>
      <c r="AJB20" t="s">
        <v>51</v>
      </c>
      <c r="AJC20" t="s">
        <v>51</v>
      </c>
      <c r="AJD20" t="s">
        <v>51</v>
      </c>
      <c r="AJE20" t="s">
        <v>51</v>
      </c>
      <c r="AJF20" t="s">
        <v>51</v>
      </c>
      <c r="AJG20" t="s">
        <v>51</v>
      </c>
      <c r="AJH20" t="s">
        <v>51</v>
      </c>
      <c r="AJI20" t="s">
        <v>51</v>
      </c>
      <c r="AJJ20" t="s">
        <v>51</v>
      </c>
      <c r="AJK20" t="s">
        <v>51</v>
      </c>
      <c r="AJL20" t="s">
        <v>51</v>
      </c>
      <c r="AJM20" t="s">
        <v>51</v>
      </c>
      <c r="AJN20" t="s">
        <v>51</v>
      </c>
      <c r="AJO20" t="s">
        <v>51</v>
      </c>
      <c r="AJP20" t="s">
        <v>51</v>
      </c>
      <c r="AJQ20" t="s">
        <v>51</v>
      </c>
      <c r="AJR20" t="s">
        <v>51</v>
      </c>
      <c r="AJS20" t="s">
        <v>51</v>
      </c>
      <c r="AJT20" t="s">
        <v>51</v>
      </c>
      <c r="AJU20" t="s">
        <v>51</v>
      </c>
      <c r="AJV20" t="s">
        <v>51</v>
      </c>
      <c r="AJW20" t="s">
        <v>51</v>
      </c>
      <c r="AJX20" t="s">
        <v>51</v>
      </c>
      <c r="AJY20" t="s">
        <v>51</v>
      </c>
      <c r="AJZ20" t="s">
        <v>51</v>
      </c>
      <c r="AKA20" t="s">
        <v>51</v>
      </c>
      <c r="AKB20" t="s">
        <v>51</v>
      </c>
      <c r="AKC20" t="s">
        <v>51</v>
      </c>
      <c r="AKD20" t="s">
        <v>51</v>
      </c>
      <c r="AKE20" t="s">
        <v>51</v>
      </c>
      <c r="AKF20" t="s">
        <v>51</v>
      </c>
      <c r="AKG20" t="s">
        <v>51</v>
      </c>
      <c r="AKH20" t="s">
        <v>51</v>
      </c>
      <c r="AKI20" t="s">
        <v>51</v>
      </c>
      <c r="AKJ20" t="s">
        <v>51</v>
      </c>
      <c r="AKK20" t="s">
        <v>51</v>
      </c>
      <c r="AKL20" t="s">
        <v>51</v>
      </c>
      <c r="AKM20" t="s">
        <v>51</v>
      </c>
      <c r="AKN20" t="s">
        <v>51</v>
      </c>
      <c r="AKO20" t="s">
        <v>51</v>
      </c>
      <c r="AKP20" t="s">
        <v>51</v>
      </c>
      <c r="AKQ20" t="s">
        <v>51</v>
      </c>
      <c r="AKR20" t="s">
        <v>51</v>
      </c>
      <c r="AKS20" t="s">
        <v>51</v>
      </c>
      <c r="AKT20" t="s">
        <v>51</v>
      </c>
      <c r="AKU20" t="s">
        <v>51</v>
      </c>
      <c r="AKV20" t="s">
        <v>51</v>
      </c>
      <c r="AKW20" t="s">
        <v>51</v>
      </c>
      <c r="AKX20" t="s">
        <v>51</v>
      </c>
      <c r="AKY20" t="s">
        <v>51</v>
      </c>
      <c r="AKZ20" t="s">
        <v>51</v>
      </c>
      <c r="ALA20" t="s">
        <v>51</v>
      </c>
      <c r="ALB20" t="s">
        <v>51</v>
      </c>
      <c r="ALC20" t="s">
        <v>51</v>
      </c>
      <c r="ALD20" t="s">
        <v>51</v>
      </c>
      <c r="ALE20" t="s">
        <v>51</v>
      </c>
      <c r="ALF20" t="s">
        <v>51</v>
      </c>
      <c r="ALG20" t="s">
        <v>51</v>
      </c>
      <c r="ALH20" t="s">
        <v>51</v>
      </c>
      <c r="ALI20" t="s">
        <v>51</v>
      </c>
      <c r="ALJ20" t="s">
        <v>51</v>
      </c>
      <c r="ALK20" t="s">
        <v>51</v>
      </c>
      <c r="ALL20" t="s">
        <v>51</v>
      </c>
      <c r="ALM20" t="s">
        <v>51</v>
      </c>
      <c r="ALN20" t="s">
        <v>51</v>
      </c>
      <c r="ALO20" t="s">
        <v>51</v>
      </c>
      <c r="ALP20" t="s">
        <v>51</v>
      </c>
      <c r="ALQ20" t="s">
        <v>51</v>
      </c>
      <c r="ALR20" t="s">
        <v>51</v>
      </c>
      <c r="ALS20" t="s">
        <v>51</v>
      </c>
      <c r="ALT20" t="s">
        <v>51</v>
      </c>
      <c r="ALU20" t="s">
        <v>51</v>
      </c>
      <c r="ALV20" t="s">
        <v>52</v>
      </c>
      <c r="ALW20" t="s">
        <v>52</v>
      </c>
      <c r="ALX20" t="s">
        <v>52</v>
      </c>
      <c r="ALY20" t="s">
        <v>52</v>
      </c>
      <c r="ALZ20" t="s">
        <v>52</v>
      </c>
      <c r="AMA20" t="s">
        <v>52</v>
      </c>
      <c r="AMB20" t="s">
        <v>52</v>
      </c>
      <c r="AMC20" t="s">
        <v>52</v>
      </c>
      <c r="AMD20" t="s">
        <v>52</v>
      </c>
      <c r="AME20" t="s">
        <v>52</v>
      </c>
      <c r="AMF20" t="s">
        <v>52</v>
      </c>
      <c r="AMG20" t="s">
        <v>52</v>
      </c>
      <c r="AMH20" t="s">
        <v>52</v>
      </c>
      <c r="AMI20" t="s">
        <v>52</v>
      </c>
      <c r="AMJ20" t="s">
        <v>52</v>
      </c>
      <c r="AMK20" t="s">
        <v>52</v>
      </c>
      <c r="AML20" t="s">
        <v>52</v>
      </c>
      <c r="AMM20" t="s">
        <v>52</v>
      </c>
      <c r="AMN20" t="s">
        <v>52</v>
      </c>
      <c r="AMO20" t="s">
        <v>52</v>
      </c>
      <c r="AMP20" t="s">
        <v>52</v>
      </c>
      <c r="AMQ20" t="s">
        <v>52</v>
      </c>
      <c r="AMR20" t="s">
        <v>52</v>
      </c>
      <c r="AMS20" t="s">
        <v>52</v>
      </c>
      <c r="AMT20" t="s">
        <v>52</v>
      </c>
      <c r="AMU20" t="s">
        <v>52</v>
      </c>
      <c r="AMV20" t="s">
        <v>52</v>
      </c>
      <c r="AMW20" t="s">
        <v>52</v>
      </c>
      <c r="AMX20" t="s">
        <v>52</v>
      </c>
      <c r="AMY20" t="s">
        <v>52</v>
      </c>
      <c r="AMZ20" t="s">
        <v>52</v>
      </c>
      <c r="ANA20" t="s">
        <v>52</v>
      </c>
      <c r="ANB20" t="s">
        <v>52</v>
      </c>
      <c r="ANC20" t="s">
        <v>52</v>
      </c>
      <c r="AND20" t="s">
        <v>52</v>
      </c>
      <c r="ANE20" t="s">
        <v>52</v>
      </c>
      <c r="ANF20" t="s">
        <v>52</v>
      </c>
      <c r="ANG20" t="s">
        <v>52</v>
      </c>
      <c r="ANH20" t="s">
        <v>52</v>
      </c>
      <c r="ANI20" t="s">
        <v>52</v>
      </c>
      <c r="ANJ20" t="s">
        <v>52</v>
      </c>
      <c r="ANK20" t="s">
        <v>52</v>
      </c>
      <c r="ANL20" t="s">
        <v>52</v>
      </c>
      <c r="ANM20" t="s">
        <v>52</v>
      </c>
      <c r="ANN20" t="s">
        <v>52</v>
      </c>
      <c r="ANO20" t="s">
        <v>52</v>
      </c>
      <c r="ANP20" t="s">
        <v>52</v>
      </c>
      <c r="ANQ20" t="s">
        <v>52</v>
      </c>
      <c r="ANR20" t="s">
        <v>52</v>
      </c>
      <c r="ANS20" t="s">
        <v>52</v>
      </c>
      <c r="ANT20" t="s">
        <v>52</v>
      </c>
      <c r="ANU20" t="s">
        <v>52</v>
      </c>
      <c r="ANV20" t="s">
        <v>52</v>
      </c>
      <c r="ANW20" t="s">
        <v>52</v>
      </c>
      <c r="ANX20" t="s">
        <v>52</v>
      </c>
      <c r="ANY20" t="s">
        <v>52</v>
      </c>
      <c r="ANZ20" t="s">
        <v>52</v>
      </c>
      <c r="AOA20" t="s">
        <v>52</v>
      </c>
      <c r="AOB20" t="s">
        <v>52</v>
      </c>
      <c r="AOC20" t="s">
        <v>52</v>
      </c>
      <c r="AOD20" t="s">
        <v>52</v>
      </c>
      <c r="AOE20" t="s">
        <v>52</v>
      </c>
      <c r="AOF20" t="s">
        <v>52</v>
      </c>
      <c r="AOG20" t="s">
        <v>52</v>
      </c>
      <c r="AOH20" t="s">
        <v>52</v>
      </c>
      <c r="AOI20" t="s">
        <v>52</v>
      </c>
      <c r="AOJ20" t="s">
        <v>52</v>
      </c>
      <c r="AOK20" t="s">
        <v>52</v>
      </c>
      <c r="AOL20" t="s">
        <v>52</v>
      </c>
      <c r="AOM20" t="s">
        <v>52</v>
      </c>
      <c r="AON20" t="s">
        <v>52</v>
      </c>
      <c r="AOO20" t="s">
        <v>52</v>
      </c>
      <c r="AOP20" t="s">
        <v>52</v>
      </c>
      <c r="AOQ20" t="s">
        <v>52</v>
      </c>
      <c r="AOR20" t="s">
        <v>52</v>
      </c>
      <c r="AOS20" t="s">
        <v>52</v>
      </c>
      <c r="AOT20" t="s">
        <v>52</v>
      </c>
      <c r="AOU20" t="s">
        <v>52</v>
      </c>
      <c r="AOV20" t="s">
        <v>52</v>
      </c>
      <c r="AOW20" t="s">
        <v>52</v>
      </c>
      <c r="AOX20" t="s">
        <v>52</v>
      </c>
      <c r="AOY20" t="s">
        <v>52</v>
      </c>
      <c r="AOZ20" t="s">
        <v>52</v>
      </c>
      <c r="APA20" t="s">
        <v>52</v>
      </c>
      <c r="APB20" t="s">
        <v>52</v>
      </c>
      <c r="APC20" t="s">
        <v>52</v>
      </c>
      <c r="APD20" t="s">
        <v>52</v>
      </c>
      <c r="APE20" t="s">
        <v>52</v>
      </c>
      <c r="APF20" t="s">
        <v>52</v>
      </c>
      <c r="APG20" t="s">
        <v>52</v>
      </c>
      <c r="APH20" t="s">
        <v>52</v>
      </c>
      <c r="API20" t="s">
        <v>52</v>
      </c>
      <c r="APJ20" t="s">
        <v>52</v>
      </c>
      <c r="APK20" t="s">
        <v>52</v>
      </c>
      <c r="APL20" t="s">
        <v>52</v>
      </c>
      <c r="APM20" t="s">
        <v>52</v>
      </c>
      <c r="APN20" t="s">
        <v>52</v>
      </c>
      <c r="APO20" t="s">
        <v>52</v>
      </c>
      <c r="APP20" t="s">
        <v>52</v>
      </c>
      <c r="APQ20" t="s">
        <v>52</v>
      </c>
      <c r="APR20" t="s">
        <v>52</v>
      </c>
      <c r="APS20" t="s">
        <v>52</v>
      </c>
      <c r="APT20" t="s">
        <v>52</v>
      </c>
      <c r="APU20" t="s">
        <v>52</v>
      </c>
      <c r="APV20" t="s">
        <v>52</v>
      </c>
      <c r="APW20" t="s">
        <v>52</v>
      </c>
      <c r="APX20" t="s">
        <v>52</v>
      </c>
      <c r="APY20" t="s">
        <v>52</v>
      </c>
      <c r="APZ20" t="s">
        <v>52</v>
      </c>
      <c r="AQA20" t="s">
        <v>52</v>
      </c>
      <c r="AQB20" t="s">
        <v>52</v>
      </c>
      <c r="AQC20" t="s">
        <v>52</v>
      </c>
      <c r="AQD20" t="s">
        <v>52</v>
      </c>
      <c r="AQE20" t="s">
        <v>52</v>
      </c>
      <c r="AQF20" t="s">
        <v>52</v>
      </c>
      <c r="AQG20" t="s">
        <v>52</v>
      </c>
      <c r="AQH20" t="s">
        <v>52</v>
      </c>
      <c r="AQI20" t="s">
        <v>52</v>
      </c>
      <c r="AQJ20" t="s">
        <v>52</v>
      </c>
      <c r="AQK20" t="s">
        <v>52</v>
      </c>
      <c r="AQL20" t="s">
        <v>52</v>
      </c>
      <c r="AQM20" t="s">
        <v>52</v>
      </c>
      <c r="AQN20" t="s">
        <v>52</v>
      </c>
      <c r="AQO20" t="s">
        <v>52</v>
      </c>
      <c r="AQP20" t="s">
        <v>52</v>
      </c>
      <c r="AQQ20" t="s">
        <v>52</v>
      </c>
      <c r="AQR20" t="s">
        <v>52</v>
      </c>
      <c r="AQS20" t="s">
        <v>52</v>
      </c>
      <c r="AQT20" t="s">
        <v>52</v>
      </c>
      <c r="AQU20" t="s">
        <v>52</v>
      </c>
      <c r="AQV20" t="s">
        <v>52</v>
      </c>
      <c r="AQW20" t="s">
        <v>52</v>
      </c>
      <c r="AQX20" t="s">
        <v>52</v>
      </c>
      <c r="AQY20" t="s">
        <v>52</v>
      </c>
      <c r="AQZ20" t="s">
        <v>52</v>
      </c>
      <c r="ARA20" t="s">
        <v>52</v>
      </c>
      <c r="ARB20" t="s">
        <v>52</v>
      </c>
      <c r="ARC20" t="s">
        <v>52</v>
      </c>
      <c r="ARD20" t="s">
        <v>52</v>
      </c>
      <c r="ARE20" t="s">
        <v>52</v>
      </c>
      <c r="ARF20" t="s">
        <v>52</v>
      </c>
      <c r="ARG20" t="s">
        <v>52</v>
      </c>
      <c r="ARH20" t="s">
        <v>52</v>
      </c>
      <c r="ARI20" t="s">
        <v>52</v>
      </c>
      <c r="ARJ20" t="s">
        <v>52</v>
      </c>
      <c r="ARK20" t="s">
        <v>52</v>
      </c>
      <c r="ARL20" t="s">
        <v>52</v>
      </c>
      <c r="ARM20" t="s">
        <v>52</v>
      </c>
      <c r="ARN20" t="s">
        <v>52</v>
      </c>
      <c r="ARO20" t="s">
        <v>52</v>
      </c>
      <c r="ARP20" t="s">
        <v>52</v>
      </c>
      <c r="ARQ20" t="s">
        <v>52</v>
      </c>
      <c r="ARR20" t="s">
        <v>52</v>
      </c>
      <c r="ARS20" t="s">
        <v>52</v>
      </c>
      <c r="ART20" t="s">
        <v>52</v>
      </c>
      <c r="ARU20" t="s">
        <v>52</v>
      </c>
      <c r="ARV20" t="s">
        <v>52</v>
      </c>
      <c r="ARW20" t="s">
        <v>52</v>
      </c>
      <c r="ARX20" t="s">
        <v>52</v>
      </c>
      <c r="ARY20" t="s">
        <v>52</v>
      </c>
      <c r="ARZ20" t="s">
        <v>52</v>
      </c>
      <c r="ASA20" t="s">
        <v>52</v>
      </c>
      <c r="ASB20" t="s">
        <v>52</v>
      </c>
      <c r="ASC20" t="s">
        <v>52</v>
      </c>
      <c r="ASD20" t="s">
        <v>52</v>
      </c>
      <c r="ASE20" t="s">
        <v>52</v>
      </c>
      <c r="ASF20" t="s">
        <v>52</v>
      </c>
      <c r="ASG20" t="s">
        <v>52</v>
      </c>
      <c r="ASH20" t="s">
        <v>52</v>
      </c>
      <c r="ASI20" t="s">
        <v>52</v>
      </c>
      <c r="ASJ20" t="s">
        <v>52</v>
      </c>
      <c r="ASK20" t="s">
        <v>52</v>
      </c>
      <c r="ASL20" t="s">
        <v>52</v>
      </c>
      <c r="ASM20" t="s">
        <v>52</v>
      </c>
      <c r="ASN20" t="s">
        <v>52</v>
      </c>
      <c r="ASO20" t="s">
        <v>52</v>
      </c>
      <c r="ASP20" t="s">
        <v>52</v>
      </c>
      <c r="ASQ20" t="s">
        <v>52</v>
      </c>
      <c r="ASR20" t="s">
        <v>52</v>
      </c>
      <c r="ASS20" t="s">
        <v>52</v>
      </c>
      <c r="AST20" t="s">
        <v>52</v>
      </c>
      <c r="ASU20" t="s">
        <v>52</v>
      </c>
      <c r="ASV20" t="s">
        <v>52</v>
      </c>
      <c r="ASW20" t="s">
        <v>52</v>
      </c>
      <c r="ASX20" t="s">
        <v>52</v>
      </c>
      <c r="ASY20" t="s">
        <v>52</v>
      </c>
      <c r="ASZ20" t="s">
        <v>52</v>
      </c>
      <c r="ATA20" t="s">
        <v>52</v>
      </c>
      <c r="ATB20" t="s">
        <v>52</v>
      </c>
      <c r="ATC20" t="s">
        <v>52</v>
      </c>
      <c r="ATD20" t="s">
        <v>52</v>
      </c>
      <c r="ATE20" t="s">
        <v>52</v>
      </c>
    </row>
    <row r="22" spans="1:1201" x14ac:dyDescent="0.35">
      <c r="A22" s="50"/>
    </row>
    <row r="29" spans="1:1201" x14ac:dyDescent="0.35">
      <c r="A29" s="50"/>
    </row>
    <row r="36" spans="1:1" x14ac:dyDescent="0.35">
      <c r="A36" s="5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660D-60E4-43D3-B6F1-7595C143594F}">
  <sheetPr codeName="Sheet18"/>
  <dimension ref="A1:AA247"/>
  <sheetViews>
    <sheetView topLeftCell="H14" workbookViewId="0">
      <selection activeCell="O36" sqref="O36"/>
    </sheetView>
  </sheetViews>
  <sheetFormatPr defaultRowHeight="14.5" x14ac:dyDescent="0.35"/>
  <cols>
    <col min="1" max="1" width="26.81640625" customWidth="1"/>
    <col min="2" max="2" width="18" customWidth="1"/>
    <col min="3" max="3" width="16.453125" customWidth="1"/>
    <col min="4" max="4" width="17.7265625" customWidth="1"/>
    <col min="5" max="5" width="17.54296875" customWidth="1"/>
    <col min="6" max="6" width="14.1796875" customWidth="1"/>
    <col min="7" max="7" width="15.54296875" customWidth="1"/>
    <col min="8" max="8" width="13.7265625" customWidth="1"/>
    <col min="9" max="9" width="17.54296875" customWidth="1"/>
    <col min="10" max="10" width="18.7265625" customWidth="1"/>
    <col min="11" max="11" width="18.1796875" customWidth="1"/>
    <col min="12" max="12" width="24.54296875" customWidth="1"/>
    <col min="13" max="13" width="16.81640625" customWidth="1"/>
    <col min="14" max="14" width="19.54296875" customWidth="1"/>
    <col min="15" max="15" width="18.26953125" customWidth="1"/>
    <col min="16" max="16" width="17.81640625" customWidth="1"/>
    <col min="17" max="17" width="15.453125" customWidth="1"/>
    <col min="18" max="18" width="11.26953125" customWidth="1"/>
    <col min="19" max="19" width="12.54296875" customWidth="1"/>
    <col min="21" max="21" width="12.1796875" bestFit="1" customWidth="1"/>
    <col min="22" max="22" width="10.1796875" bestFit="1" customWidth="1"/>
  </cols>
  <sheetData>
    <row r="1" spans="1:24" ht="18.5" x14ac:dyDescent="0.45">
      <c r="A1" s="1" t="s">
        <v>76</v>
      </c>
      <c r="B1" s="1"/>
      <c r="D1" s="117"/>
      <c r="G1" s="25"/>
      <c r="I1" s="60">
        <f>MathSheet!B7</f>
        <v>0.9443652342213894</v>
      </c>
      <c r="J1" s="166"/>
      <c r="N1" s="26"/>
    </row>
    <row r="2" spans="1:24" ht="15.5" x14ac:dyDescent="0.35">
      <c r="A2" s="1" t="s">
        <v>92</v>
      </c>
      <c r="B2" s="58">
        <v>20</v>
      </c>
      <c r="D2" s="280" t="s">
        <v>239</v>
      </c>
      <c r="E2" s="170" t="s">
        <v>240</v>
      </c>
      <c r="G2" s="1" t="s">
        <v>89</v>
      </c>
    </row>
    <row r="3" spans="1:24" x14ac:dyDescent="0.35">
      <c r="A3" s="1" t="s">
        <v>86</v>
      </c>
      <c r="B3" s="83">
        <v>3</v>
      </c>
      <c r="C3" s="5" t="s">
        <v>244</v>
      </c>
      <c r="D3" s="148">
        <v>0.02</v>
      </c>
      <c r="E3" s="277">
        <v>0.34973169999999998</v>
      </c>
      <c r="G3" t="s">
        <v>74</v>
      </c>
      <c r="H3" t="s">
        <v>12</v>
      </c>
      <c r="I3" t="s">
        <v>9</v>
      </c>
      <c r="J3" t="s">
        <v>177</v>
      </c>
      <c r="K3" t="s">
        <v>178</v>
      </c>
    </row>
    <row r="4" spans="1:24" ht="18.5" x14ac:dyDescent="0.45">
      <c r="A4" t="s">
        <v>87</v>
      </c>
      <c r="B4" s="171">
        <v>3.9E-2</v>
      </c>
      <c r="C4" s="5" t="s">
        <v>245</v>
      </c>
      <c r="D4" s="148">
        <v>0.03</v>
      </c>
      <c r="E4" s="281">
        <v>0.63232896999999999</v>
      </c>
      <c r="G4" s="249">
        <f>BaseB!N25</f>
        <v>0.5</v>
      </c>
      <c r="H4" s="90">
        <f>1-SUM(H5:H24)</f>
        <v>0.29659999999999997</v>
      </c>
      <c r="I4" s="158">
        <f>G4 * H4</f>
        <v>0.14829999999999999</v>
      </c>
      <c r="J4" s="250">
        <f>H4</f>
        <v>0.29659999999999997</v>
      </c>
      <c r="K4" s="251">
        <f>G4 * J4</f>
        <v>0.14829999999999999</v>
      </c>
      <c r="L4" s="6"/>
      <c r="M4">
        <f>SUM(H$4:H4)  * 10000</f>
        <v>2965.9999999999995</v>
      </c>
    </row>
    <row r="5" spans="1:24" ht="18.5" x14ac:dyDescent="0.45">
      <c r="B5" s="171"/>
      <c r="E5" s="23"/>
      <c r="G5" s="249">
        <f>BaseB!N26</f>
        <v>1</v>
      </c>
      <c r="H5" s="90">
        <v>0.3</v>
      </c>
      <c r="I5" s="158">
        <f t="shared" ref="I5:I24" si="0">G5 * H5</f>
        <v>0.3</v>
      </c>
      <c r="J5" s="250">
        <f t="shared" ref="J5:J24" si="1">H5</f>
        <v>0.3</v>
      </c>
      <c r="K5" s="251">
        <f t="shared" ref="K5:K24" si="2">G5 * J5</f>
        <v>0.3</v>
      </c>
      <c r="L5" s="6"/>
      <c r="M5">
        <f>SUM(H$4:H5)  * 10000</f>
        <v>5966</v>
      </c>
      <c r="R5" s="132"/>
      <c r="S5" s="132"/>
    </row>
    <row r="6" spans="1:24" x14ac:dyDescent="0.35">
      <c r="G6" s="249">
        <f>BaseB!N27</f>
        <v>1.5</v>
      </c>
      <c r="H6" s="90">
        <v>0.13</v>
      </c>
      <c r="I6" s="158">
        <f t="shared" si="0"/>
        <v>0.19500000000000001</v>
      </c>
      <c r="J6" s="250">
        <f t="shared" si="1"/>
        <v>0.13</v>
      </c>
      <c r="K6" s="251">
        <f t="shared" si="2"/>
        <v>0.19500000000000001</v>
      </c>
      <c r="L6" s="6"/>
      <c r="M6">
        <f>SUM(H$4:H6)  * 10000</f>
        <v>7266</v>
      </c>
      <c r="R6" s="132"/>
      <c r="S6" s="132"/>
    </row>
    <row r="7" spans="1:24" x14ac:dyDescent="0.35">
      <c r="A7" s="50" t="s">
        <v>81</v>
      </c>
      <c r="G7" s="249">
        <f>BaseB!N28</f>
        <v>2</v>
      </c>
      <c r="H7" s="90">
        <v>0.09</v>
      </c>
      <c r="I7" s="158">
        <f t="shared" si="0"/>
        <v>0.18</v>
      </c>
      <c r="J7" s="250">
        <f t="shared" si="1"/>
        <v>0.09</v>
      </c>
      <c r="K7" s="251">
        <f t="shared" si="2"/>
        <v>0.18</v>
      </c>
      <c r="L7" s="6"/>
      <c r="M7">
        <f>SUM(H$4:H7)  * 10000</f>
        <v>8166</v>
      </c>
      <c r="S7" s="132"/>
      <c r="U7" s="7"/>
    </row>
    <row r="8" spans="1:24" x14ac:dyDescent="0.35">
      <c r="A8" s="134" t="s">
        <v>1</v>
      </c>
      <c r="B8" s="135" t="s">
        <v>2</v>
      </c>
      <c r="C8" s="134" t="s">
        <v>3</v>
      </c>
      <c r="D8" s="135" t="s">
        <v>4</v>
      </c>
      <c r="E8" s="134" t="s">
        <v>5</v>
      </c>
      <c r="G8" s="249">
        <f>BaseB!N29</f>
        <v>2.5</v>
      </c>
      <c r="H8" s="90">
        <v>0.05</v>
      </c>
      <c r="I8" s="158">
        <f t="shared" si="0"/>
        <v>0.125</v>
      </c>
      <c r="J8" s="250">
        <f t="shared" si="1"/>
        <v>0.05</v>
      </c>
      <c r="K8" s="251">
        <f t="shared" si="2"/>
        <v>0.125</v>
      </c>
      <c r="L8" s="6"/>
      <c r="M8">
        <f>SUM(H$4:H8)  * 10000</f>
        <v>8666</v>
      </c>
      <c r="S8" s="132"/>
      <c r="U8" s="7"/>
    </row>
    <row r="9" spans="1:24" x14ac:dyDescent="0.35">
      <c r="A9" s="156">
        <f>$B$4</f>
        <v>3.9E-2</v>
      </c>
      <c r="B9" s="156">
        <f t="shared" ref="B9:E12" si="3">$B$4</f>
        <v>3.9E-2</v>
      </c>
      <c r="C9" s="156">
        <f t="shared" si="3"/>
        <v>3.9E-2</v>
      </c>
      <c r="D9" s="156">
        <f t="shared" si="3"/>
        <v>3.9E-2</v>
      </c>
      <c r="E9" s="156">
        <f t="shared" si="3"/>
        <v>3.9E-2</v>
      </c>
      <c r="G9" s="249">
        <f>BaseB!N30</f>
        <v>3</v>
      </c>
      <c r="H9" s="90">
        <v>0.03</v>
      </c>
      <c r="I9" s="158">
        <f t="shared" si="0"/>
        <v>0.09</v>
      </c>
      <c r="J9" s="250">
        <f t="shared" si="1"/>
        <v>0.03</v>
      </c>
      <c r="K9" s="251">
        <f t="shared" si="2"/>
        <v>0.09</v>
      </c>
      <c r="L9" s="6"/>
      <c r="M9">
        <f>SUM(H$4:H9)  * 10000</f>
        <v>8966</v>
      </c>
      <c r="S9" s="132"/>
      <c r="U9" s="7"/>
    </row>
    <row r="10" spans="1:24" x14ac:dyDescent="0.35">
      <c r="A10" s="156">
        <f t="shared" ref="A10:A12" si="4">$B$4</f>
        <v>3.9E-2</v>
      </c>
      <c r="B10" s="156">
        <f t="shared" si="3"/>
        <v>3.9E-2</v>
      </c>
      <c r="C10" s="156">
        <f t="shared" si="3"/>
        <v>3.9E-2</v>
      </c>
      <c r="D10" s="156">
        <f t="shared" si="3"/>
        <v>3.9E-2</v>
      </c>
      <c r="E10" s="156">
        <f t="shared" si="3"/>
        <v>3.9E-2</v>
      </c>
      <c r="G10" s="249">
        <f>BaseB!N31</f>
        <v>3.5</v>
      </c>
      <c r="H10" s="90">
        <v>0.02</v>
      </c>
      <c r="I10" s="158">
        <f t="shared" si="0"/>
        <v>7.0000000000000007E-2</v>
      </c>
      <c r="J10" s="250">
        <f t="shared" si="1"/>
        <v>0.02</v>
      </c>
      <c r="K10" s="251">
        <f t="shared" si="2"/>
        <v>7.0000000000000007E-2</v>
      </c>
      <c r="L10" s="6"/>
      <c r="M10">
        <f>SUM(H$4:H10)  * 10000</f>
        <v>9166</v>
      </c>
      <c r="S10" s="132"/>
      <c r="U10" s="7"/>
      <c r="X10" s="18"/>
    </row>
    <row r="11" spans="1:24" x14ac:dyDescent="0.35">
      <c r="A11" s="156">
        <f t="shared" si="4"/>
        <v>3.9E-2</v>
      </c>
      <c r="B11" s="156">
        <f t="shared" si="3"/>
        <v>3.9E-2</v>
      </c>
      <c r="C11" s="156">
        <f t="shared" si="3"/>
        <v>3.9E-2</v>
      </c>
      <c r="D11" s="156">
        <f t="shared" si="3"/>
        <v>3.9E-2</v>
      </c>
      <c r="E11" s="156">
        <f t="shared" si="3"/>
        <v>3.9E-2</v>
      </c>
      <c r="G11" s="249">
        <f>BaseB!N32</f>
        <v>4</v>
      </c>
      <c r="H11" s="90">
        <v>1.4999999999999999E-2</v>
      </c>
      <c r="I11" s="158">
        <f t="shared" si="0"/>
        <v>0.06</v>
      </c>
      <c r="J11" s="250">
        <f t="shared" si="1"/>
        <v>1.4999999999999999E-2</v>
      </c>
      <c r="K11" s="251">
        <f t="shared" si="2"/>
        <v>0.06</v>
      </c>
      <c r="L11" s="6"/>
      <c r="M11">
        <f>SUM(H$4:H11)  * 10000</f>
        <v>9316.0000000000018</v>
      </c>
      <c r="S11" s="132"/>
      <c r="U11" s="40"/>
    </row>
    <row r="12" spans="1:24" x14ac:dyDescent="0.35">
      <c r="A12" s="156">
        <f t="shared" si="4"/>
        <v>3.9E-2</v>
      </c>
      <c r="B12" s="156">
        <f t="shared" si="3"/>
        <v>3.9E-2</v>
      </c>
      <c r="C12" s="156">
        <f t="shared" si="3"/>
        <v>3.9E-2</v>
      </c>
      <c r="D12" s="156">
        <f t="shared" si="3"/>
        <v>3.9E-2</v>
      </c>
      <c r="E12" s="156">
        <f t="shared" si="3"/>
        <v>3.9E-2</v>
      </c>
      <c r="G12" s="249">
        <f>BaseB!N33</f>
        <v>5</v>
      </c>
      <c r="H12" s="90">
        <v>1.4E-2</v>
      </c>
      <c r="I12" s="158">
        <f t="shared" si="0"/>
        <v>7.0000000000000007E-2</v>
      </c>
      <c r="J12" s="250">
        <f t="shared" si="1"/>
        <v>1.4E-2</v>
      </c>
      <c r="K12" s="251">
        <f t="shared" si="2"/>
        <v>7.0000000000000007E-2</v>
      </c>
      <c r="L12" s="6"/>
      <c r="M12">
        <f>SUM(H$4:H12)  * 10000</f>
        <v>9456.0000000000018</v>
      </c>
      <c r="S12" s="132"/>
    </row>
    <row r="13" spans="1:24" x14ac:dyDescent="0.35">
      <c r="A13" s="1" t="s">
        <v>88</v>
      </c>
      <c r="B13" s="155">
        <f>(1-B4)</f>
        <v>0.96099999999999997</v>
      </c>
      <c r="D13" s="50"/>
      <c r="E13" s="50"/>
      <c r="F13" s="50"/>
      <c r="G13" s="249">
        <f>BaseB!N34</f>
        <v>6</v>
      </c>
      <c r="H13" s="90">
        <v>1.2E-2</v>
      </c>
      <c r="I13" s="158">
        <f t="shared" si="0"/>
        <v>7.2000000000000008E-2</v>
      </c>
      <c r="J13" s="250">
        <f t="shared" si="1"/>
        <v>1.2E-2</v>
      </c>
      <c r="K13" s="251">
        <f t="shared" si="2"/>
        <v>7.2000000000000008E-2</v>
      </c>
      <c r="L13" s="6"/>
      <c r="M13">
        <f>SUM(H$4:H13)  * 10000</f>
        <v>9576.0000000000018</v>
      </c>
      <c r="R13" s="50"/>
      <c r="S13" s="50"/>
      <c r="T13" s="50"/>
      <c r="W13" s="1"/>
    </row>
    <row r="14" spans="1:24" x14ac:dyDescent="0.35">
      <c r="G14" s="249">
        <f>BaseB!N35</f>
        <v>7</v>
      </c>
      <c r="H14" s="90">
        <v>0.01</v>
      </c>
      <c r="I14" s="158">
        <f t="shared" si="0"/>
        <v>7.0000000000000007E-2</v>
      </c>
      <c r="J14" s="250">
        <f t="shared" si="1"/>
        <v>0.01</v>
      </c>
      <c r="K14" s="251">
        <f t="shared" si="2"/>
        <v>7.0000000000000007E-2</v>
      </c>
      <c r="L14" s="6"/>
      <c r="M14">
        <f>SUM(H$4:H14)  * 10000</f>
        <v>9676.0000000000018</v>
      </c>
    </row>
    <row r="15" spans="1:24" x14ac:dyDescent="0.35">
      <c r="A15" t="s">
        <v>90</v>
      </c>
      <c r="B15" s="129">
        <f>B13^B2</f>
        <v>0.45130251461102172</v>
      </c>
      <c r="C15" s="1"/>
      <c r="D15" s="1"/>
      <c r="E15" s="1"/>
      <c r="F15" s="1"/>
      <c r="G15" s="249">
        <f>BaseB!N36</f>
        <v>8</v>
      </c>
      <c r="H15" s="90">
        <v>8.0000000000000002E-3</v>
      </c>
      <c r="I15" s="158">
        <f t="shared" si="0"/>
        <v>6.4000000000000001E-2</v>
      </c>
      <c r="J15" s="250">
        <f t="shared" si="1"/>
        <v>8.0000000000000002E-3</v>
      </c>
      <c r="K15" s="251">
        <f t="shared" si="2"/>
        <v>6.4000000000000001E-2</v>
      </c>
      <c r="L15" s="6"/>
      <c r="M15">
        <f>SUM(H$4:H15)  * 10000</f>
        <v>9756.0000000000018</v>
      </c>
      <c r="R15" s="1"/>
      <c r="S15" s="1"/>
      <c r="T15" s="1"/>
      <c r="U15" s="1"/>
      <c r="V15" s="1"/>
    </row>
    <row r="16" spans="1:24" x14ac:dyDescent="0.35">
      <c r="B16" s="133"/>
      <c r="C16" s="29"/>
      <c r="G16" s="249">
        <f>BaseB!N37</f>
        <v>9</v>
      </c>
      <c r="H16" s="90">
        <v>6.0000000000000001E-3</v>
      </c>
      <c r="I16" s="158">
        <f t="shared" si="0"/>
        <v>5.3999999999999999E-2</v>
      </c>
      <c r="J16" s="250">
        <f t="shared" si="1"/>
        <v>6.0000000000000001E-3</v>
      </c>
      <c r="K16" s="251">
        <f t="shared" si="2"/>
        <v>5.3999999999999999E-2</v>
      </c>
      <c r="L16" s="6"/>
      <c r="M16">
        <f>SUM(H$4:H16)  * 10000</f>
        <v>9816.0000000000018</v>
      </c>
      <c r="U16" s="1"/>
      <c r="V16" s="1"/>
    </row>
    <row r="17" spans="1:25" x14ac:dyDescent="0.35">
      <c r="A17" t="s">
        <v>278</v>
      </c>
      <c r="B17" s="206">
        <f>B30</f>
        <v>7.7314100000000002E-3</v>
      </c>
      <c r="C17" s="29"/>
      <c r="G17" s="249">
        <f>BaseB!N38</f>
        <v>10</v>
      </c>
      <c r="H17" s="90">
        <v>5.0000000000000001E-3</v>
      </c>
      <c r="I17" s="158">
        <f t="shared" si="0"/>
        <v>0.05</v>
      </c>
      <c r="J17" s="250">
        <f t="shared" si="1"/>
        <v>5.0000000000000001E-3</v>
      </c>
      <c r="K17" s="251">
        <f t="shared" si="2"/>
        <v>0.05</v>
      </c>
      <c r="L17" s="6"/>
      <c r="M17">
        <f>SUM(H$4:H17)  * 10000</f>
        <v>9866.0000000000018</v>
      </c>
      <c r="U17" s="1"/>
      <c r="V17" s="1"/>
    </row>
    <row r="18" spans="1:25" x14ac:dyDescent="0.35">
      <c r="B18" s="103"/>
      <c r="C18" s="29"/>
      <c r="G18" s="249">
        <f>BaseB!N39</f>
        <v>12</v>
      </c>
      <c r="H18" s="90">
        <v>4.0000000000000001E-3</v>
      </c>
      <c r="I18" s="158">
        <f t="shared" si="0"/>
        <v>4.8000000000000001E-2</v>
      </c>
      <c r="J18" s="250">
        <f t="shared" si="1"/>
        <v>4.0000000000000001E-3</v>
      </c>
      <c r="K18" s="251">
        <f t="shared" si="2"/>
        <v>4.8000000000000001E-2</v>
      </c>
      <c r="L18" s="6"/>
      <c r="M18">
        <f>SUM(H$4:H18)  * 10000</f>
        <v>9906.0000000000018</v>
      </c>
      <c r="U18" s="1"/>
      <c r="V18" s="1"/>
    </row>
    <row r="19" spans="1:25" x14ac:dyDescent="0.35">
      <c r="B19" s="104"/>
      <c r="C19" s="29"/>
      <c r="G19" s="249">
        <f>BaseB!N40</f>
        <v>15</v>
      </c>
      <c r="H19" s="90">
        <v>3.0000000000000001E-3</v>
      </c>
      <c r="I19" s="158">
        <f t="shared" si="0"/>
        <v>4.4999999999999998E-2</v>
      </c>
      <c r="J19" s="250">
        <f t="shared" si="1"/>
        <v>3.0000000000000001E-3</v>
      </c>
      <c r="K19" s="251">
        <f t="shared" si="2"/>
        <v>4.4999999999999998E-2</v>
      </c>
      <c r="L19" s="6"/>
      <c r="M19">
        <f>SUM(H$4:H19)  * 10000</f>
        <v>9936.0000000000018</v>
      </c>
      <c r="U19" s="1"/>
      <c r="V19" s="1"/>
    </row>
    <row r="20" spans="1:25" x14ac:dyDescent="0.35">
      <c r="B20" s="133"/>
      <c r="C20" s="29"/>
      <c r="G20" s="249">
        <f>BaseB!N41</f>
        <v>20</v>
      </c>
      <c r="H20" s="90">
        <v>2.5000000000000001E-3</v>
      </c>
      <c r="I20" s="158">
        <f t="shared" si="0"/>
        <v>0.05</v>
      </c>
      <c r="J20" s="250">
        <f t="shared" si="1"/>
        <v>2.5000000000000001E-3</v>
      </c>
      <c r="K20" s="251">
        <f t="shared" si="2"/>
        <v>0.05</v>
      </c>
      <c r="L20" s="6"/>
      <c r="M20">
        <f>SUM(H$4:H20)  * 10000</f>
        <v>9961.0000000000018</v>
      </c>
      <c r="U20" s="1"/>
      <c r="V20" s="1"/>
    </row>
    <row r="21" spans="1:25" x14ac:dyDescent="0.35">
      <c r="A21" s="11" t="s">
        <v>91</v>
      </c>
      <c r="B21" s="247">
        <f>I71</f>
        <v>13.714566329999998</v>
      </c>
      <c r="C21" s="29"/>
      <c r="G21" s="249">
        <f>BaseB!N42</f>
        <v>25</v>
      </c>
      <c r="H21" s="90">
        <f>BaseB!O42</f>
        <v>2E-3</v>
      </c>
      <c r="I21" s="158">
        <f t="shared" si="0"/>
        <v>0.05</v>
      </c>
      <c r="J21" s="250">
        <f t="shared" si="1"/>
        <v>2E-3</v>
      </c>
      <c r="K21" s="251">
        <f t="shared" si="2"/>
        <v>0.05</v>
      </c>
      <c r="L21" s="6"/>
      <c r="M21">
        <f>SUM(H$4:H21)  * 10000</f>
        <v>9981.0000000000018</v>
      </c>
      <c r="U21" s="1"/>
      <c r="V21" s="1"/>
    </row>
    <row r="22" spans="1:25" x14ac:dyDescent="0.35">
      <c r="A22" s="11" t="s">
        <v>115</v>
      </c>
      <c r="B22" s="248">
        <f>D71</f>
        <v>28.718256245000003</v>
      </c>
      <c r="C22" s="29"/>
      <c r="G22" s="249">
        <f>BaseB!N43</f>
        <v>30</v>
      </c>
      <c r="H22" s="90">
        <f>BaseB!O43</f>
        <v>1E-3</v>
      </c>
      <c r="I22" s="158">
        <f t="shared" si="0"/>
        <v>0.03</v>
      </c>
      <c r="J22" s="250">
        <f t="shared" si="1"/>
        <v>1E-3</v>
      </c>
      <c r="K22" s="251">
        <f t="shared" si="2"/>
        <v>0.03</v>
      </c>
      <c r="L22" s="6"/>
      <c r="M22">
        <f>SUM(H$4:H22)  * 10000</f>
        <v>9991.0000000000018</v>
      </c>
      <c r="U22" s="1"/>
      <c r="V22" s="1"/>
    </row>
    <row r="23" spans="1:25" x14ac:dyDescent="0.35">
      <c r="B23" s="133"/>
      <c r="C23" s="29"/>
      <c r="G23" s="249">
        <f>BaseB!N44</f>
        <v>40</v>
      </c>
      <c r="H23" s="90">
        <f>BaseB!O44</f>
        <v>5.0000000000000001E-4</v>
      </c>
      <c r="I23" s="158">
        <f t="shared" si="0"/>
        <v>0.02</v>
      </c>
      <c r="J23" s="250">
        <f t="shared" si="1"/>
        <v>5.0000000000000001E-4</v>
      </c>
      <c r="K23" s="251">
        <f t="shared" si="2"/>
        <v>0.02</v>
      </c>
      <c r="L23" s="6"/>
      <c r="M23">
        <f>SUM(H$4:H23)  * 10000</f>
        <v>9996</v>
      </c>
    </row>
    <row r="24" spans="1:25" x14ac:dyDescent="0.35">
      <c r="A24" t="s">
        <v>114</v>
      </c>
      <c r="B24" s="15">
        <f>E71</f>
        <v>100000000</v>
      </c>
      <c r="G24" s="249">
        <f>BaseB!N45</f>
        <v>50</v>
      </c>
      <c r="H24" s="90">
        <f>BaseB!O45</f>
        <v>4.0000000000000002E-4</v>
      </c>
      <c r="I24" s="158">
        <f t="shared" si="0"/>
        <v>0.02</v>
      </c>
      <c r="J24" s="250">
        <f t="shared" si="1"/>
        <v>4.0000000000000002E-4</v>
      </c>
      <c r="K24" s="251">
        <f t="shared" si="2"/>
        <v>0.02</v>
      </c>
      <c r="L24" s="6"/>
      <c r="M24">
        <f>SUM(H$4:H24)  * 10000</f>
        <v>10000</v>
      </c>
      <c r="X24" s="1"/>
      <c r="Y24" s="143"/>
    </row>
    <row r="25" spans="1:25" x14ac:dyDescent="0.35">
      <c r="B25" s="103"/>
      <c r="C25" s="29"/>
      <c r="D25" s="167"/>
      <c r="G25" s="11"/>
      <c r="H25" s="245"/>
      <c r="I25" s="158"/>
      <c r="J25" s="251"/>
      <c r="K25" s="251"/>
      <c r="L25" s="6"/>
    </row>
    <row r="26" spans="1:25" x14ac:dyDescent="0.35">
      <c r="B26" s="15"/>
      <c r="H26" s="157">
        <f>SUM(H4:H25)</f>
        <v>1</v>
      </c>
      <c r="I26" s="191">
        <f>SUM(I4:I25)</f>
        <v>1.8113000000000006</v>
      </c>
      <c r="J26" s="157">
        <f>SUM(J4:J25)</f>
        <v>1</v>
      </c>
      <c r="K26" s="191">
        <f>SUM(K4:K25)</f>
        <v>1.8113000000000006</v>
      </c>
    </row>
    <row r="27" spans="1:25" x14ac:dyDescent="0.35">
      <c r="B27" s="15"/>
    </row>
    <row r="28" spans="1:25" x14ac:dyDescent="0.35">
      <c r="I28" s="43"/>
      <c r="J28" s="43"/>
      <c r="K28" s="43"/>
      <c r="L28" s="43"/>
      <c r="M28" s="43"/>
      <c r="N28" s="43"/>
      <c r="O28" s="43"/>
    </row>
    <row r="29" spans="1:25" x14ac:dyDescent="0.35">
      <c r="A29" s="9" t="s">
        <v>120</v>
      </c>
      <c r="B29" s="9" t="s">
        <v>12</v>
      </c>
      <c r="C29" s="9" t="s">
        <v>113</v>
      </c>
      <c r="D29" s="9" t="s">
        <v>9</v>
      </c>
      <c r="E29" s="9" t="s">
        <v>121</v>
      </c>
      <c r="F29" s="9" t="s">
        <v>122</v>
      </c>
      <c r="I29" s="9" t="s">
        <v>116</v>
      </c>
      <c r="J29" s="43" t="s">
        <v>123</v>
      </c>
      <c r="K29" s="43"/>
      <c r="L29" t="s">
        <v>241</v>
      </c>
      <c r="M29" s="7">
        <v>0.16</v>
      </c>
      <c r="N29" s="43"/>
      <c r="O29" s="43"/>
    </row>
    <row r="30" spans="1:25" x14ac:dyDescent="0.35">
      <c r="A30" s="11">
        <v>0</v>
      </c>
      <c r="B30" s="165">
        <f t="shared" ref="B30:B50" si="5">E30/E$71</f>
        <v>7.7314100000000002E-3</v>
      </c>
      <c r="C30" s="163">
        <v>0</v>
      </c>
      <c r="D30" s="159">
        <f>B30 * C30</f>
        <v>0</v>
      </c>
      <c r="E30">
        <v>773141</v>
      </c>
      <c r="F30">
        <v>0</v>
      </c>
      <c r="I30" s="5">
        <f t="shared" ref="I30:I50" si="6">A30 * B30</f>
        <v>0</v>
      </c>
      <c r="J30" s="15">
        <f t="shared" ref="J30:J50" si="7">E$71/E30</f>
        <v>129.34251320263704</v>
      </c>
      <c r="K30" s="43"/>
      <c r="L30" s="15"/>
      <c r="N30" s="43"/>
      <c r="O30" s="43"/>
    </row>
    <row r="31" spans="1:25" x14ac:dyDescent="0.35">
      <c r="A31" s="11">
        <v>1</v>
      </c>
      <c r="B31" s="165">
        <f t="shared" si="5"/>
        <v>9.3883400000000002E-3</v>
      </c>
      <c r="C31" s="52">
        <f t="shared" ref="C31:C50" si="8" xml:space="preserve"> F31 /  (  B$24  * B31  )</f>
        <v>1.8140576502342267</v>
      </c>
      <c r="D31" s="159">
        <f t="shared" ref="D31:D50" si="9">B31 * C31</f>
        <v>1.7030989999999999E-2</v>
      </c>
      <c r="E31">
        <v>938834</v>
      </c>
      <c r="F31">
        <v>1703099</v>
      </c>
      <c r="I31" s="5">
        <f t="shared" si="6"/>
        <v>9.3883400000000002E-3</v>
      </c>
      <c r="J31" s="15">
        <f t="shared" si="7"/>
        <v>106.51510277642267</v>
      </c>
      <c r="K31" s="43"/>
      <c r="L31" s="43"/>
      <c r="M31" s="43"/>
      <c r="N31" s="43"/>
      <c r="O31" s="43"/>
    </row>
    <row r="32" spans="1:25" x14ac:dyDescent="0.35">
      <c r="A32" s="11">
        <v>2</v>
      </c>
      <c r="B32" s="165">
        <f t="shared" si="5"/>
        <v>1.3748740000000001E-2</v>
      </c>
      <c r="C32" s="52">
        <f t="shared" si="8"/>
        <v>3.7037237594135899</v>
      </c>
      <c r="D32" s="159">
        <f t="shared" si="9"/>
        <v>5.0921535000000004E-2</v>
      </c>
      <c r="E32">
        <v>1374874</v>
      </c>
      <c r="F32">
        <v>5092153.5</v>
      </c>
      <c r="I32" s="5">
        <f t="shared" si="6"/>
        <v>2.7497480000000001E-2</v>
      </c>
      <c r="J32" s="15">
        <f t="shared" si="7"/>
        <v>72.733937800845752</v>
      </c>
      <c r="K32" s="43"/>
      <c r="L32" s="9" t="s">
        <v>198</v>
      </c>
      <c r="M32" s="266" t="s">
        <v>199</v>
      </c>
      <c r="N32" s="9" t="s">
        <v>206</v>
      </c>
      <c r="O32" s="9" t="s">
        <v>12</v>
      </c>
      <c r="P32" s="9"/>
    </row>
    <row r="33" spans="1:27" x14ac:dyDescent="0.35">
      <c r="A33" s="11">
        <v>3</v>
      </c>
      <c r="B33" s="165">
        <f t="shared" si="5"/>
        <v>1.8269549999999999E-2</v>
      </c>
      <c r="C33" s="52">
        <f t="shared" si="8"/>
        <v>5.6366746854739169</v>
      </c>
      <c r="D33" s="159">
        <f t="shared" si="9"/>
        <v>0.10297951</v>
      </c>
      <c r="E33">
        <v>1826955</v>
      </c>
      <c r="F33">
        <v>10297951</v>
      </c>
      <c r="I33" s="5">
        <f t="shared" si="6"/>
        <v>5.480865E-2</v>
      </c>
      <c r="J33" s="15">
        <f t="shared" si="7"/>
        <v>54.73588566768202</v>
      </c>
      <c r="K33" s="43"/>
      <c r="L33" s="260" t="s">
        <v>195</v>
      </c>
      <c r="M33" s="269">
        <v>2</v>
      </c>
      <c r="N33" s="268">
        <v>0.26</v>
      </c>
      <c r="O33" s="196">
        <v>4.8009179999999999E-2</v>
      </c>
      <c r="Q33" s="22">
        <f>1/O33</f>
        <v>20.829349720199346</v>
      </c>
      <c r="R33" s="22"/>
      <c r="S33" s="22"/>
    </row>
    <row r="34" spans="1:27" x14ac:dyDescent="0.35">
      <c r="A34" s="11">
        <v>4</v>
      </c>
      <c r="B34" s="165">
        <f t="shared" si="5"/>
        <v>2.3199170000000002E-2</v>
      </c>
      <c r="C34" s="52">
        <f t="shared" si="8"/>
        <v>7.6390370862405854</v>
      </c>
      <c r="D34" s="159">
        <f t="shared" si="9"/>
        <v>0.17721932000000001</v>
      </c>
      <c r="E34">
        <v>2319917</v>
      </c>
      <c r="F34">
        <v>17721932</v>
      </c>
      <c r="I34" s="5">
        <f t="shared" si="6"/>
        <v>9.2796680000000006E-2</v>
      </c>
      <c r="J34" s="15">
        <f t="shared" si="7"/>
        <v>43.104990394052891</v>
      </c>
      <c r="K34" s="43"/>
      <c r="L34" s="260" t="s">
        <v>273</v>
      </c>
      <c r="M34" s="269">
        <v>3</v>
      </c>
      <c r="N34" s="268">
        <v>0.31</v>
      </c>
      <c r="O34" s="196">
        <v>9.5684099999999994E-3</v>
      </c>
      <c r="Q34" s="22">
        <f t="shared" ref="Q34:Q36" si="10">1/O34</f>
        <v>104.51057176688708</v>
      </c>
      <c r="R34" s="22"/>
      <c r="S34" s="22"/>
    </row>
    <row r="35" spans="1:27" x14ac:dyDescent="0.35">
      <c r="A35" s="11">
        <v>5</v>
      </c>
      <c r="B35" s="165">
        <f t="shared" si="5"/>
        <v>2.842679E-2</v>
      </c>
      <c r="C35" s="52">
        <f t="shared" si="8"/>
        <v>9.6919481587615071</v>
      </c>
      <c r="D35" s="159">
        <f t="shared" si="9"/>
        <v>0.27551097500000005</v>
      </c>
      <c r="E35">
        <v>2842679</v>
      </c>
      <c r="F35">
        <v>27551097.5</v>
      </c>
      <c r="I35" s="5">
        <f t="shared" si="6"/>
        <v>0.14213395000000001</v>
      </c>
      <c r="J35" s="15">
        <f t="shared" si="7"/>
        <v>35.178083772385136</v>
      </c>
      <c r="K35" s="43"/>
      <c r="L35" s="260" t="s">
        <v>196</v>
      </c>
      <c r="M35" s="269">
        <v>4</v>
      </c>
      <c r="N35" s="268">
        <v>0.25</v>
      </c>
      <c r="O35" s="196">
        <v>4.9423000000000002E-4</v>
      </c>
      <c r="Q35" s="22">
        <f t="shared" si="10"/>
        <v>2023.3494526839729</v>
      </c>
      <c r="R35" s="22"/>
      <c r="S35" s="22"/>
    </row>
    <row r="36" spans="1:27" x14ac:dyDescent="0.35">
      <c r="A36" s="11">
        <v>6</v>
      </c>
      <c r="B36" s="165">
        <f t="shared" si="5"/>
        <v>3.389474E-2</v>
      </c>
      <c r="C36" s="52">
        <f t="shared" si="8"/>
        <v>11.772918747864713</v>
      </c>
      <c r="D36" s="159">
        <f t="shared" si="9"/>
        <v>0.39904002</v>
      </c>
      <c r="E36">
        <v>3389474</v>
      </c>
      <c r="F36">
        <v>39904002</v>
      </c>
      <c r="I36" s="5">
        <f t="shared" si="6"/>
        <v>0.20336843999999998</v>
      </c>
      <c r="J36" s="15">
        <f t="shared" si="7"/>
        <v>29.503102841325823</v>
      </c>
      <c r="K36" s="43"/>
      <c r="L36" s="260" t="s">
        <v>197</v>
      </c>
      <c r="M36" s="269">
        <v>5</v>
      </c>
      <c r="N36" s="268">
        <v>0.18</v>
      </c>
      <c r="O36" s="196">
        <v>8.3000000000000002E-6</v>
      </c>
      <c r="Q36" s="22">
        <f t="shared" si="10"/>
        <v>120481.92771084337</v>
      </c>
      <c r="R36" s="22"/>
      <c r="S36" s="22"/>
    </row>
    <row r="37" spans="1:27" x14ac:dyDescent="0.35">
      <c r="A37" s="11">
        <v>7</v>
      </c>
      <c r="B37" s="165">
        <f t="shared" si="5"/>
        <v>3.9310820000000003E-2</v>
      </c>
      <c r="C37" s="52">
        <f t="shared" si="8"/>
        <v>13.870327685863584</v>
      </c>
      <c r="D37" s="159">
        <f t="shared" si="9"/>
        <v>0.54525395499999996</v>
      </c>
      <c r="E37">
        <v>3931082</v>
      </c>
      <c r="F37">
        <v>54525395.5</v>
      </c>
      <c r="I37" s="5">
        <f t="shared" si="6"/>
        <v>0.27517574</v>
      </c>
      <c r="J37" s="15">
        <f t="shared" si="7"/>
        <v>25.438289000331206</v>
      </c>
      <c r="K37" s="43"/>
      <c r="L37" s="267"/>
      <c r="M37" s="267"/>
      <c r="N37" s="271">
        <f>SUM(N33:N36)</f>
        <v>1</v>
      </c>
    </row>
    <row r="38" spans="1:27" x14ac:dyDescent="0.35">
      <c r="A38" s="11">
        <v>8</v>
      </c>
      <c r="B38" s="165">
        <f t="shared" si="5"/>
        <v>4.4654489999999998E-2</v>
      </c>
      <c r="C38" s="52">
        <f t="shared" si="8"/>
        <v>15.992629408599225</v>
      </c>
      <c r="D38" s="159">
        <f t="shared" si="9"/>
        <v>0.71414270999999996</v>
      </c>
      <c r="E38">
        <v>4465449</v>
      </c>
      <c r="F38">
        <v>71414271</v>
      </c>
      <c r="I38" s="5">
        <f t="shared" si="6"/>
        <v>0.35723591999999998</v>
      </c>
      <c r="J38" s="15">
        <f t="shared" si="7"/>
        <v>22.39416461816046</v>
      </c>
      <c r="K38" s="43"/>
      <c r="L38" s="267"/>
      <c r="M38" s="267"/>
      <c r="N38" s="267"/>
    </row>
    <row r="39" spans="1:27" x14ac:dyDescent="0.35">
      <c r="A39" s="11">
        <v>9</v>
      </c>
      <c r="B39" s="165">
        <f t="shared" si="5"/>
        <v>4.9460919999999998E-2</v>
      </c>
      <c r="C39" s="52">
        <f t="shared" si="8"/>
        <v>18.129616270785096</v>
      </c>
      <c r="D39" s="159">
        <f t="shared" si="9"/>
        <v>0.89670749999999999</v>
      </c>
      <c r="E39">
        <v>4946092</v>
      </c>
      <c r="F39">
        <v>89670750</v>
      </c>
      <c r="I39" s="5">
        <f t="shared" si="6"/>
        <v>0.44514828000000001</v>
      </c>
      <c r="J39" s="15">
        <f t="shared" si="7"/>
        <v>20.217982196853598</v>
      </c>
      <c r="K39" s="43"/>
    </row>
    <row r="40" spans="1:27" x14ac:dyDescent="0.35">
      <c r="A40" s="11">
        <v>10</v>
      </c>
      <c r="B40" s="165">
        <f t="shared" si="5"/>
        <v>5.3682559999999997E-2</v>
      </c>
      <c r="C40" s="52">
        <f t="shared" si="8"/>
        <v>20.278351013811562</v>
      </c>
      <c r="D40" s="159">
        <f t="shared" si="9"/>
        <v>1.088593795</v>
      </c>
      <c r="E40">
        <v>5368256</v>
      </c>
      <c r="F40">
        <v>108859379.5</v>
      </c>
      <c r="I40" s="5">
        <f t="shared" si="6"/>
        <v>0.53682560000000001</v>
      </c>
      <c r="J40" s="15">
        <f t="shared" si="7"/>
        <v>18.628023700807116</v>
      </c>
      <c r="K40" s="43"/>
    </row>
    <row r="41" spans="1:27" x14ac:dyDescent="0.35">
      <c r="A41" s="11">
        <v>11</v>
      </c>
      <c r="B41" s="165">
        <f t="shared" si="5"/>
        <v>5.6935039999999999E-2</v>
      </c>
      <c r="C41" s="52">
        <f t="shared" si="8"/>
        <v>22.448578678437741</v>
      </c>
      <c r="D41" s="159">
        <f t="shared" si="9"/>
        <v>1.2781107249999999</v>
      </c>
      <c r="E41">
        <v>5693504</v>
      </c>
      <c r="F41">
        <v>127811072.5</v>
      </c>
      <c r="I41" s="5">
        <f t="shared" si="6"/>
        <v>0.62628543999999997</v>
      </c>
      <c r="J41" s="15">
        <f t="shared" si="7"/>
        <v>17.563876305347286</v>
      </c>
      <c r="K41" s="43"/>
    </row>
    <row r="42" spans="1:27" x14ac:dyDescent="0.35">
      <c r="A42" s="11">
        <v>12</v>
      </c>
      <c r="B42" s="165">
        <f t="shared" si="5"/>
        <v>5.9192969999999998E-2</v>
      </c>
      <c r="C42" s="52">
        <f t="shared" si="8"/>
        <v>24.640608673631345</v>
      </c>
      <c r="D42" s="159">
        <f t="shared" si="9"/>
        <v>1.45855081</v>
      </c>
      <c r="E42">
        <v>5919297</v>
      </c>
      <c r="F42">
        <v>145855081</v>
      </c>
      <c r="I42" s="5">
        <f t="shared" si="6"/>
        <v>0.71031563999999991</v>
      </c>
      <c r="J42" s="15">
        <f t="shared" si="7"/>
        <v>16.893898042284412</v>
      </c>
      <c r="K42" s="43"/>
      <c r="AA42" s="23"/>
    </row>
    <row r="43" spans="1:27" x14ac:dyDescent="0.35">
      <c r="A43" s="11">
        <v>13</v>
      </c>
      <c r="B43" s="165">
        <f t="shared" si="5"/>
        <v>6.0090369999999997E-2</v>
      </c>
      <c r="C43" s="52">
        <f t="shared" si="8"/>
        <v>26.841721393960462</v>
      </c>
      <c r="D43" s="159">
        <f t="shared" si="9"/>
        <v>1.6129289699999998</v>
      </c>
      <c r="E43">
        <v>6009037</v>
      </c>
      <c r="F43">
        <v>161292897</v>
      </c>
      <c r="I43" s="5">
        <f t="shared" si="6"/>
        <v>0.78117481</v>
      </c>
      <c r="J43" s="15">
        <f t="shared" si="7"/>
        <v>16.641601640995056</v>
      </c>
      <c r="K43" s="43"/>
      <c r="AA43" s="23"/>
    </row>
    <row r="44" spans="1:27" x14ac:dyDescent="0.35">
      <c r="A44" s="11">
        <v>14</v>
      </c>
      <c r="B44" s="165">
        <f t="shared" si="5"/>
        <v>5.9707040000000003E-2</v>
      </c>
      <c r="C44" s="52">
        <f t="shared" si="8"/>
        <v>29.051180815528621</v>
      </c>
      <c r="D44" s="159">
        <f t="shared" si="9"/>
        <v>1.734560015</v>
      </c>
      <c r="E44">
        <v>5970704</v>
      </c>
      <c r="F44">
        <v>173456001.5</v>
      </c>
      <c r="I44" s="5">
        <f t="shared" si="6"/>
        <v>0.83589856000000007</v>
      </c>
      <c r="J44" s="15">
        <f t="shared" si="7"/>
        <v>16.74844373460818</v>
      </c>
      <c r="K44" s="43"/>
      <c r="AA44" s="23"/>
    </row>
    <row r="45" spans="1:27" x14ac:dyDescent="0.35">
      <c r="A45" s="11">
        <v>15</v>
      </c>
      <c r="B45" s="165">
        <f t="shared" si="5"/>
        <v>5.803233E-2</v>
      </c>
      <c r="C45" s="52">
        <f t="shared" si="8"/>
        <v>31.272063434296022</v>
      </c>
      <c r="D45" s="159">
        <f t="shared" si="9"/>
        <v>1.8147907050000001</v>
      </c>
      <c r="E45">
        <v>5803233</v>
      </c>
      <c r="F45">
        <v>181479070.5</v>
      </c>
      <c r="I45" s="5">
        <f t="shared" si="6"/>
        <v>0.87048495000000004</v>
      </c>
      <c r="J45" s="15">
        <f t="shared" si="7"/>
        <v>17.231774081791993</v>
      </c>
      <c r="K45" s="43"/>
      <c r="AA45" s="23"/>
    </row>
    <row r="46" spans="1:27" x14ac:dyDescent="0.35">
      <c r="A46" s="11">
        <v>16</v>
      </c>
      <c r="B46" s="165">
        <f t="shared" si="5"/>
        <v>5.526064E-2</v>
      </c>
      <c r="C46" s="52">
        <f t="shared" si="8"/>
        <v>33.508126217865012</v>
      </c>
      <c r="D46" s="159">
        <f t="shared" si="9"/>
        <v>1.8516805000000001</v>
      </c>
      <c r="E46">
        <v>5526064</v>
      </c>
      <c r="F46">
        <v>185168050</v>
      </c>
      <c r="I46" s="5">
        <f t="shared" si="6"/>
        <v>0.88417024</v>
      </c>
      <c r="J46" s="15">
        <f t="shared" si="7"/>
        <v>18.096062586318219</v>
      </c>
      <c r="K46" s="43"/>
      <c r="Z46" s="23"/>
      <c r="AA46" s="23"/>
    </row>
    <row r="47" spans="1:27" x14ac:dyDescent="0.35">
      <c r="A47" s="11">
        <v>17</v>
      </c>
      <c r="B47" s="165">
        <f t="shared" si="5"/>
        <v>5.1562940000000002E-2</v>
      </c>
      <c r="C47" s="52">
        <f t="shared" si="8"/>
        <v>35.748871379327866</v>
      </c>
      <c r="D47" s="159">
        <f t="shared" si="9"/>
        <v>1.84331691</v>
      </c>
      <c r="E47">
        <v>5156294</v>
      </c>
      <c r="F47">
        <v>184331691</v>
      </c>
      <c r="H47" s="30"/>
      <c r="I47" s="5">
        <f t="shared" si="6"/>
        <v>0.87656997999999997</v>
      </c>
      <c r="J47" s="15">
        <f t="shared" si="7"/>
        <v>19.39377390040211</v>
      </c>
      <c r="K47" s="43"/>
    </row>
    <row r="48" spans="1:27" x14ac:dyDescent="0.35">
      <c r="A48" s="11">
        <v>18</v>
      </c>
      <c r="B48" s="165">
        <f t="shared" si="5"/>
        <v>4.7191650000000002E-2</v>
      </c>
      <c r="C48" s="52">
        <f t="shared" si="8"/>
        <v>37.993752072665394</v>
      </c>
      <c r="D48" s="159">
        <f t="shared" si="9"/>
        <v>1.7929878499999998</v>
      </c>
      <c r="E48">
        <v>4719165</v>
      </c>
      <c r="F48">
        <v>179298785</v>
      </c>
      <c r="I48" s="5">
        <f t="shared" si="6"/>
        <v>0.84944970000000009</v>
      </c>
      <c r="J48" s="15">
        <f t="shared" si="7"/>
        <v>21.190189366127271</v>
      </c>
      <c r="K48" s="43"/>
    </row>
    <row r="49" spans="1:15" x14ac:dyDescent="0.35">
      <c r="A49" s="11">
        <v>19</v>
      </c>
      <c r="B49" s="165">
        <f t="shared" si="5"/>
        <v>4.2417610000000001E-2</v>
      </c>
      <c r="C49" s="52">
        <f t="shared" si="8"/>
        <v>40.265824500720335</v>
      </c>
      <c r="D49" s="159">
        <f t="shared" si="9"/>
        <v>1.70798004</v>
      </c>
      <c r="E49">
        <v>4241761</v>
      </c>
      <c r="F49">
        <v>170798004</v>
      </c>
      <c r="I49" s="5">
        <f t="shared" si="6"/>
        <v>0.80593459000000001</v>
      </c>
      <c r="J49" s="15">
        <f t="shared" si="7"/>
        <v>23.575114203746981</v>
      </c>
      <c r="K49" s="43"/>
      <c r="L49" s="43"/>
      <c r="M49" s="43"/>
      <c r="N49" s="43"/>
      <c r="O49" s="43"/>
    </row>
    <row r="50" spans="1:15" x14ac:dyDescent="0.35">
      <c r="A50" s="11">
        <v>20</v>
      </c>
      <c r="B50" s="165">
        <f t="shared" si="5"/>
        <v>3.7433920000000002E-2</v>
      </c>
      <c r="C50" s="52">
        <f t="shared" si="8"/>
        <v>42.547334476325211</v>
      </c>
      <c r="D50" s="159">
        <f t="shared" si="9"/>
        <v>1.592713515</v>
      </c>
      <c r="E50">
        <v>3743392</v>
      </c>
      <c r="F50">
        <v>159271351.5</v>
      </c>
      <c r="I50" s="5">
        <f t="shared" si="6"/>
        <v>0.74867840000000008</v>
      </c>
      <c r="J50" s="15">
        <f t="shared" si="7"/>
        <v>26.713739838093364</v>
      </c>
      <c r="K50" s="169"/>
      <c r="L50" s="43"/>
      <c r="M50" s="43"/>
      <c r="N50" s="43"/>
      <c r="O50" s="43"/>
    </row>
    <row r="51" spans="1:15" x14ac:dyDescent="0.35">
      <c r="A51" s="11">
        <v>21</v>
      </c>
      <c r="B51" s="165">
        <f t="shared" ref="B51:B70" si="11">E51/E$71</f>
        <v>3.2366689999999997E-2</v>
      </c>
      <c r="C51" s="52">
        <f t="shared" ref="C51:C70" si="12" xml:space="preserve"> F51 /  (  B$24  * B51  )</f>
        <v>44.858543150380846</v>
      </c>
      <c r="D51" s="159">
        <f t="shared" ref="D51:D70" si="13">B51 * C51</f>
        <v>1.4519225600000001</v>
      </c>
      <c r="E51">
        <v>3236669</v>
      </c>
      <c r="F51">
        <v>145192256</v>
      </c>
      <c r="I51" s="5">
        <f t="shared" ref="I51:I70" si="14">A51 * B51</f>
        <v>0.67970048999999988</v>
      </c>
      <c r="J51" s="15">
        <f t="shared" ref="J51:J70" si="15">E$71/E51</f>
        <v>30.895961249049563</v>
      </c>
      <c r="K51" s="169"/>
      <c r="L51" s="43"/>
      <c r="M51" s="43"/>
      <c r="N51" s="43"/>
      <c r="O51" s="43"/>
    </row>
    <row r="52" spans="1:15" x14ac:dyDescent="0.35">
      <c r="A52" s="11">
        <v>22</v>
      </c>
      <c r="B52" s="165">
        <f t="shared" si="11"/>
        <v>2.749472E-2</v>
      </c>
      <c r="C52" s="52">
        <f t="shared" si="12"/>
        <v>47.181956026466175</v>
      </c>
      <c r="D52" s="159">
        <f t="shared" si="13"/>
        <v>1.2972546700000001</v>
      </c>
      <c r="E52">
        <v>2749472</v>
      </c>
      <c r="F52">
        <v>129725467</v>
      </c>
      <c r="I52" s="5">
        <f t="shared" si="14"/>
        <v>0.60488384000000006</v>
      </c>
      <c r="J52" s="15">
        <f t="shared" si="15"/>
        <v>36.370619522584697</v>
      </c>
      <c r="K52" s="169"/>
      <c r="L52" s="43"/>
      <c r="M52" s="43"/>
      <c r="N52" s="43"/>
      <c r="O52" s="43"/>
    </row>
    <row r="53" spans="1:15" x14ac:dyDescent="0.35">
      <c r="A53" s="11">
        <v>23</v>
      </c>
      <c r="B53" s="165">
        <f t="shared" si="11"/>
        <v>2.2781200000000001E-2</v>
      </c>
      <c r="C53" s="52">
        <f t="shared" si="12"/>
        <v>49.559890611556895</v>
      </c>
      <c r="D53" s="159">
        <f t="shared" si="13"/>
        <v>1.1290337800000001</v>
      </c>
      <c r="E53">
        <v>2278120</v>
      </c>
      <c r="F53">
        <v>112903378</v>
      </c>
      <c r="I53" s="5">
        <f t="shared" si="14"/>
        <v>0.52396759999999998</v>
      </c>
      <c r="J53" s="15">
        <f t="shared" si="15"/>
        <v>43.89584394149562</v>
      </c>
      <c r="K53" s="169"/>
      <c r="L53" s="43"/>
      <c r="M53" s="43"/>
      <c r="N53" s="43"/>
      <c r="O53" s="43"/>
    </row>
    <row r="54" spans="1:15" x14ac:dyDescent="0.35">
      <c r="A54" s="11">
        <v>24</v>
      </c>
      <c r="B54" s="165">
        <f t="shared" si="11"/>
        <v>1.8423700000000001E-2</v>
      </c>
      <c r="C54" s="52">
        <f t="shared" si="12"/>
        <v>51.92667406655557</v>
      </c>
      <c r="D54" s="159">
        <f t="shared" si="13"/>
        <v>0.95668146499999995</v>
      </c>
      <c r="E54">
        <v>1842370</v>
      </c>
      <c r="F54">
        <v>95668146.5</v>
      </c>
      <c r="I54" s="5">
        <f t="shared" si="14"/>
        <v>0.44216880000000003</v>
      </c>
      <c r="J54" s="15">
        <f t="shared" si="15"/>
        <v>54.277913774106182</v>
      </c>
      <c r="K54" s="169"/>
      <c r="L54" s="43"/>
      <c r="M54" s="43"/>
      <c r="N54" s="43"/>
      <c r="O54" s="43"/>
    </row>
    <row r="55" spans="1:15" x14ac:dyDescent="0.35">
      <c r="A55" s="11">
        <v>25</v>
      </c>
      <c r="B55" s="165">
        <f t="shared" si="11"/>
        <v>1.4478400000000001E-2</v>
      </c>
      <c r="C55" s="52">
        <f t="shared" si="12"/>
        <v>54.34723450104984</v>
      </c>
      <c r="D55" s="159">
        <f t="shared" si="13"/>
        <v>0.78686100000000003</v>
      </c>
      <c r="E55">
        <v>1447840</v>
      </c>
      <c r="F55">
        <v>78686100</v>
      </c>
      <c r="I55" s="5">
        <f t="shared" si="14"/>
        <v>0.36196</v>
      </c>
      <c r="J55" s="15">
        <f t="shared" si="15"/>
        <v>69.068405348657308</v>
      </c>
      <c r="K55" s="169"/>
      <c r="L55" s="43"/>
      <c r="M55" s="43"/>
      <c r="N55" s="43"/>
      <c r="O55" s="43"/>
    </row>
    <row r="56" spans="1:15" x14ac:dyDescent="0.35">
      <c r="A56" s="11">
        <v>26</v>
      </c>
      <c r="B56" s="165">
        <f t="shared" si="11"/>
        <v>1.106971E-2</v>
      </c>
      <c r="C56" s="52">
        <f t="shared" si="12"/>
        <v>56.842442123596733</v>
      </c>
      <c r="D56" s="159">
        <f t="shared" si="13"/>
        <v>0.62922935000000002</v>
      </c>
      <c r="E56">
        <v>1106971</v>
      </c>
      <c r="F56">
        <v>62922935</v>
      </c>
      <c r="I56" s="5">
        <f t="shared" si="14"/>
        <v>0.28781245999999999</v>
      </c>
      <c r="J56" s="15">
        <f t="shared" si="15"/>
        <v>90.336603217247784</v>
      </c>
      <c r="K56" s="169"/>
      <c r="L56" s="43"/>
      <c r="M56" s="43"/>
      <c r="N56" s="43"/>
      <c r="O56" s="43"/>
    </row>
    <row r="57" spans="1:15" x14ac:dyDescent="0.35">
      <c r="A57" s="11">
        <v>27</v>
      </c>
      <c r="B57" s="165">
        <f t="shared" si="11"/>
        <v>8.1423599999999995E-3</v>
      </c>
      <c r="C57" s="52">
        <f t="shared" si="12"/>
        <v>59.31072563728452</v>
      </c>
      <c r="D57" s="159">
        <f t="shared" si="13"/>
        <v>0.48292927999999996</v>
      </c>
      <c r="E57">
        <v>814236</v>
      </c>
      <c r="F57">
        <v>48292928</v>
      </c>
      <c r="I57" s="5">
        <f t="shared" si="14"/>
        <v>0.21984371999999999</v>
      </c>
      <c r="J57" s="15">
        <f t="shared" si="15"/>
        <v>122.81451569323882</v>
      </c>
      <c r="K57" s="169"/>
      <c r="L57" s="43"/>
      <c r="M57" s="43"/>
      <c r="N57" s="43"/>
      <c r="O57" s="43"/>
    </row>
    <row r="58" spans="1:15" x14ac:dyDescent="0.35">
      <c r="A58" s="11">
        <v>28</v>
      </c>
      <c r="B58" s="165">
        <f t="shared" si="11"/>
        <v>5.7727999999999998E-3</v>
      </c>
      <c r="C58" s="52">
        <f t="shared" si="12"/>
        <v>61.880577016352547</v>
      </c>
      <c r="D58" s="159">
        <f t="shared" si="13"/>
        <v>0.35722419499999997</v>
      </c>
      <c r="E58">
        <v>577280</v>
      </c>
      <c r="F58">
        <v>35722419.5</v>
      </c>
      <c r="I58" s="5">
        <f t="shared" si="14"/>
        <v>0.16163839999999999</v>
      </c>
      <c r="J58" s="15">
        <f t="shared" si="15"/>
        <v>173.22616407982261</v>
      </c>
      <c r="K58" s="169"/>
      <c r="L58" s="43"/>
      <c r="M58" s="43"/>
      <c r="N58" s="43"/>
      <c r="O58" s="43"/>
    </row>
    <row r="59" spans="1:15" x14ac:dyDescent="0.35">
      <c r="A59" s="11">
        <v>29</v>
      </c>
      <c r="B59" s="165">
        <f t="shared" si="11"/>
        <v>3.9313100000000004E-3</v>
      </c>
      <c r="C59" s="52">
        <f t="shared" si="12"/>
        <v>64.484224088153809</v>
      </c>
      <c r="D59" s="159">
        <f t="shared" si="13"/>
        <v>0.25350747499999998</v>
      </c>
      <c r="E59">
        <v>393131</v>
      </c>
      <c r="F59">
        <v>25350747.5</v>
      </c>
      <c r="I59" s="5">
        <f t="shared" si="14"/>
        <v>0.11400799</v>
      </c>
      <c r="J59" s="15">
        <f t="shared" si="15"/>
        <v>254.36813682970816</v>
      </c>
      <c r="K59" s="169"/>
      <c r="L59" s="43"/>
      <c r="M59" s="43"/>
      <c r="N59" s="43"/>
      <c r="O59" s="43"/>
    </row>
    <row r="60" spans="1:15" x14ac:dyDescent="0.35">
      <c r="A60" s="11">
        <v>30</v>
      </c>
      <c r="B60" s="165">
        <f t="shared" si="11"/>
        <v>2.5579600000000002E-3</v>
      </c>
      <c r="C60" s="52">
        <f t="shared" si="12"/>
        <v>67.13094809926659</v>
      </c>
      <c r="D60" s="159">
        <f t="shared" si="13"/>
        <v>0.17171827999999997</v>
      </c>
      <c r="E60">
        <v>255796</v>
      </c>
      <c r="F60">
        <v>17171828</v>
      </c>
      <c r="I60" s="5">
        <f t="shared" si="14"/>
        <v>7.673880000000001E-2</v>
      </c>
      <c r="J60" s="15">
        <f t="shared" si="15"/>
        <v>390.93652754538772</v>
      </c>
      <c r="K60" s="169"/>
      <c r="L60" s="43"/>
      <c r="M60" s="43"/>
      <c r="N60" s="43"/>
      <c r="O60" s="43"/>
    </row>
    <row r="61" spans="1:15" x14ac:dyDescent="0.35">
      <c r="A61" s="11">
        <v>31</v>
      </c>
      <c r="B61" s="165">
        <f t="shared" si="11"/>
        <v>1.5673099999999999E-3</v>
      </c>
      <c r="C61" s="52">
        <f t="shared" si="12"/>
        <v>69.894494388474527</v>
      </c>
      <c r="D61" s="159">
        <f t="shared" si="13"/>
        <v>0.10954634000000001</v>
      </c>
      <c r="E61">
        <v>156731</v>
      </c>
      <c r="F61">
        <v>10954634</v>
      </c>
      <c r="I61" s="5">
        <f t="shared" si="14"/>
        <v>4.8586609999999995E-2</v>
      </c>
      <c r="J61" s="15">
        <f t="shared" si="15"/>
        <v>638.0358703766326</v>
      </c>
      <c r="K61" s="169"/>
      <c r="L61" s="43"/>
      <c r="M61" s="43"/>
      <c r="N61" s="43"/>
      <c r="O61" s="43"/>
    </row>
    <row r="62" spans="1:15" x14ac:dyDescent="0.35">
      <c r="A62" s="11">
        <v>32</v>
      </c>
      <c r="B62" s="165">
        <f t="shared" si="11"/>
        <v>9.0401000000000001E-4</v>
      </c>
      <c r="C62" s="52">
        <f t="shared" si="12"/>
        <v>72.713919093815335</v>
      </c>
      <c r="D62" s="159">
        <f t="shared" si="13"/>
        <v>6.5734109999999998E-2</v>
      </c>
      <c r="E62">
        <v>90401</v>
      </c>
      <c r="F62">
        <v>6573411</v>
      </c>
      <c r="I62" s="5">
        <f t="shared" si="14"/>
        <v>2.892832E-2</v>
      </c>
      <c r="J62" s="15">
        <f t="shared" si="15"/>
        <v>1106.1824537339189</v>
      </c>
      <c r="K62" s="169"/>
      <c r="L62" s="43"/>
      <c r="M62" s="43"/>
      <c r="N62" s="43"/>
      <c r="O62" s="43"/>
    </row>
    <row r="63" spans="1:15" x14ac:dyDescent="0.35">
      <c r="A63" s="11">
        <v>33</v>
      </c>
      <c r="B63" s="165">
        <f t="shared" si="11"/>
        <v>4.9204999999999995E-4</v>
      </c>
      <c r="C63" s="52">
        <f t="shared" si="12"/>
        <v>75.577248247129361</v>
      </c>
      <c r="D63" s="159">
        <f t="shared" si="13"/>
        <v>3.7187785000000001E-2</v>
      </c>
      <c r="E63">
        <v>49205</v>
      </c>
      <c r="F63">
        <v>3718778.5</v>
      </c>
      <c r="I63" s="5">
        <f t="shared" si="14"/>
        <v>1.6237649999999999E-2</v>
      </c>
      <c r="J63" s="15">
        <f t="shared" si="15"/>
        <v>2032.3137892490602</v>
      </c>
      <c r="K63" s="169"/>
      <c r="L63" s="43"/>
      <c r="M63" s="43"/>
      <c r="N63" s="43"/>
      <c r="O63" s="43"/>
    </row>
    <row r="64" spans="1:15" x14ac:dyDescent="0.35">
      <c r="A64" s="11">
        <v>34</v>
      </c>
      <c r="B64" s="165">
        <f t="shared" si="11"/>
        <v>2.4605999999999999E-4</v>
      </c>
      <c r="C64" s="52">
        <f t="shared" si="12"/>
        <v>78.84461107047062</v>
      </c>
      <c r="D64" s="159">
        <f t="shared" si="13"/>
        <v>1.9400504999999998E-2</v>
      </c>
      <c r="E64">
        <v>24606</v>
      </c>
      <c r="F64">
        <v>1940050.5</v>
      </c>
      <c r="I64" s="5">
        <f t="shared" si="14"/>
        <v>8.3660399999999999E-3</v>
      </c>
      <c r="J64" s="15">
        <f t="shared" si="15"/>
        <v>4064.049418840933</v>
      </c>
      <c r="K64" s="169"/>
      <c r="L64" s="43"/>
      <c r="M64" s="43"/>
      <c r="N64" s="43"/>
      <c r="O64" s="43"/>
    </row>
    <row r="65" spans="1:15" x14ac:dyDescent="0.35">
      <c r="A65" s="11">
        <v>35</v>
      </c>
      <c r="B65" s="165">
        <f t="shared" si="11"/>
        <v>1.1293E-4</v>
      </c>
      <c r="C65" s="52">
        <f t="shared" si="12"/>
        <v>81.85783228548658</v>
      </c>
      <c r="D65" s="159">
        <f t="shared" si="13"/>
        <v>9.2442050000000001E-3</v>
      </c>
      <c r="E65">
        <v>11293</v>
      </c>
      <c r="F65">
        <v>924420.5</v>
      </c>
      <c r="I65" s="5">
        <f t="shared" si="14"/>
        <v>3.95255E-3</v>
      </c>
      <c r="J65" s="15">
        <f t="shared" si="15"/>
        <v>8855.0429469582923</v>
      </c>
      <c r="K65" s="169"/>
      <c r="L65" s="43"/>
      <c r="M65" s="43"/>
      <c r="N65" s="43"/>
      <c r="O65" s="43"/>
    </row>
    <row r="66" spans="1:15" x14ac:dyDescent="0.35">
      <c r="A66" s="11">
        <v>36</v>
      </c>
      <c r="B66" s="165">
        <f t="shared" si="11"/>
        <v>4.4960000000000003E-5</v>
      </c>
      <c r="C66" s="52">
        <f t="shared" si="12"/>
        <v>85.000111209964416</v>
      </c>
      <c r="D66" s="159">
        <f t="shared" si="13"/>
        <v>3.8216050000000005E-3</v>
      </c>
      <c r="E66">
        <v>4496</v>
      </c>
      <c r="F66">
        <v>382160.5</v>
      </c>
      <c r="I66" s="5">
        <f t="shared" si="14"/>
        <v>1.6185600000000002E-3</v>
      </c>
      <c r="J66" s="15">
        <f t="shared" si="15"/>
        <v>22241.992882562277</v>
      </c>
      <c r="K66" s="169"/>
      <c r="L66" s="43"/>
      <c r="M66" s="43"/>
      <c r="N66" s="43"/>
      <c r="O66" s="43"/>
    </row>
    <row r="67" spans="1:15" x14ac:dyDescent="0.35">
      <c r="A67" s="11">
        <v>37</v>
      </c>
      <c r="B67" s="165">
        <f t="shared" si="11"/>
        <v>1.6120000000000002E-5</v>
      </c>
      <c r="C67" s="52">
        <f t="shared" si="12"/>
        <v>88.250310173697258</v>
      </c>
      <c r="D67" s="159">
        <f t="shared" si="13"/>
        <v>1.422595E-3</v>
      </c>
      <c r="E67">
        <v>1612</v>
      </c>
      <c r="F67">
        <v>142259.5</v>
      </c>
      <c r="I67" s="5">
        <f t="shared" si="14"/>
        <v>5.9644000000000006E-4</v>
      </c>
      <c r="J67" s="15">
        <f t="shared" si="15"/>
        <v>62034.739454094291</v>
      </c>
      <c r="K67" s="169"/>
      <c r="L67" s="43"/>
      <c r="M67" s="43"/>
      <c r="N67" s="43"/>
      <c r="O67" s="43"/>
    </row>
    <row r="68" spans="1:15" x14ac:dyDescent="0.35">
      <c r="A68" s="11">
        <v>38</v>
      </c>
      <c r="B68" s="165">
        <f t="shared" si="11"/>
        <v>4.6099999999999999E-6</v>
      </c>
      <c r="C68" s="52">
        <f t="shared" si="12"/>
        <v>90.376355748373101</v>
      </c>
      <c r="D68" s="159">
        <f t="shared" si="13"/>
        <v>4.16635E-4</v>
      </c>
      <c r="E68">
        <v>461</v>
      </c>
      <c r="F68">
        <v>41663.5</v>
      </c>
      <c r="I68" s="5">
        <f t="shared" si="14"/>
        <v>1.7517999999999999E-4</v>
      </c>
      <c r="J68" s="15">
        <f t="shared" si="15"/>
        <v>216919.73969631238</v>
      </c>
      <c r="K68" s="169"/>
      <c r="L68" s="43"/>
      <c r="M68" s="43"/>
      <c r="N68" s="43"/>
      <c r="O68" s="43"/>
    </row>
    <row r="69" spans="1:15" x14ac:dyDescent="0.35">
      <c r="A69" s="11">
        <v>39</v>
      </c>
      <c r="B69" s="165">
        <f t="shared" si="11"/>
        <v>9.0999999999999997E-7</v>
      </c>
      <c r="C69" s="52">
        <f t="shared" si="12"/>
        <v>92.120879120879124</v>
      </c>
      <c r="D69" s="159">
        <f t="shared" si="13"/>
        <v>8.3830000000000002E-5</v>
      </c>
      <c r="E69">
        <v>91</v>
      </c>
      <c r="F69">
        <v>8383</v>
      </c>
      <c r="I69" s="5">
        <f t="shared" si="14"/>
        <v>3.5490000000000001E-5</v>
      </c>
      <c r="J69" s="15">
        <f t="shared" si="15"/>
        <v>1098901.0989010988</v>
      </c>
      <c r="K69" s="169"/>
      <c r="L69" s="43"/>
      <c r="M69" s="43"/>
      <c r="N69" s="43"/>
      <c r="O69" s="43"/>
    </row>
    <row r="70" spans="1:15" x14ac:dyDescent="0.35">
      <c r="A70" s="11">
        <v>40</v>
      </c>
      <c r="B70" s="165">
        <f t="shared" si="11"/>
        <v>1.4999999999999999E-7</v>
      </c>
      <c r="C70" s="52">
        <f t="shared" si="12"/>
        <v>108.2</v>
      </c>
      <c r="D70" s="159">
        <f t="shared" si="13"/>
        <v>1.6229999999999999E-5</v>
      </c>
      <c r="E70">
        <v>15</v>
      </c>
      <c r="F70">
        <v>1623</v>
      </c>
      <c r="I70" s="5">
        <f t="shared" si="14"/>
        <v>6.0000000000000002E-6</v>
      </c>
      <c r="J70" s="15">
        <f t="shared" si="15"/>
        <v>6666666.666666667</v>
      </c>
      <c r="K70" s="169"/>
      <c r="L70" s="43"/>
      <c r="M70" s="43"/>
      <c r="N70" s="43"/>
      <c r="O70" s="43"/>
    </row>
    <row r="71" spans="1:15" ht="18.5" x14ac:dyDescent="0.45">
      <c r="B71" s="161">
        <f>SUM(B30:B70)</f>
        <v>0.99999999999999978</v>
      </c>
      <c r="C71" s="162"/>
      <c r="D71" s="168">
        <f>SUM(D30:D70)</f>
        <v>28.718256245000003</v>
      </c>
      <c r="E71" s="15">
        <f>SUM(E30:E70)</f>
        <v>100000000</v>
      </c>
      <c r="I71" s="164">
        <f>SUM(I30:I70)</f>
        <v>13.714566329999998</v>
      </c>
      <c r="J71" s="43"/>
      <c r="K71" s="43"/>
      <c r="L71" s="43"/>
      <c r="M71" s="43"/>
      <c r="N71" s="43"/>
      <c r="O71" s="43"/>
    </row>
    <row r="72" spans="1:15" x14ac:dyDescent="0.35">
      <c r="B72" s="160"/>
      <c r="I72" s="43"/>
      <c r="J72" s="43"/>
      <c r="K72" s="43"/>
      <c r="L72" s="43"/>
      <c r="N72" s="43"/>
      <c r="O72" s="43"/>
    </row>
    <row r="73" spans="1:15" x14ac:dyDescent="0.35">
      <c r="I73" s="43"/>
      <c r="J73" s="43"/>
      <c r="K73" s="43"/>
      <c r="L73" s="43"/>
      <c r="O73" s="43"/>
    </row>
    <row r="74" spans="1:15" x14ac:dyDescent="0.35">
      <c r="E74" s="238"/>
      <c r="I74" s="43"/>
      <c r="J74" s="43"/>
      <c r="K74" s="43"/>
      <c r="L74" s="43"/>
      <c r="O74" s="43"/>
    </row>
    <row r="75" spans="1:15" x14ac:dyDescent="0.35">
      <c r="A75" s="118"/>
      <c r="C75" s="23"/>
    </row>
    <row r="76" spans="1:15" x14ac:dyDescent="0.35">
      <c r="A76" s="118"/>
      <c r="C76" s="23"/>
    </row>
    <row r="77" spans="1:15" x14ac:dyDescent="0.35">
      <c r="A77" s="117"/>
      <c r="B77" s="117"/>
      <c r="C77" s="23"/>
    </row>
    <row r="78" spans="1:15" x14ac:dyDescent="0.35">
      <c r="C78" s="23"/>
    </row>
    <row r="79" spans="1:15" x14ac:dyDescent="0.35">
      <c r="C79" s="23"/>
    </row>
    <row r="90" spans="1:3" x14ac:dyDescent="0.35">
      <c r="C90" s="23"/>
    </row>
    <row r="91" spans="1:3" x14ac:dyDescent="0.35">
      <c r="C91" s="23"/>
    </row>
    <row r="92" spans="1:3" x14ac:dyDescent="0.35">
      <c r="C92" s="23"/>
    </row>
    <row r="93" spans="1:3" x14ac:dyDescent="0.35">
      <c r="C93" s="23"/>
    </row>
    <row r="94" spans="1:3" x14ac:dyDescent="0.35">
      <c r="A94" s="118"/>
      <c r="B94" s="39"/>
      <c r="C94" s="23"/>
    </row>
    <row r="95" spans="1:3" x14ac:dyDescent="0.35">
      <c r="A95" s="118"/>
      <c r="B95" s="39"/>
      <c r="C95" s="23"/>
    </row>
    <row r="99" spans="10:10" x14ac:dyDescent="0.35">
      <c r="J99" s="136"/>
    </row>
    <row r="100" spans="10:10" x14ac:dyDescent="0.35">
      <c r="J100" s="136"/>
    </row>
    <row r="101" spans="10:10" x14ac:dyDescent="0.35">
      <c r="J101" s="136"/>
    </row>
    <row r="102" spans="10:10" x14ac:dyDescent="0.35">
      <c r="J102" s="136"/>
    </row>
    <row r="103" spans="10:10" x14ac:dyDescent="0.35">
      <c r="J103" s="136"/>
    </row>
    <row r="104" spans="10:10" x14ac:dyDescent="0.35">
      <c r="J104" s="136"/>
    </row>
    <row r="105" spans="10:10" x14ac:dyDescent="0.35">
      <c r="J105" s="136"/>
    </row>
    <row r="106" spans="10:10" x14ac:dyDescent="0.35">
      <c r="J106" s="136"/>
    </row>
    <row r="107" spans="10:10" x14ac:dyDescent="0.35">
      <c r="J107" s="136"/>
    </row>
    <row r="108" spans="10:10" x14ac:dyDescent="0.35">
      <c r="J108" s="136"/>
    </row>
    <row r="109" spans="10:10" x14ac:dyDescent="0.35">
      <c r="J109" s="136"/>
    </row>
    <row r="110" spans="10:10" x14ac:dyDescent="0.35">
      <c r="J110" s="136"/>
    </row>
    <row r="111" spans="10:10" x14ac:dyDescent="0.35">
      <c r="J111" s="136"/>
    </row>
    <row r="112" spans="10:10" x14ac:dyDescent="0.35">
      <c r="J112" s="136"/>
    </row>
    <row r="113" spans="10:10" x14ac:dyDescent="0.35">
      <c r="J113" s="136"/>
    </row>
    <row r="114" spans="10:10" x14ac:dyDescent="0.35">
      <c r="J114" s="136"/>
    </row>
    <row r="115" spans="10:10" x14ac:dyDescent="0.35">
      <c r="J115" s="136"/>
    </row>
    <row r="116" spans="10:10" x14ac:dyDescent="0.35">
      <c r="J116" s="136"/>
    </row>
    <row r="117" spans="10:10" x14ac:dyDescent="0.35">
      <c r="J117" s="136"/>
    </row>
    <row r="118" spans="10:10" x14ac:dyDescent="0.35">
      <c r="J118" s="136"/>
    </row>
    <row r="119" spans="10:10" x14ac:dyDescent="0.35">
      <c r="J119" s="136"/>
    </row>
    <row r="120" spans="10:10" x14ac:dyDescent="0.35">
      <c r="J120" s="136"/>
    </row>
    <row r="121" spans="10:10" x14ac:dyDescent="0.35">
      <c r="J121" s="136"/>
    </row>
    <row r="122" spans="10:10" x14ac:dyDescent="0.35">
      <c r="J122" s="136"/>
    </row>
    <row r="123" spans="10:10" x14ac:dyDescent="0.35">
      <c r="J123" s="136"/>
    </row>
    <row r="124" spans="10:10" x14ac:dyDescent="0.35">
      <c r="J124" s="136"/>
    </row>
    <row r="125" spans="10:10" x14ac:dyDescent="0.35">
      <c r="J125" s="136"/>
    </row>
    <row r="126" spans="10:10" x14ac:dyDescent="0.35">
      <c r="J126" s="136"/>
    </row>
    <row r="127" spans="10:10" x14ac:dyDescent="0.35">
      <c r="J127" s="136"/>
    </row>
    <row r="128" spans="10:10" x14ac:dyDescent="0.35">
      <c r="J128" s="136"/>
    </row>
    <row r="129" spans="10:10" x14ac:dyDescent="0.35">
      <c r="J129" s="136"/>
    </row>
    <row r="130" spans="10:10" x14ac:dyDescent="0.35">
      <c r="J130" s="136"/>
    </row>
    <row r="131" spans="10:10" x14ac:dyDescent="0.35">
      <c r="J131" s="136"/>
    </row>
    <row r="132" spans="10:10" x14ac:dyDescent="0.35">
      <c r="J132" s="136"/>
    </row>
    <row r="133" spans="10:10" x14ac:dyDescent="0.35">
      <c r="J133" s="136"/>
    </row>
    <row r="134" spans="10:10" x14ac:dyDescent="0.35">
      <c r="J134" s="136"/>
    </row>
    <row r="135" spans="10:10" x14ac:dyDescent="0.35">
      <c r="J135" s="136"/>
    </row>
    <row r="136" spans="10:10" x14ac:dyDescent="0.35">
      <c r="J136" s="136"/>
    </row>
    <row r="137" spans="10:10" x14ac:dyDescent="0.35">
      <c r="J137" s="136"/>
    </row>
    <row r="138" spans="10:10" x14ac:dyDescent="0.35">
      <c r="J138" s="136"/>
    </row>
    <row r="139" spans="10:10" x14ac:dyDescent="0.35">
      <c r="J139" s="136"/>
    </row>
    <row r="140" spans="10:10" x14ac:dyDescent="0.35">
      <c r="J140" s="136"/>
    </row>
    <row r="141" spans="10:10" x14ac:dyDescent="0.35">
      <c r="J141" s="136"/>
    </row>
    <row r="142" spans="10:10" x14ac:dyDescent="0.35">
      <c r="J142" s="136"/>
    </row>
    <row r="143" spans="10:10" x14ac:dyDescent="0.35">
      <c r="J143" s="136"/>
    </row>
    <row r="144" spans="10:10" x14ac:dyDescent="0.35">
      <c r="J144" s="136"/>
    </row>
    <row r="145" spans="10:21" x14ac:dyDescent="0.35">
      <c r="J145" s="136"/>
    </row>
    <row r="146" spans="10:21" x14ac:dyDescent="0.35">
      <c r="J146" s="136"/>
    </row>
    <row r="147" spans="10:21" x14ac:dyDescent="0.35">
      <c r="J147" s="136"/>
    </row>
    <row r="148" spans="10:21" x14ac:dyDescent="0.35">
      <c r="J148" s="136"/>
    </row>
    <row r="149" spans="10:21" x14ac:dyDescent="0.35">
      <c r="J149" s="136"/>
    </row>
    <row r="150" spans="10:21" x14ac:dyDescent="0.35">
      <c r="J150" s="136"/>
    </row>
    <row r="151" spans="10:21" x14ac:dyDescent="0.35">
      <c r="J151" s="136"/>
    </row>
    <row r="152" spans="10:21" x14ac:dyDescent="0.35">
      <c r="J152" s="136"/>
    </row>
    <row r="153" spans="10:21" x14ac:dyDescent="0.35">
      <c r="J153" s="136"/>
    </row>
    <row r="154" spans="10:21" x14ac:dyDescent="0.35">
      <c r="J154" s="136"/>
      <c r="U154" s="136"/>
    </row>
    <row r="155" spans="10:21" x14ac:dyDescent="0.35">
      <c r="J155" s="136"/>
    </row>
    <row r="156" spans="10:21" x14ac:dyDescent="0.35">
      <c r="J156" s="136"/>
    </row>
    <row r="157" spans="10:21" x14ac:dyDescent="0.35">
      <c r="J157" s="136"/>
    </row>
    <row r="158" spans="10:21" x14ac:dyDescent="0.35">
      <c r="J158" s="136"/>
    </row>
    <row r="159" spans="10:21" x14ac:dyDescent="0.35">
      <c r="J159" s="136"/>
    </row>
    <row r="160" spans="10:21" x14ac:dyDescent="0.35">
      <c r="J160" s="136"/>
    </row>
    <row r="161" spans="10:10" x14ac:dyDescent="0.35">
      <c r="J161" s="136"/>
    </row>
    <row r="162" spans="10:10" x14ac:dyDescent="0.35">
      <c r="J162" s="136"/>
    </row>
    <row r="163" spans="10:10" x14ac:dyDescent="0.35">
      <c r="J163" s="136"/>
    </row>
    <row r="164" spans="10:10" x14ac:dyDescent="0.35">
      <c r="J164" s="136"/>
    </row>
    <row r="165" spans="10:10" x14ac:dyDescent="0.35">
      <c r="J165" s="136"/>
    </row>
    <row r="166" spans="10:10" x14ac:dyDescent="0.35">
      <c r="J166" s="136"/>
    </row>
    <row r="167" spans="10:10" x14ac:dyDescent="0.35">
      <c r="J167" s="136"/>
    </row>
    <row r="168" spans="10:10" x14ac:dyDescent="0.35">
      <c r="J168" s="136"/>
    </row>
    <row r="169" spans="10:10" x14ac:dyDescent="0.35">
      <c r="J169" s="136"/>
    </row>
    <row r="170" spans="10:10" x14ac:dyDescent="0.35">
      <c r="J170" s="136"/>
    </row>
    <row r="171" spans="10:10" x14ac:dyDescent="0.35">
      <c r="J171" s="136"/>
    </row>
    <row r="172" spans="10:10" x14ac:dyDescent="0.35">
      <c r="J172" s="136"/>
    </row>
    <row r="173" spans="10:10" x14ac:dyDescent="0.35">
      <c r="J173" s="136"/>
    </row>
    <row r="174" spans="10:10" x14ac:dyDescent="0.35">
      <c r="J174" s="136"/>
    </row>
    <row r="175" spans="10:10" x14ac:dyDescent="0.35">
      <c r="J175" s="136"/>
    </row>
    <row r="176" spans="10:10" x14ac:dyDescent="0.35">
      <c r="J176" s="136"/>
    </row>
    <row r="177" spans="10:10" x14ac:dyDescent="0.35">
      <c r="J177" s="136"/>
    </row>
    <row r="178" spans="10:10" x14ac:dyDescent="0.35">
      <c r="J178" s="136"/>
    </row>
    <row r="179" spans="10:10" x14ac:dyDescent="0.35">
      <c r="J179" s="136"/>
    </row>
    <row r="180" spans="10:10" x14ac:dyDescent="0.35">
      <c r="J180" s="136"/>
    </row>
    <row r="181" spans="10:10" x14ac:dyDescent="0.35">
      <c r="J181" s="136"/>
    </row>
    <row r="182" spans="10:10" x14ac:dyDescent="0.35">
      <c r="J182" s="136"/>
    </row>
    <row r="183" spans="10:10" x14ac:dyDescent="0.35">
      <c r="J183" s="136"/>
    </row>
    <row r="184" spans="10:10" x14ac:dyDescent="0.35">
      <c r="J184" s="136"/>
    </row>
    <row r="185" spans="10:10" x14ac:dyDescent="0.35">
      <c r="J185" s="136"/>
    </row>
    <row r="186" spans="10:10" x14ac:dyDescent="0.35">
      <c r="J186" s="136"/>
    </row>
    <row r="187" spans="10:10" x14ac:dyDescent="0.35">
      <c r="J187" s="136"/>
    </row>
    <row r="188" spans="10:10" x14ac:dyDescent="0.35">
      <c r="J188" s="136"/>
    </row>
    <row r="189" spans="10:10" x14ac:dyDescent="0.35">
      <c r="J189" s="136"/>
    </row>
    <row r="190" spans="10:10" x14ac:dyDescent="0.35">
      <c r="J190" s="136"/>
    </row>
    <row r="191" spans="10:10" x14ac:dyDescent="0.35">
      <c r="J191" s="136"/>
    </row>
    <row r="192" spans="10:10" x14ac:dyDescent="0.35">
      <c r="J192" s="136"/>
    </row>
    <row r="193" spans="10:10" x14ac:dyDescent="0.35">
      <c r="J193" s="136"/>
    </row>
    <row r="194" spans="10:10" x14ac:dyDescent="0.35">
      <c r="J194" s="136"/>
    </row>
    <row r="195" spans="10:10" x14ac:dyDescent="0.35">
      <c r="J195" s="136"/>
    </row>
    <row r="196" spans="10:10" x14ac:dyDescent="0.35">
      <c r="J196" s="136"/>
    </row>
    <row r="197" spans="10:10" x14ac:dyDescent="0.35">
      <c r="J197" s="136"/>
    </row>
    <row r="198" spans="10:10" x14ac:dyDescent="0.35">
      <c r="J198" s="136"/>
    </row>
    <row r="199" spans="10:10" x14ac:dyDescent="0.35">
      <c r="J199" s="136"/>
    </row>
    <row r="200" spans="10:10" x14ac:dyDescent="0.35">
      <c r="J200" s="136"/>
    </row>
    <row r="201" spans="10:10" x14ac:dyDescent="0.35">
      <c r="J201" s="136"/>
    </row>
    <row r="202" spans="10:10" x14ac:dyDescent="0.35">
      <c r="J202" s="136"/>
    </row>
    <row r="203" spans="10:10" x14ac:dyDescent="0.35">
      <c r="J203" s="136"/>
    </row>
    <row r="204" spans="10:10" x14ac:dyDescent="0.35">
      <c r="J204" s="136"/>
    </row>
    <row r="205" spans="10:10" x14ac:dyDescent="0.35">
      <c r="J205" s="136"/>
    </row>
    <row r="206" spans="10:10" x14ac:dyDescent="0.35">
      <c r="J206" s="136"/>
    </row>
    <row r="207" spans="10:10" x14ac:dyDescent="0.35">
      <c r="J207" s="136"/>
    </row>
    <row r="208" spans="10:10" x14ac:dyDescent="0.35">
      <c r="J208" s="136"/>
    </row>
    <row r="209" spans="10:10" x14ac:dyDescent="0.35">
      <c r="J209" s="136"/>
    </row>
    <row r="210" spans="10:10" x14ac:dyDescent="0.35">
      <c r="J210" s="136"/>
    </row>
    <row r="211" spans="10:10" x14ac:dyDescent="0.35">
      <c r="J211" s="136"/>
    </row>
    <row r="212" spans="10:10" x14ac:dyDescent="0.35">
      <c r="J212" s="136"/>
    </row>
    <row r="213" spans="10:10" x14ac:dyDescent="0.35">
      <c r="J213" s="136"/>
    </row>
    <row r="214" spans="10:10" x14ac:dyDescent="0.35">
      <c r="J214" s="136"/>
    </row>
    <row r="215" spans="10:10" x14ac:dyDescent="0.35">
      <c r="J215" s="136"/>
    </row>
    <row r="216" spans="10:10" x14ac:dyDescent="0.35">
      <c r="J216" s="136"/>
    </row>
    <row r="217" spans="10:10" x14ac:dyDescent="0.35">
      <c r="J217" s="136"/>
    </row>
    <row r="218" spans="10:10" x14ac:dyDescent="0.35">
      <c r="J218" s="136"/>
    </row>
    <row r="219" spans="10:10" x14ac:dyDescent="0.35">
      <c r="J219" s="136"/>
    </row>
    <row r="220" spans="10:10" x14ac:dyDescent="0.35">
      <c r="J220" s="136"/>
    </row>
    <row r="221" spans="10:10" x14ac:dyDescent="0.35">
      <c r="J221" s="136"/>
    </row>
    <row r="222" spans="10:10" x14ac:dyDescent="0.35">
      <c r="J222" s="136"/>
    </row>
    <row r="223" spans="10:10" x14ac:dyDescent="0.35">
      <c r="J223" s="136"/>
    </row>
    <row r="224" spans="10:10" x14ac:dyDescent="0.35">
      <c r="J224" s="136"/>
    </row>
    <row r="225" spans="10:10" x14ac:dyDescent="0.35">
      <c r="J225" s="136"/>
    </row>
    <row r="226" spans="10:10" x14ac:dyDescent="0.35">
      <c r="J226" s="136"/>
    </row>
    <row r="227" spans="10:10" x14ac:dyDescent="0.35">
      <c r="J227" s="136"/>
    </row>
    <row r="228" spans="10:10" x14ac:dyDescent="0.35">
      <c r="J228" s="136"/>
    </row>
    <row r="229" spans="10:10" x14ac:dyDescent="0.35">
      <c r="J229" s="136"/>
    </row>
    <row r="230" spans="10:10" x14ac:dyDescent="0.35">
      <c r="J230" s="136"/>
    </row>
    <row r="231" spans="10:10" x14ac:dyDescent="0.35">
      <c r="J231" s="136"/>
    </row>
    <row r="232" spans="10:10" x14ac:dyDescent="0.35">
      <c r="J232" s="136"/>
    </row>
    <row r="233" spans="10:10" x14ac:dyDescent="0.35">
      <c r="J233" s="136"/>
    </row>
    <row r="234" spans="10:10" x14ac:dyDescent="0.35">
      <c r="J234" s="136"/>
    </row>
    <row r="235" spans="10:10" x14ac:dyDescent="0.35">
      <c r="J235" s="136"/>
    </row>
    <row r="236" spans="10:10" x14ac:dyDescent="0.35">
      <c r="J236" s="136"/>
    </row>
    <row r="237" spans="10:10" x14ac:dyDescent="0.35">
      <c r="J237" s="136"/>
    </row>
    <row r="238" spans="10:10" x14ac:dyDescent="0.35">
      <c r="J238" s="136"/>
    </row>
    <row r="239" spans="10:10" x14ac:dyDescent="0.35">
      <c r="J239" s="136"/>
    </row>
    <row r="240" spans="10:10" x14ac:dyDescent="0.35">
      <c r="J240" s="136"/>
    </row>
    <row r="241" spans="10:10" x14ac:dyDescent="0.35">
      <c r="J241" s="136"/>
    </row>
    <row r="242" spans="10:10" x14ac:dyDescent="0.35">
      <c r="J242" s="136"/>
    </row>
    <row r="243" spans="10:10" x14ac:dyDescent="0.35">
      <c r="J243" s="136"/>
    </row>
    <row r="244" spans="10:10" x14ac:dyDescent="0.35">
      <c r="J244" s="136"/>
    </row>
    <row r="245" spans="10:10" x14ac:dyDescent="0.35">
      <c r="J245" s="136"/>
    </row>
    <row r="246" spans="10:10" x14ac:dyDescent="0.35">
      <c r="J246" s="136"/>
    </row>
    <row r="247" spans="10:10" x14ac:dyDescent="0.35">
      <c r="J247" s="136"/>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8D2D-25C5-42EF-A994-98A8942FBA7F}">
  <sheetPr codeName="Sheet21"/>
  <dimension ref="A1:AA227"/>
  <sheetViews>
    <sheetView zoomScaleNormal="100" workbookViewId="0">
      <selection activeCell="O36" sqref="O36"/>
    </sheetView>
  </sheetViews>
  <sheetFormatPr defaultRowHeight="14.5" x14ac:dyDescent="0.35"/>
  <cols>
    <col min="1" max="1" width="26.26953125" customWidth="1"/>
    <col min="2" max="2" width="18" customWidth="1"/>
    <col min="3" max="3" width="19.81640625" customWidth="1"/>
    <col min="4" max="4" width="18.7265625" customWidth="1"/>
    <col min="5" max="5" width="17.54296875" customWidth="1"/>
    <col min="6" max="6" width="19.1796875" customWidth="1"/>
    <col min="7" max="7" width="15.54296875" customWidth="1"/>
    <col min="8" max="8" width="13.7265625" customWidth="1"/>
    <col min="9" max="9" width="22.1796875" customWidth="1"/>
    <col min="10" max="10" width="20.7265625" customWidth="1"/>
    <col min="11" max="11" width="13" customWidth="1"/>
    <col min="12" max="12" width="24.81640625" customWidth="1"/>
    <col min="13" max="13" width="14.7265625" customWidth="1"/>
    <col min="14" max="14" width="21.1796875" customWidth="1"/>
    <col min="15" max="15" width="14.54296875" customWidth="1"/>
    <col min="16" max="16" width="17.81640625" customWidth="1"/>
    <col min="17" max="17" width="15.453125" customWidth="1"/>
    <col min="18" max="18" width="11.26953125" customWidth="1"/>
    <col min="19" max="19" width="12.54296875" customWidth="1"/>
    <col min="21" max="21" width="12.1796875" bestFit="1" customWidth="1"/>
    <col min="22" max="22" width="10.1796875" bestFit="1" customWidth="1"/>
  </cols>
  <sheetData>
    <row r="1" spans="1:24" ht="18.5" x14ac:dyDescent="0.45">
      <c r="A1" s="1" t="s">
        <v>76</v>
      </c>
      <c r="B1" s="1"/>
      <c r="D1" s="117"/>
      <c r="G1" s="25"/>
      <c r="J1" s="166"/>
      <c r="N1" s="26">
        <f>75 * 96.2%</f>
        <v>72.150000000000006</v>
      </c>
    </row>
    <row r="2" spans="1:24" ht="15.5" x14ac:dyDescent="0.35">
      <c r="A2" s="1" t="s">
        <v>92</v>
      </c>
      <c r="B2" s="58">
        <v>20</v>
      </c>
      <c r="D2" s="280" t="s">
        <v>239</v>
      </c>
      <c r="E2" s="170" t="s">
        <v>240</v>
      </c>
      <c r="G2" s="1" t="s">
        <v>89</v>
      </c>
    </row>
    <row r="3" spans="1:24" x14ac:dyDescent="0.35">
      <c r="A3" s="1" t="s">
        <v>86</v>
      </c>
      <c r="B3" s="83">
        <v>3</v>
      </c>
      <c r="C3" s="5" t="s">
        <v>244</v>
      </c>
      <c r="D3" s="148">
        <v>0.02</v>
      </c>
      <c r="E3" s="277">
        <v>0.34900556999999999</v>
      </c>
      <c r="G3" t="s">
        <v>74</v>
      </c>
      <c r="H3" t="s">
        <v>12</v>
      </c>
      <c r="I3" t="s">
        <v>9</v>
      </c>
    </row>
    <row r="4" spans="1:24" ht="18.5" x14ac:dyDescent="0.45">
      <c r="A4" t="s">
        <v>87</v>
      </c>
      <c r="B4" s="171">
        <v>3.9E-2</v>
      </c>
      <c r="C4" s="5" t="s">
        <v>242</v>
      </c>
      <c r="D4" s="148">
        <v>2.7E-2</v>
      </c>
      <c r="E4" s="281">
        <v>0.56697998000000005</v>
      </c>
      <c r="G4" s="249">
        <f>BaseB!N25</f>
        <v>0.5</v>
      </c>
      <c r="H4" s="90">
        <f>Bonus_Game1!H4</f>
        <v>0.29659999999999997</v>
      </c>
      <c r="I4" s="158">
        <f>G4 * H4</f>
        <v>0.14829999999999999</v>
      </c>
      <c r="L4" s="6"/>
    </row>
    <row r="5" spans="1:24" ht="18.5" x14ac:dyDescent="0.45">
      <c r="B5" s="171"/>
      <c r="E5" s="23"/>
      <c r="G5" s="249">
        <f>BaseB!N26</f>
        <v>1</v>
      </c>
      <c r="H5" s="90">
        <f>Bonus_Game1!H5</f>
        <v>0.3</v>
      </c>
      <c r="I5" s="158">
        <f t="shared" ref="I5:I24" si="0">G5 * H5</f>
        <v>0.3</v>
      </c>
      <c r="L5" s="6"/>
      <c r="R5" s="132"/>
      <c r="S5" s="132"/>
    </row>
    <row r="6" spans="1:24" x14ac:dyDescent="0.35">
      <c r="G6" s="249">
        <f>BaseB!N27</f>
        <v>1.5</v>
      </c>
      <c r="H6" s="90">
        <f>Bonus_Game1!H6</f>
        <v>0.13</v>
      </c>
      <c r="I6" s="158">
        <f t="shared" si="0"/>
        <v>0.19500000000000001</v>
      </c>
      <c r="L6" s="6"/>
      <c r="R6" s="132"/>
      <c r="S6" s="132"/>
    </row>
    <row r="7" spans="1:24" x14ac:dyDescent="0.35">
      <c r="A7" s="50" t="s">
        <v>81</v>
      </c>
      <c r="G7" s="249">
        <f>BaseB!N28</f>
        <v>2</v>
      </c>
      <c r="H7" s="90">
        <f>Bonus_Game1!H7</f>
        <v>0.09</v>
      </c>
      <c r="I7" s="158">
        <f t="shared" si="0"/>
        <v>0.18</v>
      </c>
      <c r="L7" s="6"/>
      <c r="S7" s="132"/>
      <c r="U7" s="7"/>
    </row>
    <row r="8" spans="1:24" x14ac:dyDescent="0.35">
      <c r="A8" s="134" t="s">
        <v>1</v>
      </c>
      <c r="B8" s="135" t="s">
        <v>2</v>
      </c>
      <c r="C8" s="134" t="s">
        <v>3</v>
      </c>
      <c r="D8" s="135" t="s">
        <v>4</v>
      </c>
      <c r="E8" s="134" t="s">
        <v>5</v>
      </c>
      <c r="G8" s="249">
        <f>BaseB!N29</f>
        <v>2.5</v>
      </c>
      <c r="H8" s="90">
        <f>Bonus_Game1!H8</f>
        <v>0.05</v>
      </c>
      <c r="I8" s="158">
        <f t="shared" si="0"/>
        <v>0.125</v>
      </c>
      <c r="L8" s="6"/>
      <c r="S8" s="132"/>
      <c r="U8" s="7"/>
    </row>
    <row r="9" spans="1:24" x14ac:dyDescent="0.35">
      <c r="A9" s="156">
        <f>$B$4</f>
        <v>3.9E-2</v>
      </c>
      <c r="B9" s="156">
        <f t="shared" ref="B9:E12" si="1">$B$4</f>
        <v>3.9E-2</v>
      </c>
      <c r="C9" s="156">
        <f t="shared" si="1"/>
        <v>3.9E-2</v>
      </c>
      <c r="D9" s="156">
        <f t="shared" si="1"/>
        <v>3.9E-2</v>
      </c>
      <c r="E9" s="156">
        <f t="shared" si="1"/>
        <v>3.9E-2</v>
      </c>
      <c r="G9" s="249">
        <f>BaseB!N30</f>
        <v>3</v>
      </c>
      <c r="H9" s="90">
        <f>Bonus_Game1!H9</f>
        <v>0.03</v>
      </c>
      <c r="I9" s="158">
        <f t="shared" si="0"/>
        <v>0.09</v>
      </c>
      <c r="L9" s="6"/>
      <c r="S9" s="132"/>
      <c r="U9" s="7"/>
    </row>
    <row r="10" spans="1:24" x14ac:dyDescent="0.35">
      <c r="A10" s="156">
        <f t="shared" ref="A10:A12" si="2">$B$4</f>
        <v>3.9E-2</v>
      </c>
      <c r="B10" s="156">
        <f t="shared" si="1"/>
        <v>3.9E-2</v>
      </c>
      <c r="C10" s="156">
        <f t="shared" si="1"/>
        <v>3.9E-2</v>
      </c>
      <c r="D10" s="156">
        <f t="shared" si="1"/>
        <v>3.9E-2</v>
      </c>
      <c r="E10" s="156">
        <f t="shared" si="1"/>
        <v>3.9E-2</v>
      </c>
      <c r="G10" s="249">
        <f>BaseB!N31</f>
        <v>3.5</v>
      </c>
      <c r="H10" s="90">
        <f>Bonus_Game1!H10</f>
        <v>0.02</v>
      </c>
      <c r="I10" s="158">
        <f t="shared" si="0"/>
        <v>7.0000000000000007E-2</v>
      </c>
      <c r="L10" s="6"/>
      <c r="S10" s="132"/>
      <c r="U10" s="7"/>
      <c r="X10" s="18"/>
    </row>
    <row r="11" spans="1:24" x14ac:dyDescent="0.35">
      <c r="A11" s="156">
        <f t="shared" si="2"/>
        <v>3.9E-2</v>
      </c>
      <c r="B11" s="156">
        <f t="shared" si="1"/>
        <v>3.9E-2</v>
      </c>
      <c r="C11" s="156">
        <f t="shared" si="1"/>
        <v>3.9E-2</v>
      </c>
      <c r="D11" s="156">
        <f t="shared" si="1"/>
        <v>3.9E-2</v>
      </c>
      <c r="E11" s="156">
        <f t="shared" si="1"/>
        <v>3.9E-2</v>
      </c>
      <c r="G11" s="249">
        <f>BaseB!N32</f>
        <v>4</v>
      </c>
      <c r="H11" s="90">
        <f>Bonus_Game1!H11</f>
        <v>1.4999999999999999E-2</v>
      </c>
      <c r="I11" s="158">
        <f t="shared" si="0"/>
        <v>0.06</v>
      </c>
      <c r="L11" s="6"/>
      <c r="S11" s="132"/>
      <c r="U11" s="40"/>
    </row>
    <row r="12" spans="1:24" x14ac:dyDescent="0.35">
      <c r="A12" s="156">
        <f t="shared" si="2"/>
        <v>3.9E-2</v>
      </c>
      <c r="B12" s="156">
        <f t="shared" si="1"/>
        <v>3.9E-2</v>
      </c>
      <c r="C12" s="156">
        <f t="shared" si="1"/>
        <v>3.9E-2</v>
      </c>
      <c r="D12" s="156">
        <f t="shared" si="1"/>
        <v>3.9E-2</v>
      </c>
      <c r="E12" s="156">
        <f t="shared" si="1"/>
        <v>3.9E-2</v>
      </c>
      <c r="G12" s="249">
        <f>BaseB!N33</f>
        <v>5</v>
      </c>
      <c r="H12" s="90">
        <f>Bonus_Game1!H12</f>
        <v>1.4E-2</v>
      </c>
      <c r="I12" s="158">
        <f t="shared" si="0"/>
        <v>7.0000000000000007E-2</v>
      </c>
      <c r="L12" s="6"/>
      <c r="S12" s="132"/>
    </row>
    <row r="13" spans="1:24" x14ac:dyDescent="0.35">
      <c r="A13" s="1" t="s">
        <v>88</v>
      </c>
      <c r="B13" s="155">
        <f>1-B4</f>
        <v>0.96099999999999997</v>
      </c>
      <c r="D13" s="50"/>
      <c r="E13" s="50"/>
      <c r="F13" s="50"/>
      <c r="G13" s="249">
        <f>BaseB!N34</f>
        <v>6</v>
      </c>
      <c r="H13" s="90">
        <f>Bonus_Game1!H13</f>
        <v>1.2E-2</v>
      </c>
      <c r="I13" s="158">
        <f t="shared" si="0"/>
        <v>7.2000000000000008E-2</v>
      </c>
      <c r="L13" s="6"/>
      <c r="R13" s="50"/>
      <c r="S13" s="50"/>
      <c r="T13" s="50"/>
      <c r="W13" s="1"/>
    </row>
    <row r="14" spans="1:24" x14ac:dyDescent="0.35">
      <c r="G14" s="249">
        <f>BaseB!N35</f>
        <v>7</v>
      </c>
      <c r="H14" s="90">
        <f>Bonus_Game1!H14</f>
        <v>0.01</v>
      </c>
      <c r="I14" s="158">
        <f t="shared" si="0"/>
        <v>7.0000000000000007E-2</v>
      </c>
      <c r="L14" s="6"/>
    </row>
    <row r="15" spans="1:24" x14ac:dyDescent="0.35">
      <c r="A15" t="s">
        <v>90</v>
      </c>
      <c r="B15" s="129">
        <f>B13^B2</f>
        <v>0.45130251461102172</v>
      </c>
      <c r="C15" s="1"/>
      <c r="D15" s="1"/>
      <c r="E15" s="1"/>
      <c r="F15" s="1"/>
      <c r="G15" s="249">
        <f>BaseB!N36</f>
        <v>8</v>
      </c>
      <c r="H15" s="90">
        <f>Bonus_Game1!H15</f>
        <v>8.0000000000000002E-3</v>
      </c>
      <c r="I15" s="158">
        <f t="shared" si="0"/>
        <v>6.4000000000000001E-2</v>
      </c>
      <c r="L15" s="6"/>
      <c r="R15" s="1"/>
      <c r="S15" s="1"/>
      <c r="T15" s="1"/>
      <c r="U15" s="1"/>
      <c r="V15" s="1"/>
    </row>
    <row r="16" spans="1:24" x14ac:dyDescent="0.35">
      <c r="B16" s="133"/>
      <c r="C16" s="29"/>
      <c r="G16" s="249">
        <f>BaseB!N37</f>
        <v>9</v>
      </c>
      <c r="H16" s="90">
        <f>Bonus_Game1!H16</f>
        <v>6.0000000000000001E-3</v>
      </c>
      <c r="I16" s="158">
        <f t="shared" si="0"/>
        <v>5.3999999999999999E-2</v>
      </c>
      <c r="L16" s="6"/>
      <c r="U16" s="1"/>
      <c r="V16" s="1"/>
    </row>
    <row r="17" spans="1:25" x14ac:dyDescent="0.35">
      <c r="A17" t="s">
        <v>278</v>
      </c>
      <c r="B17" s="206">
        <f>B30</f>
        <v>7.7226600000000001E-3</v>
      </c>
      <c r="C17" s="29"/>
      <c r="E17" s="7"/>
      <c r="G17" s="249">
        <f>BaseB!N38</f>
        <v>10</v>
      </c>
      <c r="H17" s="90">
        <f>Bonus_Game1!H17</f>
        <v>5.0000000000000001E-3</v>
      </c>
      <c r="I17" s="158">
        <f t="shared" si="0"/>
        <v>0.05</v>
      </c>
      <c r="L17" s="6"/>
      <c r="U17" s="1"/>
      <c r="V17" s="1"/>
    </row>
    <row r="18" spans="1:25" x14ac:dyDescent="0.35">
      <c r="B18" s="103"/>
      <c r="C18" s="29"/>
      <c r="G18" s="249">
        <f>BaseB!N39</f>
        <v>12</v>
      </c>
      <c r="H18" s="90">
        <f>Bonus_Game1!H18</f>
        <v>4.0000000000000001E-3</v>
      </c>
      <c r="I18" s="158">
        <f t="shared" si="0"/>
        <v>4.8000000000000001E-2</v>
      </c>
      <c r="L18" s="6"/>
      <c r="U18" s="1"/>
      <c r="V18" s="1"/>
    </row>
    <row r="19" spans="1:25" x14ac:dyDescent="0.35">
      <c r="B19" s="104"/>
      <c r="C19" s="29"/>
      <c r="D19" s="252"/>
      <c r="G19" s="249">
        <f>BaseB!N40</f>
        <v>15</v>
      </c>
      <c r="H19" s="90">
        <f>Bonus_Game1!H19</f>
        <v>3.0000000000000001E-3</v>
      </c>
      <c r="I19" s="158">
        <f t="shared" si="0"/>
        <v>4.4999999999999998E-2</v>
      </c>
      <c r="L19" s="6"/>
      <c r="U19" s="1"/>
      <c r="V19" s="1"/>
    </row>
    <row r="20" spans="1:25" x14ac:dyDescent="0.35">
      <c r="B20" s="133"/>
      <c r="C20" s="29"/>
      <c r="G20" s="249">
        <f>BaseB!N41</f>
        <v>20</v>
      </c>
      <c r="H20" s="90">
        <f>Bonus_Game1!H20</f>
        <v>2.5000000000000001E-3</v>
      </c>
      <c r="I20" s="158">
        <f t="shared" si="0"/>
        <v>0.05</v>
      </c>
      <c r="L20" s="6"/>
      <c r="U20" s="1"/>
      <c r="V20" s="1"/>
    </row>
    <row r="21" spans="1:25" x14ac:dyDescent="0.35">
      <c r="A21" t="s">
        <v>91</v>
      </c>
      <c r="B21" s="43">
        <f>I71</f>
        <v>13.632570300000005</v>
      </c>
      <c r="C21" s="29"/>
      <c r="G21" s="249">
        <f>BaseB!N42</f>
        <v>25</v>
      </c>
      <c r="H21" s="90">
        <f>Bonus_Game1!H21</f>
        <v>2E-3</v>
      </c>
      <c r="I21" s="158">
        <f t="shared" si="0"/>
        <v>0.05</v>
      </c>
      <c r="L21" s="6"/>
      <c r="U21" s="1"/>
      <c r="V21" s="1"/>
    </row>
    <row r="22" spans="1:25" x14ac:dyDescent="0.35">
      <c r="A22" t="s">
        <v>115</v>
      </c>
      <c r="B22" s="133">
        <f>D71</f>
        <v>31.00371105</v>
      </c>
      <c r="C22" s="29"/>
      <c r="G22" s="249">
        <f>BaseB!N43</f>
        <v>30</v>
      </c>
      <c r="H22" s="90">
        <f>Bonus_Game1!H22</f>
        <v>1E-3</v>
      </c>
      <c r="I22" s="158">
        <f t="shared" si="0"/>
        <v>0.03</v>
      </c>
      <c r="L22" s="6"/>
      <c r="U22" s="1"/>
      <c r="V22" s="1"/>
    </row>
    <row r="23" spans="1:25" x14ac:dyDescent="0.35">
      <c r="B23" s="133"/>
      <c r="C23" s="29"/>
      <c r="E23" s="7"/>
      <c r="G23" s="249">
        <f>BaseB!N44</f>
        <v>40</v>
      </c>
      <c r="H23" s="90">
        <f>Bonus_Game1!H23</f>
        <v>5.0000000000000001E-4</v>
      </c>
      <c r="I23" s="158">
        <f t="shared" si="0"/>
        <v>0.02</v>
      </c>
      <c r="L23" s="6"/>
    </row>
    <row r="24" spans="1:25" x14ac:dyDescent="0.35">
      <c r="A24" t="s">
        <v>114</v>
      </c>
      <c r="B24" s="15">
        <f>E71</f>
        <v>100000000</v>
      </c>
      <c r="D24" s="15"/>
      <c r="G24" s="249">
        <f>BaseB!N45</f>
        <v>50</v>
      </c>
      <c r="H24" s="90">
        <f>Bonus_Game1!H24</f>
        <v>4.0000000000000002E-4</v>
      </c>
      <c r="I24" s="158">
        <f t="shared" si="0"/>
        <v>0.02</v>
      </c>
      <c r="L24" s="6"/>
      <c r="X24" s="1"/>
      <c r="Y24" s="143"/>
    </row>
    <row r="25" spans="1:25" x14ac:dyDescent="0.35">
      <c r="B25" s="103"/>
      <c r="C25" s="29"/>
      <c r="D25" s="167"/>
      <c r="G25" s="11"/>
      <c r="H25" s="246"/>
      <c r="I25" s="158"/>
      <c r="L25" s="6"/>
    </row>
    <row r="26" spans="1:25" x14ac:dyDescent="0.35">
      <c r="B26" s="15"/>
      <c r="H26" s="157">
        <f>SUM(H4:H25)</f>
        <v>1</v>
      </c>
      <c r="I26" s="191">
        <f>SUM(I4:I25)</f>
        <v>1.8113000000000006</v>
      </c>
    </row>
    <row r="27" spans="1:25" x14ac:dyDescent="0.35">
      <c r="B27" s="15"/>
    </row>
    <row r="28" spans="1:25" x14ac:dyDescent="0.35">
      <c r="I28" s="43"/>
      <c r="J28" s="43"/>
      <c r="K28" s="43"/>
      <c r="L28" s="43"/>
      <c r="M28" s="43"/>
      <c r="N28" s="43"/>
      <c r="O28" s="43"/>
    </row>
    <row r="29" spans="1:25" x14ac:dyDescent="0.35">
      <c r="A29" s="9" t="s">
        <v>120</v>
      </c>
      <c r="B29" s="9" t="s">
        <v>12</v>
      </c>
      <c r="C29" s="9" t="s">
        <v>113</v>
      </c>
      <c r="D29" s="9" t="s">
        <v>9</v>
      </c>
      <c r="E29" s="9" t="s">
        <v>121</v>
      </c>
      <c r="F29" s="9" t="s">
        <v>122</v>
      </c>
      <c r="I29" s="9" t="s">
        <v>116</v>
      </c>
      <c r="J29" s="43" t="s">
        <v>123</v>
      </c>
      <c r="K29" s="43"/>
      <c r="L29" t="s">
        <v>241</v>
      </c>
      <c r="M29" s="7">
        <f>Bonus_Game1!M29</f>
        <v>0.16</v>
      </c>
      <c r="N29" s="43"/>
      <c r="O29" s="43"/>
    </row>
    <row r="30" spans="1:25" x14ac:dyDescent="0.35">
      <c r="A30" s="11">
        <v>0</v>
      </c>
      <c r="B30" s="165">
        <f t="shared" ref="B30:B50" si="3">E30/E$71</f>
        <v>7.7226600000000001E-3</v>
      </c>
      <c r="C30" s="163">
        <v>0</v>
      </c>
      <c r="D30" s="159">
        <f>B30 * C30</f>
        <v>0</v>
      </c>
      <c r="E30">
        <v>772266</v>
      </c>
      <c r="F30">
        <v>0</v>
      </c>
      <c r="I30" s="5">
        <f t="shared" ref="I30:I50" si="4">A30 * B30</f>
        <v>0</v>
      </c>
      <c r="J30" s="15">
        <f t="shared" ref="J30:J50" si="5">E$71/E30</f>
        <v>129.48906205892789</v>
      </c>
      <c r="K30" s="43"/>
      <c r="L30" s="15"/>
      <c r="N30" s="43"/>
      <c r="O30" s="43"/>
    </row>
    <row r="31" spans="1:25" x14ac:dyDescent="0.35">
      <c r="A31" s="11">
        <v>1</v>
      </c>
      <c r="B31" s="165">
        <f t="shared" si="3"/>
        <v>9.5209700000000001E-3</v>
      </c>
      <c r="C31" s="52">
        <f t="shared" ref="C31:C51" si="6" xml:space="preserve"> F31 /  (  B$24  * B31  )</f>
        <v>1.8105455641599544</v>
      </c>
      <c r="D31" s="159">
        <f t="shared" ref="D31:D50" si="7">B31 * C31</f>
        <v>1.7238150000000001E-2</v>
      </c>
      <c r="E31">
        <v>952097</v>
      </c>
      <c r="F31">
        <v>1723815</v>
      </c>
      <c r="I31" s="5">
        <f t="shared" si="4"/>
        <v>9.5209700000000001E-3</v>
      </c>
      <c r="J31" s="15">
        <f t="shared" si="5"/>
        <v>105.03131508659307</v>
      </c>
      <c r="K31" s="43"/>
      <c r="L31" s="43"/>
      <c r="M31" s="43"/>
      <c r="N31" s="43"/>
      <c r="O31" s="43"/>
    </row>
    <row r="32" spans="1:25" x14ac:dyDescent="0.35">
      <c r="A32" s="11">
        <v>2</v>
      </c>
      <c r="B32" s="165">
        <f t="shared" si="3"/>
        <v>1.3946739999999999E-2</v>
      </c>
      <c r="C32" s="52">
        <f t="shared" si="6"/>
        <v>3.6236016445420218</v>
      </c>
      <c r="D32" s="159">
        <f t="shared" si="7"/>
        <v>5.0537429999999994E-2</v>
      </c>
      <c r="E32">
        <v>1394674</v>
      </c>
      <c r="F32">
        <v>5053743</v>
      </c>
      <c r="I32" s="5">
        <f t="shared" si="4"/>
        <v>2.7893479999999998E-2</v>
      </c>
      <c r="J32" s="15">
        <f t="shared" si="5"/>
        <v>71.701343826585997</v>
      </c>
      <c r="K32" s="43"/>
      <c r="L32" s="9" t="s">
        <v>198</v>
      </c>
      <c r="M32" s="266" t="s">
        <v>199</v>
      </c>
      <c r="N32" s="9" t="s">
        <v>206</v>
      </c>
      <c r="O32" s="9" t="s">
        <v>12</v>
      </c>
      <c r="P32" s="9"/>
    </row>
    <row r="33" spans="1:27" x14ac:dyDescent="0.35">
      <c r="A33" s="11">
        <v>3</v>
      </c>
      <c r="B33" s="165">
        <f t="shared" si="3"/>
        <v>1.8539139999999999E-2</v>
      </c>
      <c r="C33" s="52">
        <f t="shared" si="6"/>
        <v>5.4953563110262937</v>
      </c>
      <c r="D33" s="159">
        <f t="shared" si="7"/>
        <v>0.10187918</v>
      </c>
      <c r="E33">
        <v>1853914</v>
      </c>
      <c r="F33">
        <v>10187918</v>
      </c>
      <c r="I33" s="5">
        <f t="shared" si="4"/>
        <v>5.5617420000000001E-2</v>
      </c>
      <c r="J33" s="15">
        <f t="shared" si="5"/>
        <v>53.939934646375185</v>
      </c>
      <c r="K33" s="43"/>
      <c r="L33" s="260" t="str">
        <f>Bonus_Game1!L33</f>
        <v>Mini</v>
      </c>
      <c r="M33" s="269">
        <f>Bonus_Game1!M33</f>
        <v>2</v>
      </c>
      <c r="N33" s="268">
        <f>Bonus_Game1!N33</f>
        <v>0.26</v>
      </c>
      <c r="O33" s="72">
        <v>4.7934480000000002E-2</v>
      </c>
    </row>
    <row r="34" spans="1:27" x14ac:dyDescent="0.35">
      <c r="A34" s="11">
        <v>4</v>
      </c>
      <c r="B34" s="165">
        <f t="shared" si="3"/>
        <v>2.3511460000000001E-2</v>
      </c>
      <c r="C34" s="52">
        <f t="shared" si="6"/>
        <v>7.4055069315133979</v>
      </c>
      <c r="D34" s="159">
        <f t="shared" si="7"/>
        <v>0.17411428000000001</v>
      </c>
      <c r="E34">
        <v>2351146</v>
      </c>
      <c r="F34">
        <v>17411428</v>
      </c>
      <c r="I34" s="5">
        <f t="shared" si="4"/>
        <v>9.4045840000000006E-2</v>
      </c>
      <c r="J34" s="15">
        <f t="shared" si="5"/>
        <v>42.532450132828842</v>
      </c>
      <c r="K34" s="43"/>
      <c r="L34" s="260" t="str">
        <f>Bonus_Game1!L34</f>
        <v>Midi</v>
      </c>
      <c r="M34" s="269">
        <f>Bonus_Game1!M34</f>
        <v>3</v>
      </c>
      <c r="N34" s="268">
        <f>Bonus_Game1!N34</f>
        <v>0.31</v>
      </c>
      <c r="O34" s="72">
        <v>9.5344699999999998E-3</v>
      </c>
    </row>
    <row r="35" spans="1:27" x14ac:dyDescent="0.35">
      <c r="A35" s="11">
        <v>5</v>
      </c>
      <c r="B35" s="165">
        <f t="shared" si="3"/>
        <v>2.8855269999999999E-2</v>
      </c>
      <c r="C35" s="52">
        <f t="shared" si="6"/>
        <v>9.3865761782856296</v>
      </c>
      <c r="D35" s="159">
        <f t="shared" si="7"/>
        <v>0.27085218999999999</v>
      </c>
      <c r="E35">
        <v>2885527</v>
      </c>
      <c r="F35">
        <v>27085219</v>
      </c>
      <c r="I35" s="5">
        <f t="shared" si="4"/>
        <v>0.14427635</v>
      </c>
      <c r="J35" s="15">
        <f t="shared" si="5"/>
        <v>34.655714536720673</v>
      </c>
      <c r="K35" s="43"/>
      <c r="L35" s="260" t="str">
        <f>Bonus_Game1!L35</f>
        <v>Maxi</v>
      </c>
      <c r="M35" s="269">
        <f>Bonus_Game1!M35</f>
        <v>4</v>
      </c>
      <c r="N35" s="268">
        <f>Bonus_Game1!N35</f>
        <v>0.25</v>
      </c>
      <c r="O35" s="72">
        <v>4.9204000000000001E-4</v>
      </c>
    </row>
    <row r="36" spans="1:27" x14ac:dyDescent="0.35">
      <c r="A36" s="11">
        <v>6</v>
      </c>
      <c r="B36" s="165">
        <f t="shared" si="3"/>
        <v>3.4325179999999997E-2</v>
      </c>
      <c r="C36" s="52">
        <f t="shared" si="6"/>
        <v>11.415549313943876</v>
      </c>
      <c r="D36" s="159">
        <f t="shared" si="7"/>
        <v>0.39184078500000002</v>
      </c>
      <c r="E36">
        <v>3432518</v>
      </c>
      <c r="F36">
        <v>39184078.5</v>
      </c>
      <c r="I36" s="5">
        <f t="shared" si="4"/>
        <v>0.20595107999999998</v>
      </c>
      <c r="J36" s="15">
        <f t="shared" si="5"/>
        <v>29.133132003969099</v>
      </c>
      <c r="K36" s="43"/>
      <c r="L36" s="260" t="str">
        <f>Bonus_Game1!L36</f>
        <v>Grand</v>
      </c>
      <c r="M36" s="269">
        <f>Bonus_Game1!M36</f>
        <v>5</v>
      </c>
      <c r="N36" s="268">
        <f>Bonus_Game1!N36</f>
        <v>0.18</v>
      </c>
      <c r="O36" s="72">
        <v>7.7700000000000001E-6</v>
      </c>
    </row>
    <row r="37" spans="1:27" x14ac:dyDescent="0.35">
      <c r="A37" s="11">
        <v>7</v>
      </c>
      <c r="B37" s="165">
        <f t="shared" si="3"/>
        <v>3.982347E-2</v>
      </c>
      <c r="C37" s="52">
        <f t="shared" si="6"/>
        <v>13.50309854967435</v>
      </c>
      <c r="D37" s="159">
        <f t="shared" si="7"/>
        <v>0.53774023999999998</v>
      </c>
      <c r="E37">
        <v>3982347</v>
      </c>
      <c r="F37">
        <v>53774024</v>
      </c>
      <c r="I37" s="5">
        <f t="shared" si="4"/>
        <v>0.27876429000000003</v>
      </c>
      <c r="J37" s="15">
        <f t="shared" si="5"/>
        <v>25.110820327811716</v>
      </c>
      <c r="K37" s="43"/>
      <c r="L37" s="43"/>
      <c r="M37" s="43"/>
      <c r="N37" s="271">
        <f>SUM(N33:N36)</f>
        <v>1</v>
      </c>
    </row>
    <row r="38" spans="1:27" x14ac:dyDescent="0.35">
      <c r="A38" s="11">
        <v>8</v>
      </c>
      <c r="B38" s="165">
        <f t="shared" si="3"/>
        <v>4.5138959999999999E-2</v>
      </c>
      <c r="C38" s="52">
        <f t="shared" si="6"/>
        <v>15.664637709863054</v>
      </c>
      <c r="D38" s="159">
        <f t="shared" si="7"/>
        <v>0.70708545499999997</v>
      </c>
      <c r="E38">
        <v>4513896</v>
      </c>
      <c r="F38">
        <v>70708545.5</v>
      </c>
      <c r="I38" s="5">
        <f t="shared" si="4"/>
        <v>0.36111167999999999</v>
      </c>
      <c r="J38" s="15">
        <f t="shared" si="5"/>
        <v>22.153811253072735</v>
      </c>
      <c r="K38" s="43"/>
      <c r="L38" s="43"/>
      <c r="M38" s="43"/>
      <c r="N38" s="43"/>
    </row>
    <row r="39" spans="1:27" x14ac:dyDescent="0.35">
      <c r="A39" s="11">
        <v>9</v>
      </c>
      <c r="B39" s="165">
        <f t="shared" si="3"/>
        <v>5.0007639999999999E-2</v>
      </c>
      <c r="C39" s="52">
        <f t="shared" si="6"/>
        <v>17.912656846033926</v>
      </c>
      <c r="D39" s="159">
        <f t="shared" si="7"/>
        <v>0.89576969499999992</v>
      </c>
      <c r="E39">
        <v>5000764</v>
      </c>
      <c r="F39">
        <v>89576969.5</v>
      </c>
      <c r="I39" s="5">
        <f t="shared" si="4"/>
        <v>0.45006876000000001</v>
      </c>
      <c r="J39" s="15">
        <f t="shared" si="5"/>
        <v>19.996944466885459</v>
      </c>
      <c r="K39" s="43"/>
      <c r="L39" s="43"/>
      <c r="M39" s="43"/>
      <c r="N39" s="43"/>
      <c r="O39" s="43"/>
    </row>
    <row r="40" spans="1:27" x14ac:dyDescent="0.35">
      <c r="A40" s="11">
        <v>10</v>
      </c>
      <c r="B40" s="165">
        <f t="shared" si="3"/>
        <v>5.4187180000000001E-2</v>
      </c>
      <c r="C40" s="52">
        <f t="shared" si="6"/>
        <v>20.230076560544394</v>
      </c>
      <c r="D40" s="159">
        <f t="shared" si="7"/>
        <v>1.0962107999999999</v>
      </c>
      <c r="E40">
        <v>5418718</v>
      </c>
      <c r="F40">
        <v>109621080</v>
      </c>
      <c r="I40" s="5">
        <f t="shared" si="4"/>
        <v>0.54187180000000001</v>
      </c>
      <c r="J40" s="15">
        <f t="shared" si="5"/>
        <v>18.454549581653815</v>
      </c>
      <c r="K40" s="43"/>
      <c r="L40" s="43"/>
      <c r="M40" s="43"/>
      <c r="N40" s="43"/>
      <c r="O40" s="43"/>
    </row>
    <row r="41" spans="1:27" x14ac:dyDescent="0.35">
      <c r="A41" s="11">
        <v>11</v>
      </c>
      <c r="B41" s="165">
        <f t="shared" si="3"/>
        <v>5.744813E-2</v>
      </c>
      <c r="C41" s="52">
        <f t="shared" si="6"/>
        <v>22.641722541708493</v>
      </c>
      <c r="D41" s="159">
        <f t="shared" si="7"/>
        <v>1.30072462</v>
      </c>
      <c r="E41">
        <v>5744813</v>
      </c>
      <c r="F41">
        <v>130072462</v>
      </c>
      <c r="I41" s="5">
        <f t="shared" si="4"/>
        <v>0.63192943000000001</v>
      </c>
      <c r="J41" s="15">
        <f t="shared" si="5"/>
        <v>17.40700698177643</v>
      </c>
      <c r="K41" s="43"/>
      <c r="L41" s="43"/>
      <c r="M41" s="43"/>
      <c r="N41" s="43"/>
      <c r="O41" s="43"/>
    </row>
    <row r="42" spans="1:27" x14ac:dyDescent="0.35">
      <c r="A42" s="11">
        <v>12</v>
      </c>
      <c r="B42" s="165">
        <f t="shared" si="3"/>
        <v>5.9546639999999998E-2</v>
      </c>
      <c r="C42" s="52">
        <f t="shared" si="6"/>
        <v>25.120489837881699</v>
      </c>
      <c r="D42" s="159">
        <f t="shared" si="7"/>
        <v>1.4958407649999999</v>
      </c>
      <c r="E42">
        <v>5954664</v>
      </c>
      <c r="F42">
        <v>149584076.5</v>
      </c>
      <c r="I42" s="5">
        <f t="shared" si="4"/>
        <v>0.71455968000000003</v>
      </c>
      <c r="J42" s="15">
        <f t="shared" si="5"/>
        <v>16.793558796936317</v>
      </c>
      <c r="K42" s="43"/>
      <c r="L42" s="43"/>
      <c r="M42" s="43"/>
      <c r="N42" s="43"/>
      <c r="O42" s="43"/>
      <c r="AA42" s="23"/>
    </row>
    <row r="43" spans="1:27" x14ac:dyDescent="0.35">
      <c r="A43" s="11">
        <v>13</v>
      </c>
      <c r="B43" s="165">
        <f t="shared" si="3"/>
        <v>6.0433639999999997E-2</v>
      </c>
      <c r="C43" s="52">
        <f t="shared" si="6"/>
        <v>27.707678124302955</v>
      </c>
      <c r="D43" s="159">
        <f t="shared" si="7"/>
        <v>1.6744758449999999</v>
      </c>
      <c r="E43">
        <v>6043364</v>
      </c>
      <c r="F43">
        <v>167447584.5</v>
      </c>
      <c r="I43" s="5">
        <f t="shared" si="4"/>
        <v>0.78563731999999997</v>
      </c>
      <c r="J43" s="15">
        <f t="shared" si="5"/>
        <v>16.547075436793151</v>
      </c>
      <c r="K43" s="43"/>
      <c r="L43" s="43"/>
      <c r="M43" s="43"/>
      <c r="N43" s="43"/>
      <c r="O43" s="43"/>
      <c r="AA43" s="23"/>
    </row>
    <row r="44" spans="1:27" x14ac:dyDescent="0.35">
      <c r="A44" s="11">
        <v>14</v>
      </c>
      <c r="B44" s="165">
        <f t="shared" si="3"/>
        <v>5.9953060000000002E-2</v>
      </c>
      <c r="C44" s="52">
        <f t="shared" si="6"/>
        <v>30.381229915537254</v>
      </c>
      <c r="D44" s="159">
        <f t="shared" si="7"/>
        <v>1.8214477</v>
      </c>
      <c r="E44">
        <v>5995306</v>
      </c>
      <c r="F44">
        <v>182144770</v>
      </c>
      <c r="I44" s="5">
        <f t="shared" si="4"/>
        <v>0.83934284000000003</v>
      </c>
      <c r="J44" s="15">
        <f t="shared" si="5"/>
        <v>16.679715764299605</v>
      </c>
      <c r="K44" s="43"/>
      <c r="L44" s="43"/>
      <c r="M44" s="43"/>
      <c r="N44" s="43"/>
      <c r="O44" s="43"/>
      <c r="AA44" s="23"/>
    </row>
    <row r="45" spans="1:27" x14ac:dyDescent="0.35">
      <c r="A45" s="11">
        <v>15</v>
      </c>
      <c r="B45" s="165">
        <f t="shared" si="3"/>
        <v>5.8122930000000003E-2</v>
      </c>
      <c r="C45" s="52">
        <f t="shared" si="6"/>
        <v>33.102003546620928</v>
      </c>
      <c r="D45" s="159">
        <f t="shared" si="7"/>
        <v>1.9239854350000001</v>
      </c>
      <c r="E45">
        <v>5812293</v>
      </c>
      <c r="F45">
        <v>192398543.5</v>
      </c>
      <c r="I45" s="5">
        <f t="shared" si="4"/>
        <v>0.87184395000000003</v>
      </c>
      <c r="J45" s="15">
        <f t="shared" si="5"/>
        <v>17.204913792198706</v>
      </c>
      <c r="K45" s="43"/>
      <c r="L45" s="43"/>
      <c r="M45" s="43"/>
      <c r="N45" s="43"/>
      <c r="O45" s="43"/>
      <c r="AA45" s="23"/>
    </row>
    <row r="46" spans="1:27" x14ac:dyDescent="0.35">
      <c r="A46" s="11">
        <v>16</v>
      </c>
      <c r="B46" s="165">
        <f t="shared" si="3"/>
        <v>5.5196559999999999E-2</v>
      </c>
      <c r="C46" s="52">
        <f t="shared" si="6"/>
        <v>35.899918944224062</v>
      </c>
      <c r="D46" s="159">
        <f t="shared" si="7"/>
        <v>1.98155203</v>
      </c>
      <c r="E46">
        <v>5519656</v>
      </c>
      <c r="F46">
        <v>198155203</v>
      </c>
      <c r="I46" s="5">
        <f t="shared" si="4"/>
        <v>0.88314495999999998</v>
      </c>
      <c r="J46" s="15">
        <f t="shared" si="5"/>
        <v>18.117071063848908</v>
      </c>
      <c r="K46" s="43"/>
      <c r="L46" s="43"/>
      <c r="M46" s="43"/>
      <c r="N46" s="43"/>
      <c r="O46" s="43"/>
      <c r="Z46" s="23"/>
      <c r="AA46" s="23"/>
    </row>
    <row r="47" spans="1:27" x14ac:dyDescent="0.35">
      <c r="A47" s="11">
        <v>17</v>
      </c>
      <c r="B47" s="165">
        <f t="shared" si="3"/>
        <v>5.1361690000000002E-2</v>
      </c>
      <c r="C47" s="52">
        <f t="shared" si="6"/>
        <v>38.731248037204381</v>
      </c>
      <c r="D47" s="159">
        <f t="shared" si="7"/>
        <v>1.989302355</v>
      </c>
      <c r="E47">
        <v>5136169</v>
      </c>
      <c r="F47">
        <v>198930235.5</v>
      </c>
      <c r="H47" s="30"/>
      <c r="I47" s="5">
        <f t="shared" si="4"/>
        <v>0.87314873000000004</v>
      </c>
      <c r="J47" s="15">
        <f t="shared" si="5"/>
        <v>19.469764332131593</v>
      </c>
      <c r="K47" s="43"/>
      <c r="L47" s="43"/>
      <c r="M47" s="43"/>
      <c r="N47" s="43"/>
      <c r="O47" s="43"/>
    </row>
    <row r="48" spans="1:27" x14ac:dyDescent="0.35">
      <c r="A48" s="11">
        <v>18</v>
      </c>
      <c r="B48" s="165">
        <f t="shared" si="3"/>
        <v>4.6887129999999999E-2</v>
      </c>
      <c r="C48" s="52">
        <f t="shared" si="6"/>
        <v>41.584510504268444</v>
      </c>
      <c r="D48" s="159">
        <f t="shared" si="7"/>
        <v>1.9497783500000001</v>
      </c>
      <c r="E48">
        <v>4688713</v>
      </c>
      <c r="F48">
        <v>194977835</v>
      </c>
      <c r="I48" s="5">
        <f t="shared" si="4"/>
        <v>0.84396833999999998</v>
      </c>
      <c r="J48" s="15">
        <f t="shared" si="5"/>
        <v>21.327814263743591</v>
      </c>
      <c r="K48" s="43"/>
      <c r="L48" s="43"/>
      <c r="M48" s="43"/>
      <c r="N48" s="43"/>
      <c r="O48" s="43"/>
    </row>
    <row r="49" spans="1:11" x14ac:dyDescent="0.35">
      <c r="A49" s="11">
        <v>19</v>
      </c>
      <c r="B49" s="165">
        <f t="shared" si="3"/>
        <v>4.2047939999999999E-2</v>
      </c>
      <c r="C49" s="52">
        <f t="shared" si="6"/>
        <v>44.546692061489814</v>
      </c>
      <c r="D49" s="159">
        <f t="shared" si="7"/>
        <v>1.873096635</v>
      </c>
      <c r="E49">
        <v>4204794</v>
      </c>
      <c r="F49">
        <v>187309663.5</v>
      </c>
      <c r="I49" s="5">
        <f t="shared" si="4"/>
        <v>0.79891086</v>
      </c>
      <c r="J49" s="15">
        <f t="shared" si="5"/>
        <v>23.782377923864999</v>
      </c>
      <c r="K49" s="43"/>
    </row>
    <row r="50" spans="1:11" x14ac:dyDescent="0.35">
      <c r="A50" s="11">
        <v>20</v>
      </c>
      <c r="B50" s="165">
        <f t="shared" si="3"/>
        <v>3.7011389999999998E-2</v>
      </c>
      <c r="C50" s="52">
        <f t="shared" si="6"/>
        <v>47.550884470969613</v>
      </c>
      <c r="D50" s="159">
        <f t="shared" si="7"/>
        <v>1.75992433</v>
      </c>
      <c r="E50">
        <v>3701139</v>
      </c>
      <c r="F50">
        <v>175992433</v>
      </c>
      <c r="I50" s="5">
        <f t="shared" si="4"/>
        <v>0.74022779999999999</v>
      </c>
      <c r="J50" s="15">
        <f t="shared" si="5"/>
        <v>27.018709645868473</v>
      </c>
      <c r="K50" s="169"/>
    </row>
    <row r="51" spans="1:11" x14ac:dyDescent="0.35">
      <c r="A51" s="11">
        <v>21</v>
      </c>
      <c r="B51" s="165">
        <f t="shared" ref="B51:B70" si="8">E51/E$71</f>
        <v>3.1911120000000001E-2</v>
      </c>
      <c r="C51" s="52">
        <f t="shared" si="6"/>
        <v>50.642080252902439</v>
      </c>
      <c r="D51" s="159">
        <f>B51 * C51</f>
        <v>1.6160455</v>
      </c>
      <c r="E51">
        <v>3191112</v>
      </c>
      <c r="F51">
        <v>161604550</v>
      </c>
      <c r="I51" s="5">
        <f t="shared" ref="I51:I70" si="9">A51 * B51</f>
        <v>0.67013352000000004</v>
      </c>
      <c r="J51" s="15">
        <f t="shared" ref="J51:J70" si="10">E$71/E51</f>
        <v>31.337038624780327</v>
      </c>
      <c r="K51" s="169"/>
    </row>
    <row r="52" spans="1:11" x14ac:dyDescent="0.35">
      <c r="A52" s="11">
        <v>22</v>
      </c>
      <c r="B52" s="165">
        <f t="shared" si="8"/>
        <v>2.6990569999999998E-2</v>
      </c>
      <c r="C52" s="52">
        <f t="shared" ref="C52:C70" si="11" xml:space="preserve"> F52 /  (  B$24  * B52  )</f>
        <v>53.995102178279303</v>
      </c>
      <c r="D52" s="159">
        <f t="shared" ref="D52:D70" si="12">B52 * C52</f>
        <v>1.4573585849999999</v>
      </c>
      <c r="E52">
        <v>2699057</v>
      </c>
      <c r="F52">
        <v>145735858.5</v>
      </c>
      <c r="I52" s="5">
        <f t="shared" si="9"/>
        <v>0.59379253999999992</v>
      </c>
      <c r="J52" s="15">
        <f t="shared" si="10"/>
        <v>37.049977084589173</v>
      </c>
      <c r="K52" s="169"/>
    </row>
    <row r="53" spans="1:11" x14ac:dyDescent="0.35">
      <c r="A53" s="11">
        <v>23</v>
      </c>
      <c r="B53" s="165">
        <f t="shared" si="8"/>
        <v>2.229138E-2</v>
      </c>
      <c r="C53" s="52">
        <f t="shared" si="11"/>
        <v>57.50837857503663</v>
      </c>
      <c r="D53" s="159">
        <f t="shared" si="12"/>
        <v>1.2819411199999999</v>
      </c>
      <c r="E53">
        <v>2229138</v>
      </c>
      <c r="F53">
        <v>128194112</v>
      </c>
      <c r="I53" s="5">
        <f t="shared" si="9"/>
        <v>0.51270174000000002</v>
      </c>
      <c r="J53" s="15">
        <f t="shared" si="10"/>
        <v>44.860389980342177</v>
      </c>
      <c r="K53" s="169"/>
    </row>
    <row r="54" spans="1:11" x14ac:dyDescent="0.35">
      <c r="A54" s="11">
        <v>24</v>
      </c>
      <c r="B54" s="165">
        <f t="shared" si="8"/>
        <v>1.7940629999999999E-2</v>
      </c>
      <c r="C54" s="52">
        <f t="shared" si="11"/>
        <v>61.226795547313557</v>
      </c>
      <c r="D54" s="159">
        <f t="shared" si="12"/>
        <v>1.098447285</v>
      </c>
      <c r="E54">
        <v>1794063</v>
      </c>
      <c r="F54">
        <v>109844728.5</v>
      </c>
      <c r="I54" s="5">
        <f t="shared" si="9"/>
        <v>0.43057511999999998</v>
      </c>
      <c r="J54" s="15">
        <f t="shared" si="10"/>
        <v>55.739402685412941</v>
      </c>
      <c r="K54" s="169"/>
    </row>
    <row r="55" spans="1:11" x14ac:dyDescent="0.35">
      <c r="A55" s="11">
        <v>25</v>
      </c>
      <c r="B55" s="165">
        <f t="shared" si="8"/>
        <v>1.4055369999999999E-2</v>
      </c>
      <c r="C55" s="52">
        <f t="shared" si="11"/>
        <v>65.225913654354173</v>
      </c>
      <c r="D55" s="159">
        <f t="shared" si="12"/>
        <v>0.91677434999999996</v>
      </c>
      <c r="E55">
        <v>1405537</v>
      </c>
      <c r="F55">
        <v>91677435</v>
      </c>
      <c r="I55" s="5">
        <f t="shared" si="9"/>
        <v>0.35138425000000001</v>
      </c>
      <c r="J55" s="15">
        <f t="shared" si="10"/>
        <v>71.147184314607159</v>
      </c>
      <c r="K55" s="169"/>
    </row>
    <row r="56" spans="1:11" x14ac:dyDescent="0.35">
      <c r="A56" s="11">
        <v>26</v>
      </c>
      <c r="B56" s="165">
        <f t="shared" si="8"/>
        <v>1.0659119999999999E-2</v>
      </c>
      <c r="C56" s="52">
        <f t="shared" si="11"/>
        <v>69.566181354558353</v>
      </c>
      <c r="D56" s="159">
        <f t="shared" si="12"/>
        <v>0.741514275</v>
      </c>
      <c r="E56">
        <v>1065912</v>
      </c>
      <c r="F56">
        <v>74151427.5</v>
      </c>
      <c r="I56" s="5">
        <f t="shared" si="9"/>
        <v>0.27713711999999996</v>
      </c>
      <c r="J56" s="15">
        <f t="shared" si="10"/>
        <v>93.816375085372897</v>
      </c>
      <c r="K56" s="169"/>
    </row>
    <row r="57" spans="1:11" x14ac:dyDescent="0.35">
      <c r="A57" s="11">
        <v>27</v>
      </c>
      <c r="B57" s="165">
        <f t="shared" si="8"/>
        <v>7.7973599999999997E-3</v>
      </c>
      <c r="C57" s="52">
        <f t="shared" si="11"/>
        <v>74.089370633137364</v>
      </c>
      <c r="D57" s="159">
        <f t="shared" si="12"/>
        <v>0.5777014949999999</v>
      </c>
      <c r="E57">
        <v>779736</v>
      </c>
      <c r="F57">
        <v>57770149.5</v>
      </c>
      <c r="I57" s="5">
        <f t="shared" si="9"/>
        <v>0.21052872</v>
      </c>
      <c r="J57" s="15">
        <f t="shared" si="10"/>
        <v>128.24853540172572</v>
      </c>
      <c r="K57" s="169"/>
    </row>
    <row r="58" spans="1:11" x14ac:dyDescent="0.35">
      <c r="A58" s="11">
        <v>28</v>
      </c>
      <c r="B58" s="165">
        <f t="shared" si="8"/>
        <v>5.5152999999999999E-3</v>
      </c>
      <c r="C58" s="52">
        <f t="shared" si="11"/>
        <v>79.163548673689561</v>
      </c>
      <c r="D58" s="159">
        <f t="shared" si="12"/>
        <v>0.43661072000000001</v>
      </c>
      <c r="E58">
        <v>551530</v>
      </c>
      <c r="F58">
        <v>43661072</v>
      </c>
      <c r="I58" s="5">
        <f t="shared" si="9"/>
        <v>0.15442839999999999</v>
      </c>
      <c r="J58" s="15">
        <f t="shared" si="10"/>
        <v>181.31379979330228</v>
      </c>
      <c r="K58" s="169"/>
    </row>
    <row r="59" spans="1:11" x14ac:dyDescent="0.35">
      <c r="A59" s="11">
        <v>29</v>
      </c>
      <c r="B59" s="165">
        <f t="shared" si="8"/>
        <v>3.7173499999999999E-3</v>
      </c>
      <c r="C59" s="52">
        <f t="shared" si="11"/>
        <v>84.601631538596038</v>
      </c>
      <c r="D59" s="159">
        <f t="shared" si="12"/>
        <v>0.31449387499999998</v>
      </c>
      <c r="E59">
        <v>371735</v>
      </c>
      <c r="F59">
        <v>31449387.5</v>
      </c>
      <c r="I59" s="5">
        <f t="shared" si="9"/>
        <v>0.10780315</v>
      </c>
      <c r="J59" s="15">
        <f t="shared" si="10"/>
        <v>269.00883694029346</v>
      </c>
      <c r="K59" s="169"/>
    </row>
    <row r="60" spans="1:11" x14ac:dyDescent="0.35">
      <c r="A60" s="11">
        <v>30</v>
      </c>
      <c r="B60" s="165">
        <f t="shared" si="8"/>
        <v>2.40456E-3</v>
      </c>
      <c r="C60" s="52">
        <f t="shared" si="11"/>
        <v>90.768092707189666</v>
      </c>
      <c r="D60" s="159">
        <f t="shared" si="12"/>
        <v>0.21825732499999997</v>
      </c>
      <c r="E60">
        <v>240456</v>
      </c>
      <c r="F60">
        <v>21825732.5</v>
      </c>
      <c r="I60" s="5">
        <f t="shared" si="9"/>
        <v>7.2136800000000001E-2</v>
      </c>
      <c r="J60" s="15">
        <f t="shared" si="10"/>
        <v>415.87650131416973</v>
      </c>
      <c r="K60" s="169"/>
    </row>
    <row r="61" spans="1:11" x14ac:dyDescent="0.35">
      <c r="A61" s="11">
        <v>31</v>
      </c>
      <c r="B61" s="165">
        <f t="shared" si="8"/>
        <v>1.46762E-3</v>
      </c>
      <c r="C61" s="52">
        <f t="shared" si="11"/>
        <v>97.465978931876094</v>
      </c>
      <c r="D61" s="159">
        <f t="shared" si="12"/>
        <v>0.14304301999999999</v>
      </c>
      <c r="E61">
        <v>146762</v>
      </c>
      <c r="F61">
        <v>14304302</v>
      </c>
      <c r="I61" s="5">
        <f t="shared" si="9"/>
        <v>4.5496219999999997E-2</v>
      </c>
      <c r="J61" s="15">
        <f t="shared" si="10"/>
        <v>681.37528788105908</v>
      </c>
      <c r="K61" s="169"/>
    </row>
    <row r="62" spans="1:11" x14ac:dyDescent="0.35">
      <c r="A62" s="11">
        <v>32</v>
      </c>
      <c r="B62" s="165">
        <f t="shared" si="8"/>
        <v>8.3776E-4</v>
      </c>
      <c r="C62" s="52">
        <f t="shared" si="11"/>
        <v>105.0558214763178</v>
      </c>
      <c r="D62" s="159">
        <f t="shared" si="12"/>
        <v>8.8011565E-2</v>
      </c>
      <c r="E62">
        <v>83776</v>
      </c>
      <c r="F62">
        <v>8801156.5</v>
      </c>
      <c r="I62" s="5">
        <f t="shared" si="9"/>
        <v>2.680832E-2</v>
      </c>
      <c r="J62" s="15">
        <f t="shared" si="10"/>
        <v>1193.659281894576</v>
      </c>
      <c r="K62" s="169"/>
    </row>
    <row r="63" spans="1:11" x14ac:dyDescent="0.35">
      <c r="A63" s="11">
        <v>33</v>
      </c>
      <c r="B63" s="165">
        <f t="shared" si="8"/>
        <v>4.4673E-4</v>
      </c>
      <c r="C63" s="52">
        <f t="shared" si="11"/>
        <v>113.52552996216954</v>
      </c>
      <c r="D63" s="159">
        <f t="shared" si="12"/>
        <v>5.0715259999999998E-2</v>
      </c>
      <c r="E63">
        <v>44673</v>
      </c>
      <c r="F63">
        <v>5071526</v>
      </c>
      <c r="I63" s="5">
        <f t="shared" si="9"/>
        <v>1.4742089999999999E-2</v>
      </c>
      <c r="J63" s="15">
        <f t="shared" si="10"/>
        <v>2238.4885725158374</v>
      </c>
      <c r="K63" s="169"/>
    </row>
    <row r="64" spans="1:11" x14ac:dyDescent="0.35">
      <c r="A64" s="11">
        <v>34</v>
      </c>
      <c r="B64" s="165">
        <f t="shared" si="8"/>
        <v>2.2162000000000001E-4</v>
      </c>
      <c r="C64" s="52">
        <f t="shared" si="11"/>
        <v>124.5256068946846</v>
      </c>
      <c r="D64" s="159">
        <f t="shared" si="12"/>
        <v>2.7597365000000002E-2</v>
      </c>
      <c r="E64">
        <v>22162</v>
      </c>
      <c r="F64">
        <v>2759736.5</v>
      </c>
      <c r="I64" s="5">
        <f t="shared" si="9"/>
        <v>7.5350800000000004E-3</v>
      </c>
      <c r="J64" s="15">
        <f t="shared" si="10"/>
        <v>4512.2281382546698</v>
      </c>
      <c r="K64" s="169"/>
    </row>
    <row r="65" spans="1:11" x14ac:dyDescent="0.35">
      <c r="A65" s="11">
        <v>35</v>
      </c>
      <c r="B65" s="165">
        <f t="shared" si="8"/>
        <v>9.8480000000000006E-5</v>
      </c>
      <c r="C65" s="52">
        <f t="shared" si="11"/>
        <v>133.08692120227457</v>
      </c>
      <c r="D65" s="159">
        <f t="shared" si="12"/>
        <v>1.3106400000000001E-2</v>
      </c>
      <c r="E65">
        <v>9848</v>
      </c>
      <c r="F65">
        <v>1310640</v>
      </c>
      <c r="I65" s="5">
        <f t="shared" si="9"/>
        <v>3.4468000000000003E-3</v>
      </c>
      <c r="J65" s="15">
        <f t="shared" si="10"/>
        <v>10154.346060113729</v>
      </c>
      <c r="K65" s="169"/>
    </row>
    <row r="66" spans="1:11" x14ac:dyDescent="0.35">
      <c r="A66" s="11">
        <v>36</v>
      </c>
      <c r="B66" s="165">
        <f t="shared" si="8"/>
        <v>3.9379999999999999E-5</v>
      </c>
      <c r="C66" s="52">
        <f t="shared" si="11"/>
        <v>144.63991874047741</v>
      </c>
      <c r="D66" s="159">
        <f t="shared" si="12"/>
        <v>5.6959200000000001E-3</v>
      </c>
      <c r="E66">
        <v>3938</v>
      </c>
      <c r="F66">
        <v>569592</v>
      </c>
      <c r="I66" s="5">
        <f t="shared" si="9"/>
        <v>1.4176799999999999E-3</v>
      </c>
      <c r="J66" s="15">
        <f t="shared" si="10"/>
        <v>25393.600812595225</v>
      </c>
      <c r="K66" s="169"/>
    </row>
    <row r="67" spans="1:11" x14ac:dyDescent="0.35">
      <c r="A67" s="11">
        <v>37</v>
      </c>
      <c r="B67" s="165">
        <f t="shared" si="8"/>
        <v>1.2830000000000001E-5</v>
      </c>
      <c r="C67" s="52">
        <f t="shared" si="11"/>
        <v>163.76773187840999</v>
      </c>
      <c r="D67" s="159">
        <f t="shared" si="12"/>
        <v>2.1011400000000005E-3</v>
      </c>
      <c r="E67">
        <v>1283</v>
      </c>
      <c r="F67">
        <v>210114</v>
      </c>
      <c r="I67" s="5">
        <f t="shared" si="9"/>
        <v>4.7471000000000004E-4</v>
      </c>
      <c r="J67" s="15">
        <f t="shared" si="10"/>
        <v>77942.322681215897</v>
      </c>
      <c r="K67" s="169"/>
    </row>
    <row r="68" spans="1:11" x14ac:dyDescent="0.35">
      <c r="A68" s="11">
        <v>38</v>
      </c>
      <c r="B68" s="165">
        <f t="shared" si="8"/>
        <v>4.1899999999999997E-6</v>
      </c>
      <c r="C68" s="52">
        <f t="shared" si="11"/>
        <v>174.28997613365158</v>
      </c>
      <c r="D68" s="159">
        <f t="shared" si="12"/>
        <v>7.3027500000000006E-4</v>
      </c>
      <c r="E68">
        <v>419</v>
      </c>
      <c r="F68">
        <v>73027.5</v>
      </c>
      <c r="I68" s="5">
        <f t="shared" si="9"/>
        <v>1.5921999999999998E-4</v>
      </c>
      <c r="J68" s="15">
        <f t="shared" si="10"/>
        <v>238663.48448687349</v>
      </c>
      <c r="K68" s="169"/>
    </row>
    <row r="69" spans="1:11" x14ac:dyDescent="0.35">
      <c r="A69" s="11">
        <v>39</v>
      </c>
      <c r="B69" s="165">
        <f t="shared" si="8"/>
        <v>7.6000000000000003E-7</v>
      </c>
      <c r="C69" s="52">
        <f t="shared" si="11"/>
        <v>204.45394736842104</v>
      </c>
      <c r="D69" s="159">
        <f t="shared" si="12"/>
        <v>1.5538499999999999E-4</v>
      </c>
      <c r="E69">
        <v>76</v>
      </c>
      <c r="F69">
        <v>15538.5</v>
      </c>
      <c r="I69" s="5">
        <f t="shared" si="9"/>
        <v>2.9640000000000001E-5</v>
      </c>
      <c r="J69" s="15">
        <f t="shared" si="10"/>
        <v>1315789.4736842106</v>
      </c>
      <c r="K69" s="169"/>
    </row>
    <row r="70" spans="1:11" x14ac:dyDescent="0.35">
      <c r="A70" s="11">
        <v>40</v>
      </c>
      <c r="B70" s="165">
        <f t="shared" si="8"/>
        <v>8.9999999999999999E-8</v>
      </c>
      <c r="C70" s="52">
        <f t="shared" si="11"/>
        <v>154.66666666666666</v>
      </c>
      <c r="D70" s="159">
        <f t="shared" si="12"/>
        <v>1.3919999999999999E-5</v>
      </c>
      <c r="E70">
        <v>9</v>
      </c>
      <c r="F70">
        <v>1392</v>
      </c>
      <c r="I70" s="5">
        <f t="shared" si="9"/>
        <v>3.5999999999999998E-6</v>
      </c>
      <c r="J70" s="15">
        <f t="shared" si="10"/>
        <v>11111111.111111112</v>
      </c>
      <c r="K70" s="169"/>
    </row>
    <row r="71" spans="1:11" ht="18.5" x14ac:dyDescent="0.45">
      <c r="B71" s="161">
        <f>SUM(B30:B70)</f>
        <v>0.99999999999999989</v>
      </c>
      <c r="C71" s="162"/>
      <c r="D71" s="168">
        <f>SUM(D30:D70)</f>
        <v>31.00371105</v>
      </c>
      <c r="E71" s="15">
        <f>SUM(E30:E70)</f>
        <v>100000000</v>
      </c>
      <c r="I71" s="164">
        <f>SUM(I30:I70)</f>
        <v>13.632570300000005</v>
      </c>
      <c r="J71" s="43"/>
    </row>
    <row r="72" spans="1:11" x14ac:dyDescent="0.35">
      <c r="C72" s="23"/>
    </row>
    <row r="73" spans="1:11" x14ac:dyDescent="0.35">
      <c r="C73" s="23"/>
    </row>
    <row r="74" spans="1:11" x14ac:dyDescent="0.35">
      <c r="A74" s="118"/>
      <c r="B74" s="39"/>
      <c r="C74" s="23"/>
    </row>
    <row r="75" spans="1:11" x14ac:dyDescent="0.35">
      <c r="A75" s="118"/>
      <c r="B75" s="39"/>
      <c r="C75" s="23"/>
    </row>
    <row r="79" spans="1:11" x14ac:dyDescent="0.35">
      <c r="J79" s="136"/>
    </row>
    <row r="80" spans="1:11" x14ac:dyDescent="0.35">
      <c r="J80" s="136"/>
    </row>
    <row r="81" spans="10:10" x14ac:dyDescent="0.35">
      <c r="J81" s="136"/>
    </row>
    <row r="82" spans="10:10" x14ac:dyDescent="0.35">
      <c r="J82" s="136"/>
    </row>
    <row r="83" spans="10:10" x14ac:dyDescent="0.35">
      <c r="J83" s="136"/>
    </row>
    <row r="84" spans="10:10" x14ac:dyDescent="0.35">
      <c r="J84" s="136"/>
    </row>
    <row r="85" spans="10:10" x14ac:dyDescent="0.35">
      <c r="J85" s="136"/>
    </row>
    <row r="86" spans="10:10" x14ac:dyDescent="0.35">
      <c r="J86" s="136"/>
    </row>
    <row r="87" spans="10:10" x14ac:dyDescent="0.35">
      <c r="J87" s="136"/>
    </row>
    <row r="88" spans="10:10" x14ac:dyDescent="0.35">
      <c r="J88" s="136"/>
    </row>
    <row r="89" spans="10:10" x14ac:dyDescent="0.35">
      <c r="J89" s="136"/>
    </row>
    <row r="90" spans="10:10" x14ac:dyDescent="0.35">
      <c r="J90" s="136"/>
    </row>
    <row r="91" spans="10:10" x14ac:dyDescent="0.35">
      <c r="J91" s="136"/>
    </row>
    <row r="92" spans="10:10" x14ac:dyDescent="0.35">
      <c r="J92" s="136"/>
    </row>
    <row r="93" spans="10:10" x14ac:dyDescent="0.35">
      <c r="J93" s="136"/>
    </row>
    <row r="94" spans="10:10" x14ac:dyDescent="0.35">
      <c r="J94" s="136"/>
    </row>
    <row r="95" spans="10:10" x14ac:dyDescent="0.35">
      <c r="J95" s="136"/>
    </row>
    <row r="96" spans="10:10" x14ac:dyDescent="0.35">
      <c r="J96" s="136"/>
    </row>
    <row r="97" spans="10:10" x14ac:dyDescent="0.35">
      <c r="J97" s="136"/>
    </row>
    <row r="98" spans="10:10" x14ac:dyDescent="0.35">
      <c r="J98" s="136"/>
    </row>
    <row r="99" spans="10:10" x14ac:dyDescent="0.35">
      <c r="J99" s="136"/>
    </row>
    <row r="100" spans="10:10" x14ac:dyDescent="0.35">
      <c r="J100" s="136"/>
    </row>
    <row r="101" spans="10:10" x14ac:dyDescent="0.35">
      <c r="J101" s="136"/>
    </row>
    <row r="102" spans="10:10" x14ac:dyDescent="0.35">
      <c r="J102" s="136"/>
    </row>
    <row r="103" spans="10:10" x14ac:dyDescent="0.35">
      <c r="J103" s="136"/>
    </row>
    <row r="104" spans="10:10" x14ac:dyDescent="0.35">
      <c r="J104" s="136"/>
    </row>
    <row r="105" spans="10:10" x14ac:dyDescent="0.35">
      <c r="J105" s="136"/>
    </row>
    <row r="106" spans="10:10" x14ac:dyDescent="0.35">
      <c r="J106" s="136"/>
    </row>
    <row r="107" spans="10:10" x14ac:dyDescent="0.35">
      <c r="J107" s="136"/>
    </row>
    <row r="108" spans="10:10" x14ac:dyDescent="0.35">
      <c r="J108" s="136"/>
    </row>
    <row r="109" spans="10:10" x14ac:dyDescent="0.35">
      <c r="J109" s="136"/>
    </row>
    <row r="110" spans="10:10" x14ac:dyDescent="0.35">
      <c r="J110" s="136"/>
    </row>
    <row r="111" spans="10:10" x14ac:dyDescent="0.35">
      <c r="J111" s="136"/>
    </row>
    <row r="112" spans="10:10" x14ac:dyDescent="0.35">
      <c r="J112" s="136"/>
    </row>
    <row r="113" spans="10:10" x14ac:dyDescent="0.35">
      <c r="J113" s="136"/>
    </row>
    <row r="114" spans="10:10" x14ac:dyDescent="0.35">
      <c r="J114" s="136"/>
    </row>
    <row r="115" spans="10:10" x14ac:dyDescent="0.35">
      <c r="J115" s="136"/>
    </row>
    <row r="116" spans="10:10" x14ac:dyDescent="0.35">
      <c r="J116" s="136"/>
    </row>
    <row r="117" spans="10:10" x14ac:dyDescent="0.35">
      <c r="J117" s="136"/>
    </row>
    <row r="118" spans="10:10" x14ac:dyDescent="0.35">
      <c r="J118" s="136"/>
    </row>
    <row r="119" spans="10:10" x14ac:dyDescent="0.35">
      <c r="J119" s="136"/>
    </row>
    <row r="120" spans="10:10" x14ac:dyDescent="0.35">
      <c r="J120" s="136"/>
    </row>
    <row r="121" spans="10:10" x14ac:dyDescent="0.35">
      <c r="J121" s="136"/>
    </row>
    <row r="122" spans="10:10" x14ac:dyDescent="0.35">
      <c r="J122" s="136"/>
    </row>
    <row r="123" spans="10:10" x14ac:dyDescent="0.35">
      <c r="J123" s="136"/>
    </row>
    <row r="124" spans="10:10" x14ac:dyDescent="0.35">
      <c r="J124" s="136"/>
    </row>
    <row r="125" spans="10:10" x14ac:dyDescent="0.35">
      <c r="J125" s="136"/>
    </row>
    <row r="126" spans="10:10" x14ac:dyDescent="0.35">
      <c r="J126" s="136"/>
    </row>
    <row r="127" spans="10:10" x14ac:dyDescent="0.35">
      <c r="J127" s="136"/>
    </row>
    <row r="128" spans="10:10" x14ac:dyDescent="0.35">
      <c r="J128" s="136"/>
    </row>
    <row r="129" spans="10:21" x14ac:dyDescent="0.35">
      <c r="J129" s="136"/>
    </row>
    <row r="130" spans="10:21" x14ac:dyDescent="0.35">
      <c r="J130" s="136"/>
    </row>
    <row r="131" spans="10:21" x14ac:dyDescent="0.35">
      <c r="J131" s="136"/>
    </row>
    <row r="132" spans="10:21" x14ac:dyDescent="0.35">
      <c r="J132" s="136"/>
    </row>
    <row r="133" spans="10:21" x14ac:dyDescent="0.35">
      <c r="J133" s="136"/>
    </row>
    <row r="134" spans="10:21" x14ac:dyDescent="0.35">
      <c r="J134" s="136"/>
      <c r="U134" s="136"/>
    </row>
    <row r="135" spans="10:21" x14ac:dyDescent="0.35">
      <c r="J135" s="136"/>
    </row>
    <row r="136" spans="10:21" x14ac:dyDescent="0.35">
      <c r="J136" s="136"/>
    </row>
    <row r="137" spans="10:21" x14ac:dyDescent="0.35">
      <c r="J137" s="136"/>
    </row>
    <row r="138" spans="10:21" x14ac:dyDescent="0.35">
      <c r="J138" s="136"/>
    </row>
    <row r="139" spans="10:21" x14ac:dyDescent="0.35">
      <c r="J139" s="136"/>
    </row>
    <row r="140" spans="10:21" x14ac:dyDescent="0.35">
      <c r="J140" s="136"/>
    </row>
    <row r="141" spans="10:21" x14ac:dyDescent="0.35">
      <c r="J141" s="136"/>
    </row>
    <row r="142" spans="10:21" x14ac:dyDescent="0.35">
      <c r="J142" s="136"/>
    </row>
    <row r="143" spans="10:21" x14ac:dyDescent="0.35">
      <c r="J143" s="136"/>
    </row>
    <row r="144" spans="10:21" x14ac:dyDescent="0.35">
      <c r="J144" s="136"/>
    </row>
    <row r="145" spans="10:10" x14ac:dyDescent="0.35">
      <c r="J145" s="136"/>
    </row>
    <row r="146" spans="10:10" x14ac:dyDescent="0.35">
      <c r="J146" s="136"/>
    </row>
    <row r="147" spans="10:10" x14ac:dyDescent="0.35">
      <c r="J147" s="136"/>
    </row>
    <row r="148" spans="10:10" x14ac:dyDescent="0.35">
      <c r="J148" s="136"/>
    </row>
    <row r="149" spans="10:10" x14ac:dyDescent="0.35">
      <c r="J149" s="136"/>
    </row>
    <row r="150" spans="10:10" x14ac:dyDescent="0.35">
      <c r="J150" s="136"/>
    </row>
    <row r="151" spans="10:10" x14ac:dyDescent="0.35">
      <c r="J151" s="136"/>
    </row>
    <row r="152" spans="10:10" x14ac:dyDescent="0.35">
      <c r="J152" s="136"/>
    </row>
    <row r="153" spans="10:10" x14ac:dyDescent="0.35">
      <c r="J153" s="136"/>
    </row>
    <row r="154" spans="10:10" x14ac:dyDescent="0.35">
      <c r="J154" s="136"/>
    </row>
    <row r="155" spans="10:10" x14ac:dyDescent="0.35">
      <c r="J155" s="136"/>
    </row>
    <row r="156" spans="10:10" x14ac:dyDescent="0.35">
      <c r="J156" s="136"/>
    </row>
    <row r="157" spans="10:10" x14ac:dyDescent="0.35">
      <c r="J157" s="136"/>
    </row>
    <row r="158" spans="10:10" x14ac:dyDescent="0.35">
      <c r="J158" s="136"/>
    </row>
    <row r="159" spans="10:10" x14ac:dyDescent="0.35">
      <c r="J159" s="136"/>
    </row>
    <row r="160" spans="10:10" x14ac:dyDescent="0.35">
      <c r="J160" s="136"/>
    </row>
    <row r="161" spans="10:10" x14ac:dyDescent="0.35">
      <c r="J161" s="136"/>
    </row>
    <row r="162" spans="10:10" x14ac:dyDescent="0.35">
      <c r="J162" s="136"/>
    </row>
    <row r="163" spans="10:10" x14ac:dyDescent="0.35">
      <c r="J163" s="136"/>
    </row>
    <row r="164" spans="10:10" x14ac:dyDescent="0.35">
      <c r="J164" s="136"/>
    </row>
    <row r="165" spans="10:10" x14ac:dyDescent="0.35">
      <c r="J165" s="136"/>
    </row>
    <row r="166" spans="10:10" x14ac:dyDescent="0.35">
      <c r="J166" s="136"/>
    </row>
    <row r="167" spans="10:10" x14ac:dyDescent="0.35">
      <c r="J167" s="136"/>
    </row>
    <row r="168" spans="10:10" x14ac:dyDescent="0.35">
      <c r="J168" s="136"/>
    </row>
    <row r="169" spans="10:10" x14ac:dyDescent="0.35">
      <c r="J169" s="136"/>
    </row>
    <row r="170" spans="10:10" x14ac:dyDescent="0.35">
      <c r="J170" s="136"/>
    </row>
    <row r="171" spans="10:10" x14ac:dyDescent="0.35">
      <c r="J171" s="136"/>
    </row>
    <row r="172" spans="10:10" x14ac:dyDescent="0.35">
      <c r="J172" s="136"/>
    </row>
    <row r="173" spans="10:10" x14ac:dyDescent="0.35">
      <c r="J173" s="136"/>
    </row>
    <row r="174" spans="10:10" x14ac:dyDescent="0.35">
      <c r="J174" s="136"/>
    </row>
    <row r="175" spans="10:10" x14ac:dyDescent="0.35">
      <c r="J175" s="136"/>
    </row>
    <row r="176" spans="10:10" x14ac:dyDescent="0.35">
      <c r="J176" s="136"/>
    </row>
    <row r="177" spans="10:10" x14ac:dyDescent="0.35">
      <c r="J177" s="136"/>
    </row>
    <row r="178" spans="10:10" x14ac:dyDescent="0.35">
      <c r="J178" s="136"/>
    </row>
    <row r="179" spans="10:10" x14ac:dyDescent="0.35">
      <c r="J179" s="136"/>
    </row>
    <row r="180" spans="10:10" x14ac:dyDescent="0.35">
      <c r="J180" s="136"/>
    </row>
    <row r="181" spans="10:10" x14ac:dyDescent="0.35">
      <c r="J181" s="136"/>
    </row>
    <row r="182" spans="10:10" x14ac:dyDescent="0.35">
      <c r="J182" s="136"/>
    </row>
    <row r="183" spans="10:10" x14ac:dyDescent="0.35">
      <c r="J183" s="136"/>
    </row>
    <row r="184" spans="10:10" x14ac:dyDescent="0.35">
      <c r="J184" s="136"/>
    </row>
    <row r="185" spans="10:10" x14ac:dyDescent="0.35">
      <c r="J185" s="136"/>
    </row>
    <row r="186" spans="10:10" x14ac:dyDescent="0.35">
      <c r="J186" s="136"/>
    </row>
    <row r="187" spans="10:10" x14ac:dyDescent="0.35">
      <c r="J187" s="136"/>
    </row>
    <row r="188" spans="10:10" x14ac:dyDescent="0.35">
      <c r="J188" s="136"/>
    </row>
    <row r="189" spans="10:10" x14ac:dyDescent="0.35">
      <c r="J189" s="136"/>
    </row>
    <row r="190" spans="10:10" x14ac:dyDescent="0.35">
      <c r="J190" s="136"/>
    </row>
    <row r="191" spans="10:10" x14ac:dyDescent="0.35">
      <c r="J191" s="136"/>
    </row>
    <row r="192" spans="10:10" x14ac:dyDescent="0.35">
      <c r="J192" s="136"/>
    </row>
    <row r="193" spans="10:10" x14ac:dyDescent="0.35">
      <c r="J193" s="136"/>
    </row>
    <row r="194" spans="10:10" x14ac:dyDescent="0.35">
      <c r="J194" s="136"/>
    </row>
    <row r="195" spans="10:10" x14ac:dyDescent="0.35">
      <c r="J195" s="136"/>
    </row>
    <row r="196" spans="10:10" x14ac:dyDescent="0.35">
      <c r="J196" s="136"/>
    </row>
    <row r="197" spans="10:10" x14ac:dyDescent="0.35">
      <c r="J197" s="136"/>
    </row>
    <row r="198" spans="10:10" x14ac:dyDescent="0.35">
      <c r="J198" s="136"/>
    </row>
    <row r="199" spans="10:10" x14ac:dyDescent="0.35">
      <c r="J199" s="136"/>
    </row>
    <row r="200" spans="10:10" x14ac:dyDescent="0.35">
      <c r="J200" s="136"/>
    </row>
    <row r="201" spans="10:10" x14ac:dyDescent="0.35">
      <c r="J201" s="136"/>
    </row>
    <row r="202" spans="10:10" x14ac:dyDescent="0.35">
      <c r="J202" s="136"/>
    </row>
    <row r="203" spans="10:10" x14ac:dyDescent="0.35">
      <c r="J203" s="136"/>
    </row>
    <row r="204" spans="10:10" x14ac:dyDescent="0.35">
      <c r="J204" s="136"/>
    </row>
    <row r="205" spans="10:10" x14ac:dyDescent="0.35">
      <c r="J205" s="136"/>
    </row>
    <row r="206" spans="10:10" x14ac:dyDescent="0.35">
      <c r="J206" s="136"/>
    </row>
    <row r="207" spans="10:10" x14ac:dyDescent="0.35">
      <c r="J207" s="136"/>
    </row>
    <row r="208" spans="10:10" x14ac:dyDescent="0.35">
      <c r="J208" s="136"/>
    </row>
    <row r="209" spans="10:10" x14ac:dyDescent="0.35">
      <c r="J209" s="136"/>
    </row>
    <row r="210" spans="10:10" x14ac:dyDescent="0.35">
      <c r="J210" s="136"/>
    </row>
    <row r="211" spans="10:10" x14ac:dyDescent="0.35">
      <c r="J211" s="136"/>
    </row>
    <row r="212" spans="10:10" x14ac:dyDescent="0.35">
      <c r="J212" s="136"/>
    </row>
    <row r="213" spans="10:10" x14ac:dyDescent="0.35">
      <c r="J213" s="136"/>
    </row>
    <row r="214" spans="10:10" x14ac:dyDescent="0.35">
      <c r="J214" s="136"/>
    </row>
    <row r="215" spans="10:10" x14ac:dyDescent="0.35">
      <c r="J215" s="136"/>
    </row>
    <row r="216" spans="10:10" x14ac:dyDescent="0.35">
      <c r="J216" s="136"/>
    </row>
    <row r="217" spans="10:10" x14ac:dyDescent="0.35">
      <c r="J217" s="136"/>
    </row>
    <row r="218" spans="10:10" x14ac:dyDescent="0.35">
      <c r="J218" s="136"/>
    </row>
    <row r="219" spans="10:10" x14ac:dyDescent="0.35">
      <c r="J219" s="136"/>
    </row>
    <row r="220" spans="10:10" x14ac:dyDescent="0.35">
      <c r="J220" s="136"/>
    </row>
    <row r="221" spans="10:10" x14ac:dyDescent="0.35">
      <c r="J221" s="136"/>
    </row>
    <row r="222" spans="10:10" x14ac:dyDescent="0.35">
      <c r="J222" s="136"/>
    </row>
    <row r="223" spans="10:10" x14ac:dyDescent="0.35">
      <c r="J223" s="136"/>
    </row>
    <row r="224" spans="10:10" x14ac:dyDescent="0.35">
      <c r="J224" s="136"/>
    </row>
    <row r="225" spans="10:10" x14ac:dyDescent="0.35">
      <c r="J225" s="136"/>
    </row>
    <row r="226" spans="10:10" x14ac:dyDescent="0.35">
      <c r="J226" s="136"/>
    </row>
    <row r="227" spans="10:10" x14ac:dyDescent="0.35">
      <c r="J227" s="136"/>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ECF4-9128-44C8-B239-6376FFF06529}">
  <sheetPr codeName="Sheet23"/>
  <dimension ref="A1:AA247"/>
  <sheetViews>
    <sheetView workbookViewId="0">
      <selection activeCell="O36" sqref="O36"/>
    </sheetView>
  </sheetViews>
  <sheetFormatPr defaultRowHeight="14.5" x14ac:dyDescent="0.35"/>
  <cols>
    <col min="1" max="1" width="26.26953125" customWidth="1"/>
    <col min="2" max="2" width="18" customWidth="1"/>
    <col min="3" max="3" width="19.81640625" customWidth="1"/>
    <col min="4" max="4" width="22" customWidth="1"/>
    <col min="5" max="5" width="17.54296875" customWidth="1"/>
    <col min="6" max="6" width="19.1796875" customWidth="1"/>
    <col min="7" max="7" width="15.54296875" customWidth="1"/>
    <col min="8" max="8" width="13.7265625" customWidth="1"/>
    <col min="9" max="9" width="22.1796875" customWidth="1"/>
    <col min="10" max="10" width="19.26953125" customWidth="1"/>
    <col min="11" max="11" width="13.81640625" customWidth="1"/>
    <col min="12" max="12" width="24.81640625" customWidth="1"/>
    <col min="13" max="13" width="17.1796875" customWidth="1"/>
    <col min="14" max="14" width="21.1796875" customWidth="1"/>
    <col min="15" max="15" width="18.7265625" customWidth="1"/>
    <col min="16" max="16" width="17.81640625" customWidth="1"/>
    <col min="17" max="17" width="15.453125" customWidth="1"/>
    <col min="18" max="18" width="11.26953125" customWidth="1"/>
    <col min="19" max="19" width="12.54296875" customWidth="1"/>
    <col min="21" max="21" width="12.1796875" bestFit="1" customWidth="1"/>
    <col min="22" max="22" width="10.1796875" bestFit="1" customWidth="1"/>
  </cols>
  <sheetData>
    <row r="1" spans="1:24" ht="18.5" x14ac:dyDescent="0.45">
      <c r="A1" s="1" t="s">
        <v>76</v>
      </c>
      <c r="B1" s="1"/>
      <c r="D1" s="117"/>
      <c r="G1" s="25"/>
      <c r="J1" s="166"/>
      <c r="N1" s="26">
        <f>75 * 96.2%</f>
        <v>72.150000000000006</v>
      </c>
    </row>
    <row r="2" spans="1:24" ht="15.5" x14ac:dyDescent="0.35">
      <c r="A2" s="1" t="s">
        <v>92</v>
      </c>
      <c r="B2" s="58">
        <v>20</v>
      </c>
      <c r="D2" s="280" t="s">
        <v>239</v>
      </c>
      <c r="E2" s="170" t="s">
        <v>240</v>
      </c>
      <c r="G2" s="1" t="s">
        <v>89</v>
      </c>
    </row>
    <row r="3" spans="1:24" x14ac:dyDescent="0.35">
      <c r="A3" s="1" t="s">
        <v>86</v>
      </c>
      <c r="B3" s="83">
        <v>3</v>
      </c>
      <c r="C3" s="5" t="s">
        <v>244</v>
      </c>
      <c r="D3" s="148">
        <v>0.02</v>
      </c>
      <c r="E3" s="277">
        <v>0.35183703999999999</v>
      </c>
      <c r="G3" t="s">
        <v>74</v>
      </c>
      <c r="H3" t="s">
        <v>12</v>
      </c>
      <c r="I3" t="s">
        <v>9</v>
      </c>
    </row>
    <row r="4" spans="1:24" ht="18.5" x14ac:dyDescent="0.45">
      <c r="A4" t="s">
        <v>87</v>
      </c>
      <c r="B4" s="171">
        <v>3.9E-2</v>
      </c>
      <c r="C4" s="5" t="s">
        <v>243</v>
      </c>
      <c r="D4" s="148">
        <v>2.7E-2</v>
      </c>
      <c r="E4" s="281">
        <v>0.57423950000000001</v>
      </c>
      <c r="G4" s="249">
        <f>BaseB!N25</f>
        <v>0.5</v>
      </c>
      <c r="H4" s="90">
        <f>Bonus_Game1!H4</f>
        <v>0.29659999999999997</v>
      </c>
      <c r="I4" s="158">
        <f>G4 * H4</f>
        <v>0.14829999999999999</v>
      </c>
      <c r="L4" s="6"/>
    </row>
    <row r="5" spans="1:24" ht="18.5" x14ac:dyDescent="0.45">
      <c r="B5" s="171"/>
      <c r="E5" s="23"/>
      <c r="G5" s="249">
        <f>BaseB!N26</f>
        <v>1</v>
      </c>
      <c r="H5" s="90">
        <f>Bonus_Game1!H5</f>
        <v>0.3</v>
      </c>
      <c r="I5" s="158">
        <f t="shared" ref="I5:I24" si="0">G5 * H5</f>
        <v>0.3</v>
      </c>
      <c r="L5" s="6"/>
      <c r="R5" s="132"/>
      <c r="S5" s="132"/>
    </row>
    <row r="6" spans="1:24" x14ac:dyDescent="0.35">
      <c r="G6" s="249">
        <f>BaseB!N27</f>
        <v>1.5</v>
      </c>
      <c r="H6" s="90">
        <f>Bonus_Game1!H6</f>
        <v>0.13</v>
      </c>
      <c r="I6" s="158">
        <f t="shared" si="0"/>
        <v>0.19500000000000001</v>
      </c>
      <c r="L6" s="6"/>
      <c r="R6" s="132"/>
      <c r="S6" s="132"/>
    </row>
    <row r="7" spans="1:24" x14ac:dyDescent="0.35">
      <c r="A7" s="50" t="s">
        <v>81</v>
      </c>
      <c r="G7" s="249">
        <f>BaseB!N28</f>
        <v>2</v>
      </c>
      <c r="H7" s="90">
        <f>Bonus_Game1!H7</f>
        <v>0.09</v>
      </c>
      <c r="I7" s="158">
        <f t="shared" si="0"/>
        <v>0.18</v>
      </c>
      <c r="L7" s="6"/>
      <c r="S7" s="132"/>
      <c r="U7" s="7"/>
    </row>
    <row r="8" spans="1:24" x14ac:dyDescent="0.35">
      <c r="A8" s="134" t="s">
        <v>1</v>
      </c>
      <c r="B8" s="135" t="s">
        <v>2</v>
      </c>
      <c r="C8" s="134" t="s">
        <v>3</v>
      </c>
      <c r="D8" s="135" t="s">
        <v>4</v>
      </c>
      <c r="E8" s="134" t="s">
        <v>5</v>
      </c>
      <c r="G8" s="249">
        <f>BaseB!N29</f>
        <v>2.5</v>
      </c>
      <c r="H8" s="90">
        <f>Bonus_Game1!H8</f>
        <v>0.05</v>
      </c>
      <c r="I8" s="158">
        <f t="shared" si="0"/>
        <v>0.125</v>
      </c>
      <c r="L8" s="6"/>
      <c r="S8" s="132"/>
      <c r="U8" s="7"/>
    </row>
    <row r="9" spans="1:24" x14ac:dyDescent="0.35">
      <c r="A9" s="156">
        <f>$B$4</f>
        <v>3.9E-2</v>
      </c>
      <c r="B9" s="156">
        <f t="shared" ref="B9:E12" si="1">$B$4</f>
        <v>3.9E-2</v>
      </c>
      <c r="C9" s="156">
        <f t="shared" si="1"/>
        <v>3.9E-2</v>
      </c>
      <c r="D9" s="156">
        <f t="shared" si="1"/>
        <v>3.9E-2</v>
      </c>
      <c r="E9" s="156">
        <f t="shared" si="1"/>
        <v>3.9E-2</v>
      </c>
      <c r="G9" s="249">
        <f>BaseB!N30</f>
        <v>3</v>
      </c>
      <c r="H9" s="90">
        <f>Bonus_Game1!H9</f>
        <v>0.03</v>
      </c>
      <c r="I9" s="158">
        <f t="shared" si="0"/>
        <v>0.09</v>
      </c>
      <c r="L9" s="6"/>
      <c r="S9" s="132"/>
      <c r="U9" s="7"/>
    </row>
    <row r="10" spans="1:24" x14ac:dyDescent="0.35">
      <c r="A10" s="156">
        <f t="shared" ref="A10:A12" si="2">$B$4</f>
        <v>3.9E-2</v>
      </c>
      <c r="B10" s="156">
        <f t="shared" si="1"/>
        <v>3.9E-2</v>
      </c>
      <c r="C10" s="156">
        <f t="shared" si="1"/>
        <v>3.9E-2</v>
      </c>
      <c r="D10" s="156">
        <f t="shared" si="1"/>
        <v>3.9E-2</v>
      </c>
      <c r="E10" s="156">
        <f t="shared" si="1"/>
        <v>3.9E-2</v>
      </c>
      <c r="G10" s="249">
        <f>BaseB!N31</f>
        <v>3.5</v>
      </c>
      <c r="H10" s="90">
        <f>Bonus_Game1!H10</f>
        <v>0.02</v>
      </c>
      <c r="I10" s="158">
        <f t="shared" si="0"/>
        <v>7.0000000000000007E-2</v>
      </c>
      <c r="L10" s="6"/>
      <c r="S10" s="132"/>
      <c r="U10" s="7"/>
      <c r="X10" s="18"/>
    </row>
    <row r="11" spans="1:24" x14ac:dyDescent="0.35">
      <c r="A11" s="156">
        <f t="shared" si="2"/>
        <v>3.9E-2</v>
      </c>
      <c r="B11" s="156">
        <f t="shared" si="1"/>
        <v>3.9E-2</v>
      </c>
      <c r="C11" s="156">
        <f t="shared" si="1"/>
        <v>3.9E-2</v>
      </c>
      <c r="D11" s="156">
        <f t="shared" si="1"/>
        <v>3.9E-2</v>
      </c>
      <c r="E11" s="156">
        <f t="shared" si="1"/>
        <v>3.9E-2</v>
      </c>
      <c r="G11" s="249">
        <f>BaseB!N32</f>
        <v>4</v>
      </c>
      <c r="H11" s="90">
        <f>Bonus_Game1!H11</f>
        <v>1.4999999999999999E-2</v>
      </c>
      <c r="I11" s="158">
        <f t="shared" si="0"/>
        <v>0.06</v>
      </c>
      <c r="L11" s="6"/>
      <c r="S11" s="132"/>
      <c r="U11" s="40"/>
    </row>
    <row r="12" spans="1:24" x14ac:dyDescent="0.35">
      <c r="A12" s="156">
        <f t="shared" si="2"/>
        <v>3.9E-2</v>
      </c>
      <c r="B12" s="156">
        <f t="shared" si="1"/>
        <v>3.9E-2</v>
      </c>
      <c r="C12" s="156">
        <f t="shared" si="1"/>
        <v>3.9E-2</v>
      </c>
      <c r="D12" s="156">
        <f t="shared" si="1"/>
        <v>3.9E-2</v>
      </c>
      <c r="E12" s="156">
        <f t="shared" si="1"/>
        <v>3.9E-2</v>
      </c>
      <c r="G12" s="249">
        <f>BaseB!N33</f>
        <v>5</v>
      </c>
      <c r="H12" s="90">
        <f>Bonus_Game1!H12</f>
        <v>1.4E-2</v>
      </c>
      <c r="I12" s="158">
        <f t="shared" si="0"/>
        <v>7.0000000000000007E-2</v>
      </c>
      <c r="L12" s="6"/>
      <c r="S12" s="132"/>
    </row>
    <row r="13" spans="1:24" x14ac:dyDescent="0.35">
      <c r="A13" s="1" t="s">
        <v>88</v>
      </c>
      <c r="B13" s="155">
        <f>1-B4</f>
        <v>0.96099999999999997</v>
      </c>
      <c r="D13" s="50"/>
      <c r="E13" s="50"/>
      <c r="F13" s="50"/>
      <c r="G13" s="249">
        <f>BaseB!N34</f>
        <v>6</v>
      </c>
      <c r="H13" s="90">
        <f>Bonus_Game1!H13</f>
        <v>1.2E-2</v>
      </c>
      <c r="I13" s="158">
        <f t="shared" si="0"/>
        <v>7.2000000000000008E-2</v>
      </c>
      <c r="L13" s="6"/>
      <c r="R13" s="50"/>
      <c r="S13" s="50"/>
      <c r="T13" s="50"/>
      <c r="W13" s="1"/>
    </row>
    <row r="14" spans="1:24" x14ac:dyDescent="0.35">
      <c r="G14" s="249">
        <f>BaseB!N35</f>
        <v>7</v>
      </c>
      <c r="H14" s="90">
        <f>Bonus_Game1!H14</f>
        <v>0.01</v>
      </c>
      <c r="I14" s="158">
        <f t="shared" si="0"/>
        <v>7.0000000000000007E-2</v>
      </c>
      <c r="L14" s="6"/>
    </row>
    <row r="15" spans="1:24" x14ac:dyDescent="0.35">
      <c r="A15" t="s">
        <v>90</v>
      </c>
      <c r="B15" s="129">
        <f>B13^B2</f>
        <v>0.45130251461102172</v>
      </c>
      <c r="C15" s="9" t="s">
        <v>170</v>
      </c>
      <c r="D15" s="9" t="s">
        <v>12</v>
      </c>
      <c r="E15" s="9" t="s">
        <v>9</v>
      </c>
      <c r="G15" s="249">
        <f>BaseB!N36</f>
        <v>8</v>
      </c>
      <c r="H15" s="90">
        <f>Bonus_Game1!H15</f>
        <v>8.0000000000000002E-3</v>
      </c>
      <c r="I15" s="158">
        <f t="shared" si="0"/>
        <v>6.4000000000000001E-2</v>
      </c>
      <c r="L15" s="6"/>
      <c r="R15" s="1"/>
      <c r="S15" s="1"/>
      <c r="T15" s="1"/>
      <c r="U15" s="1"/>
      <c r="V15" s="1"/>
    </row>
    <row r="16" spans="1:24" x14ac:dyDescent="0.35">
      <c r="B16" s="133"/>
      <c r="C16" s="260">
        <v>2</v>
      </c>
      <c r="D16" s="282">
        <v>0.93</v>
      </c>
      <c r="E16" s="260">
        <f>C16 * D16</f>
        <v>1.86</v>
      </c>
      <c r="G16" s="249">
        <f>BaseB!N37</f>
        <v>9</v>
      </c>
      <c r="H16" s="90">
        <f>Bonus_Game1!H16</f>
        <v>6.0000000000000001E-3</v>
      </c>
      <c r="I16" s="158">
        <f t="shared" si="0"/>
        <v>5.3999999999999999E-2</v>
      </c>
      <c r="L16" s="6"/>
      <c r="U16" s="1"/>
      <c r="V16" s="1"/>
    </row>
    <row r="17" spans="1:25" x14ac:dyDescent="0.35">
      <c r="A17" t="s">
        <v>278</v>
      </c>
      <c r="B17" s="206">
        <f>B30</f>
        <v>7.7205499227945007E-3</v>
      </c>
      <c r="C17" s="260">
        <v>3</v>
      </c>
      <c r="D17" s="282">
        <v>0.05</v>
      </c>
      <c r="E17" s="260">
        <f t="shared" ref="E17:E19" si="3">C17 * D17</f>
        <v>0.15000000000000002</v>
      </c>
      <c r="G17" s="249">
        <f>BaseB!N38</f>
        <v>10</v>
      </c>
      <c r="H17" s="90">
        <f>Bonus_Game1!H17</f>
        <v>5.0000000000000001E-3</v>
      </c>
      <c r="I17" s="158">
        <f t="shared" si="0"/>
        <v>0.05</v>
      </c>
      <c r="L17" s="6"/>
      <c r="U17" s="1"/>
      <c r="V17" s="1"/>
    </row>
    <row r="18" spans="1:25" x14ac:dyDescent="0.35">
      <c r="B18" s="103"/>
      <c r="C18" s="260">
        <v>4</v>
      </c>
      <c r="D18" s="282">
        <v>0.01</v>
      </c>
      <c r="E18" s="260">
        <f t="shared" si="3"/>
        <v>0.04</v>
      </c>
      <c r="G18" s="249">
        <f>BaseB!N39</f>
        <v>12</v>
      </c>
      <c r="H18" s="90">
        <f>Bonus_Game1!H18</f>
        <v>4.0000000000000001E-3</v>
      </c>
      <c r="I18" s="158">
        <f t="shared" si="0"/>
        <v>4.8000000000000001E-2</v>
      </c>
      <c r="L18" s="6"/>
      <c r="U18" s="1"/>
      <c r="V18" s="1"/>
    </row>
    <row r="19" spans="1:25" x14ac:dyDescent="0.35">
      <c r="B19" s="104"/>
      <c r="C19" s="260">
        <v>5</v>
      </c>
      <c r="D19" s="282">
        <v>0.01</v>
      </c>
      <c r="E19" s="260">
        <f t="shared" si="3"/>
        <v>0.05</v>
      </c>
      <c r="G19" s="249">
        <f>BaseB!N40</f>
        <v>15</v>
      </c>
      <c r="H19" s="90">
        <f>Bonus_Game1!H19</f>
        <v>3.0000000000000001E-3</v>
      </c>
      <c r="I19" s="158">
        <f t="shared" si="0"/>
        <v>4.4999999999999998E-2</v>
      </c>
      <c r="L19" s="6"/>
      <c r="U19" s="1"/>
      <c r="V19" s="1"/>
    </row>
    <row r="20" spans="1:25" x14ac:dyDescent="0.35">
      <c r="B20" s="133"/>
      <c r="C20" s="2"/>
      <c r="D20" s="116">
        <f>SUM(D16:D19)</f>
        <v>1</v>
      </c>
      <c r="E20" s="2">
        <f>SUM(E16:E19)</f>
        <v>2.1</v>
      </c>
      <c r="G20" s="249">
        <f>BaseB!N41</f>
        <v>20</v>
      </c>
      <c r="H20" s="90">
        <f>Bonus_Game1!H20</f>
        <v>2.5000000000000001E-3</v>
      </c>
      <c r="I20" s="158">
        <f t="shared" si="0"/>
        <v>0.05</v>
      </c>
      <c r="L20" s="6"/>
      <c r="U20" s="1"/>
      <c r="V20" s="1"/>
    </row>
    <row r="21" spans="1:25" x14ac:dyDescent="0.35">
      <c r="A21" t="s">
        <v>91</v>
      </c>
      <c r="B21" s="43">
        <f>I71</f>
        <v>13.301108956988907</v>
      </c>
      <c r="C21" s="29"/>
      <c r="G21" s="249">
        <f>BaseB!N42</f>
        <v>25</v>
      </c>
      <c r="H21" s="90">
        <f>Bonus_Game1!H21</f>
        <v>2E-3</v>
      </c>
      <c r="I21" s="158">
        <f t="shared" si="0"/>
        <v>0.05</v>
      </c>
      <c r="L21" s="6"/>
      <c r="U21" s="1"/>
      <c r="V21" s="1"/>
    </row>
    <row r="22" spans="1:25" x14ac:dyDescent="0.35">
      <c r="A22" t="s">
        <v>115</v>
      </c>
      <c r="B22" s="133">
        <f>D71</f>
        <v>32.782395392176042</v>
      </c>
      <c r="C22" s="29"/>
      <c r="G22" s="249">
        <f>BaseB!N43</f>
        <v>30</v>
      </c>
      <c r="H22" s="90">
        <f>Bonus_Game1!H22</f>
        <v>1E-3</v>
      </c>
      <c r="I22" s="158">
        <f t="shared" si="0"/>
        <v>0.03</v>
      </c>
      <c r="L22" s="6"/>
      <c r="U22" s="1"/>
      <c r="V22" s="1"/>
    </row>
    <row r="23" spans="1:25" x14ac:dyDescent="0.35">
      <c r="B23" s="133"/>
      <c r="C23" s="29"/>
      <c r="E23" s="3"/>
      <c r="G23" s="249">
        <f>BaseB!N44</f>
        <v>40</v>
      </c>
      <c r="H23" s="90">
        <f>Bonus_Game1!H23</f>
        <v>5.0000000000000001E-4</v>
      </c>
      <c r="I23" s="158">
        <f t="shared" si="0"/>
        <v>0.02</v>
      </c>
      <c r="L23" s="6"/>
    </row>
    <row r="24" spans="1:25" x14ac:dyDescent="0.35">
      <c r="A24" t="s">
        <v>114</v>
      </c>
      <c r="B24" s="15">
        <f>E71</f>
        <v>100000001</v>
      </c>
      <c r="D24" s="15"/>
      <c r="G24" s="249">
        <f>BaseB!N45</f>
        <v>50</v>
      </c>
      <c r="H24" s="90">
        <f>Bonus_Game1!H24</f>
        <v>4.0000000000000002E-4</v>
      </c>
      <c r="I24" s="158">
        <f t="shared" si="0"/>
        <v>0.02</v>
      </c>
      <c r="L24" s="6"/>
      <c r="X24" s="1"/>
      <c r="Y24" s="143"/>
    </row>
    <row r="25" spans="1:25" x14ac:dyDescent="0.35">
      <c r="B25" s="206"/>
      <c r="C25" s="29"/>
      <c r="D25" s="167"/>
      <c r="G25" s="11"/>
      <c r="H25" s="246"/>
      <c r="I25" s="158"/>
      <c r="L25" s="6"/>
    </row>
    <row r="26" spans="1:25" x14ac:dyDescent="0.35">
      <c r="B26" s="27"/>
      <c r="C26" s="297"/>
      <c r="H26" s="157">
        <f>SUM(H4:H25)</f>
        <v>1</v>
      </c>
      <c r="I26" s="191">
        <f>SUM(I4:I25)</f>
        <v>1.8113000000000006</v>
      </c>
      <c r="J26" s="137"/>
    </row>
    <row r="27" spans="1:25" x14ac:dyDescent="0.35">
      <c r="B27" s="15"/>
    </row>
    <row r="28" spans="1:25" x14ac:dyDescent="0.35">
      <c r="I28" s="43"/>
      <c r="J28" s="43"/>
      <c r="K28" s="43"/>
      <c r="L28" s="43"/>
      <c r="M28" s="43"/>
      <c r="N28" s="43"/>
      <c r="O28" s="43"/>
    </row>
    <row r="29" spans="1:25" x14ac:dyDescent="0.35">
      <c r="A29" s="9" t="s">
        <v>120</v>
      </c>
      <c r="B29" s="9" t="s">
        <v>12</v>
      </c>
      <c r="C29" s="9" t="s">
        <v>113</v>
      </c>
      <c r="D29" s="9" t="s">
        <v>9</v>
      </c>
      <c r="E29" s="9" t="s">
        <v>121</v>
      </c>
      <c r="F29" s="9" t="s">
        <v>122</v>
      </c>
      <c r="I29" s="9" t="s">
        <v>116</v>
      </c>
      <c r="J29" s="43" t="s">
        <v>123</v>
      </c>
      <c r="K29" s="43"/>
      <c r="L29" t="s">
        <v>241</v>
      </c>
      <c r="M29" s="7">
        <f>Bonus_Game1!M29</f>
        <v>0.16</v>
      </c>
      <c r="N29" s="43"/>
      <c r="O29" s="43"/>
    </row>
    <row r="30" spans="1:25" x14ac:dyDescent="0.35">
      <c r="A30" s="11">
        <v>0</v>
      </c>
      <c r="B30" s="165">
        <f t="shared" ref="B30:B50" si="4">E30/E$71</f>
        <v>7.7205499227945007E-3</v>
      </c>
      <c r="C30" s="163">
        <v>0</v>
      </c>
      <c r="D30" s="159">
        <f>B30 * C30</f>
        <v>0</v>
      </c>
      <c r="E30">
        <v>772055</v>
      </c>
      <c r="F30">
        <v>0</v>
      </c>
      <c r="I30" s="5">
        <f t="shared" ref="I30:I49" si="5">A30 * B30</f>
        <v>0</v>
      </c>
      <c r="J30" s="15">
        <f t="shared" ref="J30:J50" si="6">E$71/E30</f>
        <v>129.52445227347792</v>
      </c>
      <c r="K30" s="43"/>
      <c r="L30" s="15"/>
      <c r="N30" s="43"/>
      <c r="O30" s="43"/>
    </row>
    <row r="31" spans="1:25" x14ac:dyDescent="0.35">
      <c r="A31" s="11">
        <v>1</v>
      </c>
      <c r="B31" s="165">
        <f t="shared" si="4"/>
        <v>9.989199900108001E-3</v>
      </c>
      <c r="C31" s="52">
        <f xml:space="preserve"> F31 /  (  B$24  * B31  )</f>
        <v>1.9128714011132022</v>
      </c>
      <c r="D31" s="159">
        <f t="shared" ref="D31:D50" si="7">B31 * C31</f>
        <v>1.9108054808919452E-2</v>
      </c>
      <c r="E31">
        <v>998920</v>
      </c>
      <c r="F31">
        <v>1910805.5</v>
      </c>
      <c r="I31" s="5">
        <f t="shared" si="5"/>
        <v>9.989199900108001E-3</v>
      </c>
      <c r="J31" s="15">
        <f t="shared" si="6"/>
        <v>100.10811776718856</v>
      </c>
      <c r="K31" s="43"/>
      <c r="L31" s="43"/>
      <c r="M31" s="43"/>
      <c r="N31" s="43"/>
      <c r="O31" s="43"/>
    </row>
    <row r="32" spans="1:25" x14ac:dyDescent="0.35">
      <c r="A32" s="11">
        <v>2</v>
      </c>
      <c r="B32" s="165">
        <f t="shared" si="4"/>
        <v>1.4589189854108101E-2</v>
      </c>
      <c r="C32" s="52">
        <f t="shared" ref="C32:C50" si="8" xml:space="preserve"> F32 /  (  B$24  * B32  )</f>
        <v>3.8716553146542063</v>
      </c>
      <c r="D32" s="159">
        <f t="shared" si="7"/>
        <v>5.6484314435156856E-2</v>
      </c>
      <c r="E32">
        <v>1458919</v>
      </c>
      <c r="F32">
        <v>5648431.5</v>
      </c>
      <c r="I32" s="5">
        <f t="shared" si="5"/>
        <v>2.9178379708216202E-2</v>
      </c>
      <c r="J32" s="15">
        <f t="shared" si="6"/>
        <v>68.543902026089185</v>
      </c>
      <c r="K32" s="43"/>
      <c r="L32" s="9" t="s">
        <v>198</v>
      </c>
      <c r="M32" s="266" t="s">
        <v>199</v>
      </c>
      <c r="N32" s="9" t="s">
        <v>206</v>
      </c>
      <c r="O32" s="9" t="s">
        <v>12</v>
      </c>
      <c r="P32" s="9"/>
    </row>
    <row r="33" spans="1:27" x14ac:dyDescent="0.35">
      <c r="A33" s="11">
        <v>3</v>
      </c>
      <c r="B33" s="165">
        <f t="shared" si="4"/>
        <v>1.9471019805289803E-2</v>
      </c>
      <c r="C33" s="52">
        <f t="shared" si="8"/>
        <v>5.911046519391383</v>
      </c>
      <c r="D33" s="159">
        <f t="shared" si="7"/>
        <v>0.11509410384905898</v>
      </c>
      <c r="E33">
        <v>1947102</v>
      </c>
      <c r="F33">
        <v>11509410.5</v>
      </c>
      <c r="I33" s="5">
        <f t="shared" si="5"/>
        <v>5.8413059415869412E-2</v>
      </c>
      <c r="J33" s="15">
        <f t="shared" si="6"/>
        <v>51.358378246234658</v>
      </c>
      <c r="K33" s="43"/>
      <c r="L33" s="260" t="str">
        <f>Bonus_Game1!L33</f>
        <v>Mini</v>
      </c>
      <c r="M33" s="269">
        <f>Bonus_Game1!M33</f>
        <v>2</v>
      </c>
      <c r="N33" s="268">
        <f>Bonus_Game1!N33</f>
        <v>0.26</v>
      </c>
      <c r="O33" s="72">
        <v>4.9633869999999997E-2</v>
      </c>
    </row>
    <row r="34" spans="1:27" x14ac:dyDescent="0.35">
      <c r="A34" s="11">
        <v>4</v>
      </c>
      <c r="B34" s="165">
        <f t="shared" si="4"/>
        <v>2.4768729752312701E-2</v>
      </c>
      <c r="C34" s="52">
        <f t="shared" si="8"/>
        <v>7.9953413033288347</v>
      </c>
      <c r="D34" s="159">
        <f t="shared" si="7"/>
        <v>0.19803444801965553</v>
      </c>
      <c r="E34">
        <v>2476873</v>
      </c>
      <c r="F34">
        <v>19803445</v>
      </c>
      <c r="I34" s="5">
        <f t="shared" si="5"/>
        <v>9.9074919009250806E-2</v>
      </c>
      <c r="J34" s="15">
        <f t="shared" si="6"/>
        <v>40.373487457774381</v>
      </c>
      <c r="K34" s="43"/>
      <c r="L34" s="260" t="str">
        <f>Bonus_Game1!L34</f>
        <v>Midi</v>
      </c>
      <c r="M34" s="269">
        <f>Bonus_Game1!M34</f>
        <v>3</v>
      </c>
      <c r="N34" s="268">
        <f>Bonus_Game1!N34</f>
        <v>0.31</v>
      </c>
      <c r="O34" s="72">
        <v>1.0124640000000001E-2</v>
      </c>
    </row>
    <row r="35" spans="1:27" x14ac:dyDescent="0.35">
      <c r="A35" s="11">
        <v>5</v>
      </c>
      <c r="B35" s="165">
        <f t="shared" si="4"/>
        <v>3.0352319696476802E-2</v>
      </c>
      <c r="C35" s="52">
        <f t="shared" si="8"/>
        <v>10.157459298004238</v>
      </c>
      <c r="D35" s="159">
        <f t="shared" si="7"/>
        <v>0.30830245191697547</v>
      </c>
      <c r="E35">
        <v>3035232</v>
      </c>
      <c r="F35">
        <v>30830245.5</v>
      </c>
      <c r="I35" s="5">
        <f t="shared" si="5"/>
        <v>0.15176159848238402</v>
      </c>
      <c r="J35" s="15">
        <f t="shared" si="6"/>
        <v>32.946411015698303</v>
      </c>
      <c r="K35" s="43"/>
      <c r="L35" s="260" t="str">
        <f>Bonus_Game1!L35</f>
        <v>Maxi</v>
      </c>
      <c r="M35" s="269">
        <f>Bonus_Game1!M35</f>
        <v>4</v>
      </c>
      <c r="N35" s="268">
        <f>Bonus_Game1!N35</f>
        <v>0.25</v>
      </c>
      <c r="O35" s="72">
        <v>5.4655999999999997E-4</v>
      </c>
    </row>
    <row r="36" spans="1:27" x14ac:dyDescent="0.35">
      <c r="A36" s="11">
        <v>6</v>
      </c>
      <c r="B36" s="165">
        <f t="shared" si="4"/>
        <v>3.6114059638859407E-2</v>
      </c>
      <c r="C36" s="52">
        <f t="shared" si="8"/>
        <v>12.39952320508965</v>
      </c>
      <c r="D36" s="159">
        <f t="shared" si="7"/>
        <v>0.4477971205220288</v>
      </c>
      <c r="E36">
        <v>3611406</v>
      </c>
      <c r="F36">
        <v>44779712.5</v>
      </c>
      <c r="I36" s="5">
        <f t="shared" si="5"/>
        <v>0.21668435783315643</v>
      </c>
      <c r="J36" s="15">
        <f t="shared" si="6"/>
        <v>27.690046757412485</v>
      </c>
      <c r="K36" s="43"/>
      <c r="L36" s="260" t="str">
        <f>Bonus_Game1!L36</f>
        <v>Grand</v>
      </c>
      <c r="M36" s="269">
        <f>Bonus_Game1!M36</f>
        <v>5</v>
      </c>
      <c r="N36" s="268">
        <f>Bonus_Game1!N36</f>
        <v>0.18</v>
      </c>
      <c r="O36" s="72">
        <v>9.2399999999999996E-6</v>
      </c>
    </row>
    <row r="37" spans="1:27" x14ac:dyDescent="0.35">
      <c r="A37" s="11">
        <v>7</v>
      </c>
      <c r="B37" s="165">
        <f t="shared" si="4"/>
        <v>4.1839499581605002E-2</v>
      </c>
      <c r="C37" s="52">
        <f t="shared" si="8"/>
        <v>14.710541593470285</v>
      </c>
      <c r="D37" s="159">
        <f t="shared" si="7"/>
        <v>0.615481698845183</v>
      </c>
      <c r="E37">
        <v>4183950</v>
      </c>
      <c r="F37">
        <v>61548170.5</v>
      </c>
      <c r="I37" s="5">
        <f t="shared" si="5"/>
        <v>0.29287649707123503</v>
      </c>
      <c r="J37" s="15">
        <f t="shared" si="6"/>
        <v>23.900859474898123</v>
      </c>
      <c r="K37" s="43"/>
      <c r="L37" s="43"/>
      <c r="M37" s="43"/>
      <c r="N37" s="271">
        <f>SUM(N33:N36)</f>
        <v>1</v>
      </c>
    </row>
    <row r="38" spans="1:27" x14ac:dyDescent="0.35">
      <c r="A38" s="11">
        <v>8</v>
      </c>
      <c r="B38" s="165">
        <f t="shared" si="4"/>
        <v>4.7296079527039202E-2</v>
      </c>
      <c r="C38" s="52">
        <f t="shared" si="8"/>
        <v>17.121334579948275</v>
      </c>
      <c r="D38" s="159">
        <f t="shared" si="7"/>
        <v>0.80977200190227994</v>
      </c>
      <c r="E38">
        <v>4729608</v>
      </c>
      <c r="F38">
        <v>80977201</v>
      </c>
      <c r="I38" s="5">
        <f t="shared" si="5"/>
        <v>0.37836863621631361</v>
      </c>
      <c r="J38" s="15">
        <f t="shared" si="6"/>
        <v>21.143401525031251</v>
      </c>
      <c r="K38" s="43"/>
      <c r="L38" s="43"/>
      <c r="M38" s="43"/>
      <c r="N38" s="43"/>
    </row>
    <row r="39" spans="1:27" x14ac:dyDescent="0.35">
      <c r="A39" s="11">
        <v>9</v>
      </c>
      <c r="B39" s="165">
        <f t="shared" si="4"/>
        <v>5.2205939477940604E-2</v>
      </c>
      <c r="C39" s="52">
        <f t="shared" si="8"/>
        <v>19.622344411383072</v>
      </c>
      <c r="D39" s="159">
        <f t="shared" si="7"/>
        <v>1.0244029247559707</v>
      </c>
      <c r="E39">
        <v>5220594</v>
      </c>
      <c r="F39">
        <v>102440293.5</v>
      </c>
      <c r="I39" s="5">
        <f t="shared" si="5"/>
        <v>0.46985345530146544</v>
      </c>
      <c r="J39" s="15">
        <f t="shared" si="6"/>
        <v>19.154908617678373</v>
      </c>
      <c r="K39" s="43"/>
      <c r="L39" s="43"/>
      <c r="M39" s="43"/>
      <c r="N39" s="43"/>
    </row>
    <row r="40" spans="1:27" x14ac:dyDescent="0.35">
      <c r="A40" s="11">
        <v>10</v>
      </c>
      <c r="B40" s="165">
        <f t="shared" si="4"/>
        <v>5.6399199436008005E-2</v>
      </c>
      <c r="C40" s="52">
        <f t="shared" si="8"/>
        <v>22.216407413580335</v>
      </c>
      <c r="D40" s="159">
        <f t="shared" si="7"/>
        <v>1.2529875924701241</v>
      </c>
      <c r="E40">
        <v>5639920</v>
      </c>
      <c r="F40">
        <v>125298760.5</v>
      </c>
      <c r="I40" s="5">
        <f t="shared" si="5"/>
        <v>0.56399199436008007</v>
      </c>
      <c r="J40" s="15">
        <f t="shared" si="6"/>
        <v>17.730748131179165</v>
      </c>
      <c r="K40" s="43"/>
      <c r="L40" s="43"/>
      <c r="M40" s="43"/>
      <c r="N40" s="43"/>
    </row>
    <row r="41" spans="1:27" x14ac:dyDescent="0.35">
      <c r="A41" s="11">
        <v>11</v>
      </c>
      <c r="B41" s="165">
        <f t="shared" si="4"/>
        <v>5.9538339404616607E-2</v>
      </c>
      <c r="C41" s="52">
        <f t="shared" si="8"/>
        <v>24.908169256986337</v>
      </c>
      <c r="D41" s="159">
        <f t="shared" si="7"/>
        <v>1.4829910351700897</v>
      </c>
      <c r="E41">
        <v>5953834</v>
      </c>
      <c r="F41">
        <v>148299105</v>
      </c>
      <c r="I41" s="5">
        <f t="shared" si="5"/>
        <v>0.65492173345078264</v>
      </c>
      <c r="J41" s="15">
        <f t="shared" si="6"/>
        <v>16.795900087237904</v>
      </c>
      <c r="K41" s="43"/>
      <c r="L41" s="43"/>
      <c r="M41" s="43"/>
      <c r="N41" s="43"/>
      <c r="O41" s="43"/>
    </row>
    <row r="42" spans="1:27" x14ac:dyDescent="0.35">
      <c r="A42" s="11">
        <v>12</v>
      </c>
      <c r="B42" s="165">
        <f t="shared" si="4"/>
        <v>6.1317469386825307E-2</v>
      </c>
      <c r="C42" s="52">
        <f t="shared" si="8"/>
        <v>27.68296759471648</v>
      </c>
      <c r="D42" s="159">
        <f t="shared" si="7"/>
        <v>1.6974495180255047</v>
      </c>
      <c r="E42">
        <v>6131747</v>
      </c>
      <c r="F42">
        <v>169744953.5</v>
      </c>
      <c r="I42" s="5">
        <f t="shared" si="5"/>
        <v>0.73580963264190369</v>
      </c>
      <c r="J42" s="15">
        <f t="shared" si="6"/>
        <v>16.308566057927699</v>
      </c>
      <c r="K42" s="43"/>
      <c r="L42" s="43"/>
      <c r="M42" s="43"/>
      <c r="N42" s="43"/>
      <c r="O42" s="43"/>
      <c r="AA42" s="23"/>
    </row>
    <row r="43" spans="1:27" x14ac:dyDescent="0.35">
      <c r="A43" s="11">
        <v>13</v>
      </c>
      <c r="B43" s="165">
        <f t="shared" si="4"/>
        <v>6.1816979381830207E-2</v>
      </c>
      <c r="C43" s="52">
        <f t="shared" si="8"/>
        <v>30.520764116914155</v>
      </c>
      <c r="D43" s="159">
        <f t="shared" si="7"/>
        <v>1.8867014461329856</v>
      </c>
      <c r="E43">
        <v>6181698</v>
      </c>
      <c r="F43">
        <v>188670146.5</v>
      </c>
      <c r="I43" s="5">
        <f t="shared" si="5"/>
        <v>0.80362073196379269</v>
      </c>
      <c r="J43" s="15">
        <f t="shared" si="6"/>
        <v>16.176785245736689</v>
      </c>
      <c r="K43" s="43"/>
      <c r="L43" s="43"/>
      <c r="M43" s="43"/>
      <c r="N43" s="43"/>
      <c r="O43" s="43"/>
      <c r="AA43" s="23"/>
    </row>
    <row r="44" spans="1:27" x14ac:dyDescent="0.35">
      <c r="A44" s="11">
        <v>14</v>
      </c>
      <c r="B44" s="165">
        <f t="shared" si="4"/>
        <v>6.0739809392601908E-2</v>
      </c>
      <c r="C44" s="52">
        <f t="shared" si="8"/>
        <v>33.438270057150326</v>
      </c>
      <c r="D44" s="159">
        <f t="shared" si="7"/>
        <v>2.0310341496896585</v>
      </c>
      <c r="E44">
        <v>6073981</v>
      </c>
      <c r="F44">
        <v>203103417</v>
      </c>
      <c r="I44" s="5">
        <f t="shared" si="5"/>
        <v>0.85035733149642667</v>
      </c>
      <c r="J44" s="15">
        <f t="shared" si="6"/>
        <v>16.46366707436194</v>
      </c>
      <c r="K44" s="43"/>
      <c r="L44" s="43"/>
      <c r="M44" s="43"/>
      <c r="N44" s="43"/>
      <c r="O44" s="43"/>
      <c r="AA44" s="23"/>
    </row>
    <row r="45" spans="1:27" x14ac:dyDescent="0.35">
      <c r="A45" s="11">
        <v>15</v>
      </c>
      <c r="B45" s="165">
        <f t="shared" si="4"/>
        <v>5.8470779415292204E-2</v>
      </c>
      <c r="C45" s="52">
        <f t="shared" si="8"/>
        <v>36.428430149212993</v>
      </c>
      <c r="D45" s="159">
        <f t="shared" si="7"/>
        <v>2.129998703700013</v>
      </c>
      <c r="E45">
        <v>5847078</v>
      </c>
      <c r="F45">
        <v>212999872.5</v>
      </c>
      <c r="I45" s="5">
        <f t="shared" si="5"/>
        <v>0.87706169122938304</v>
      </c>
      <c r="J45" s="15">
        <f t="shared" si="6"/>
        <v>17.102559774300943</v>
      </c>
      <c r="K45" s="43"/>
      <c r="L45" s="43"/>
      <c r="M45" s="43"/>
      <c r="N45" s="43"/>
      <c r="O45" s="43"/>
      <c r="AA45" s="23"/>
    </row>
    <row r="46" spans="1:27" x14ac:dyDescent="0.35">
      <c r="A46" s="11">
        <v>16</v>
      </c>
      <c r="B46" s="165">
        <f t="shared" si="4"/>
        <v>5.5060899449391007E-2</v>
      </c>
      <c r="C46" s="52">
        <f t="shared" si="8"/>
        <v>39.439867582985386</v>
      </c>
      <c r="D46" s="159">
        <f t="shared" si="7"/>
        <v>2.1715945832840542</v>
      </c>
      <c r="E46">
        <v>5506090</v>
      </c>
      <c r="F46">
        <v>217159460.5</v>
      </c>
      <c r="I46" s="5">
        <f t="shared" si="5"/>
        <v>0.88097439119025611</v>
      </c>
      <c r="J46" s="15">
        <f t="shared" si="6"/>
        <v>18.1617083992452</v>
      </c>
      <c r="K46" s="43"/>
      <c r="L46" s="43"/>
      <c r="M46" s="43"/>
      <c r="N46" s="43"/>
      <c r="O46" s="43"/>
      <c r="Z46" s="23"/>
      <c r="AA46" s="23"/>
    </row>
    <row r="47" spans="1:27" x14ac:dyDescent="0.35">
      <c r="A47" s="11">
        <v>17</v>
      </c>
      <c r="B47" s="165">
        <f t="shared" si="4"/>
        <v>5.0678059493219407E-2</v>
      </c>
      <c r="C47" s="52">
        <f t="shared" si="8"/>
        <v>42.438208368670779</v>
      </c>
      <c r="D47" s="159">
        <f t="shared" si="7"/>
        <v>2.1506860484931396</v>
      </c>
      <c r="E47">
        <v>5067806</v>
      </c>
      <c r="F47">
        <v>215068607</v>
      </c>
      <c r="H47" s="30"/>
      <c r="I47" s="5">
        <f t="shared" si="5"/>
        <v>0.86152701138472998</v>
      </c>
      <c r="J47" s="15">
        <f t="shared" si="6"/>
        <v>19.732405107851406</v>
      </c>
      <c r="K47" s="43"/>
      <c r="L47" s="43"/>
      <c r="M47" s="43"/>
      <c r="N47" s="43"/>
      <c r="O47" s="43"/>
    </row>
    <row r="48" spans="1:27" x14ac:dyDescent="0.35">
      <c r="A48" s="11">
        <v>18</v>
      </c>
      <c r="B48" s="165">
        <f t="shared" si="4"/>
        <v>4.5788109542118906E-2</v>
      </c>
      <c r="C48" s="52">
        <f t="shared" si="8"/>
        <v>45.501367276351871</v>
      </c>
      <c r="D48" s="159">
        <f t="shared" si="7"/>
        <v>2.0834215891657841</v>
      </c>
      <c r="E48">
        <v>4578811</v>
      </c>
      <c r="F48">
        <v>208342161</v>
      </c>
      <c r="I48" s="5">
        <f t="shared" si="5"/>
        <v>0.82418597175814035</v>
      </c>
      <c r="J48" s="15">
        <f t="shared" si="6"/>
        <v>21.839731100497488</v>
      </c>
      <c r="K48" s="43"/>
      <c r="L48" s="43"/>
      <c r="M48" s="43"/>
      <c r="N48" s="43"/>
      <c r="O48" s="43"/>
    </row>
    <row r="49" spans="1:15" x14ac:dyDescent="0.35">
      <c r="A49" s="11">
        <v>19</v>
      </c>
      <c r="B49" s="165">
        <f t="shared" si="4"/>
        <v>4.0603889593961107E-2</v>
      </c>
      <c r="C49" s="52">
        <f t="shared" si="8"/>
        <v>48.600233499795209</v>
      </c>
      <c r="D49" s="159">
        <f t="shared" si="7"/>
        <v>1.9733585152664146</v>
      </c>
      <c r="E49">
        <v>4060389</v>
      </c>
      <c r="F49">
        <v>197335853.5</v>
      </c>
      <c r="I49" s="5">
        <f t="shared" si="5"/>
        <v>0.77147390228526103</v>
      </c>
      <c r="J49" s="15">
        <f t="shared" si="6"/>
        <v>24.628182422915636</v>
      </c>
      <c r="K49" s="43"/>
      <c r="L49" s="43"/>
      <c r="M49" s="43"/>
      <c r="N49" s="43"/>
      <c r="O49" s="43"/>
    </row>
    <row r="50" spans="1:15" x14ac:dyDescent="0.35">
      <c r="A50" s="11">
        <v>20</v>
      </c>
      <c r="B50" s="165">
        <f t="shared" si="4"/>
        <v>3.5299779647002205E-2</v>
      </c>
      <c r="C50" s="52">
        <f t="shared" si="8"/>
        <v>51.826893538713271</v>
      </c>
      <c r="D50" s="159">
        <f t="shared" si="7"/>
        <v>1.8294779217052208</v>
      </c>
      <c r="E50">
        <v>3529978</v>
      </c>
      <c r="F50">
        <v>182947794</v>
      </c>
      <c r="I50" s="5">
        <f t="shared" ref="I50:I53" si="9">A50 * B50</f>
        <v>0.7059955929400441</v>
      </c>
      <c r="J50" s="15">
        <f t="shared" si="6"/>
        <v>28.328788734660669</v>
      </c>
      <c r="K50" s="43"/>
      <c r="L50" s="43"/>
      <c r="M50" s="43"/>
      <c r="N50" s="43"/>
      <c r="O50" s="43"/>
    </row>
    <row r="51" spans="1:15" x14ac:dyDescent="0.35">
      <c r="A51" s="11">
        <v>21</v>
      </c>
      <c r="B51" s="165">
        <f t="shared" ref="B51:B70" si="10">E51/E$71</f>
        <v>3.0075269699247304E-2</v>
      </c>
      <c r="C51" s="52">
        <f t="shared" ref="C51:C70" si="11" xml:space="preserve"> F51 /  (  B$24  * B51  )</f>
        <v>55.24534576081944</v>
      </c>
      <c r="D51" s="159">
        <f t="shared" ref="D51:D70" si="12">B51 * C51</f>
        <v>1.6615186733848133</v>
      </c>
      <c r="E51">
        <v>3007527</v>
      </c>
      <c r="F51">
        <v>166151869</v>
      </c>
      <c r="I51" s="5">
        <f t="shared" si="9"/>
        <v>0.63158066368419341</v>
      </c>
      <c r="J51" s="15">
        <f t="shared" ref="J51:J70" si="13">E$71/E51</f>
        <v>33.249909643371446</v>
      </c>
      <c r="K51" s="43"/>
      <c r="L51" s="43"/>
      <c r="M51" s="43"/>
      <c r="N51" s="43"/>
      <c r="O51" s="43"/>
    </row>
    <row r="52" spans="1:15" x14ac:dyDescent="0.35">
      <c r="A52" s="11">
        <v>22</v>
      </c>
      <c r="B52" s="165">
        <f t="shared" si="10"/>
        <v>2.5027049749729503E-2</v>
      </c>
      <c r="C52" s="52">
        <f t="shared" si="11"/>
        <v>58.858588407343255</v>
      </c>
      <c r="D52" s="159">
        <f t="shared" si="12"/>
        <v>1.4730568202694319</v>
      </c>
      <c r="E52">
        <v>2502705</v>
      </c>
      <c r="F52">
        <v>147305683.5</v>
      </c>
      <c r="I52" s="5">
        <f t="shared" si="9"/>
        <v>0.55059509449404909</v>
      </c>
      <c r="J52" s="15">
        <f t="shared" si="13"/>
        <v>39.956767177913498</v>
      </c>
      <c r="K52" s="43"/>
      <c r="L52" s="43"/>
      <c r="M52" s="43"/>
      <c r="N52" s="43"/>
      <c r="O52" s="43"/>
    </row>
    <row r="53" spans="1:15" x14ac:dyDescent="0.35">
      <c r="A53" s="11">
        <v>23</v>
      </c>
      <c r="B53" s="165">
        <f t="shared" si="10"/>
        <v>2.0295989797040101E-2</v>
      </c>
      <c r="C53" s="52">
        <f t="shared" si="11"/>
        <v>62.427503659589902</v>
      </c>
      <c r="D53" s="159">
        <f t="shared" si="12"/>
        <v>1.2670279773297202</v>
      </c>
      <c r="E53">
        <v>2029599</v>
      </c>
      <c r="F53">
        <v>126702799</v>
      </c>
      <c r="I53" s="5">
        <f t="shared" si="9"/>
        <v>0.46680776533192231</v>
      </c>
      <c r="J53" s="15">
        <f t="shared" si="13"/>
        <v>49.270817043169615</v>
      </c>
      <c r="K53" s="43"/>
      <c r="L53" s="43"/>
      <c r="M53" s="43"/>
      <c r="N53" s="43"/>
      <c r="O53" s="43"/>
    </row>
    <row r="54" spans="1:15" x14ac:dyDescent="0.35">
      <c r="A54" s="11">
        <v>24</v>
      </c>
      <c r="B54" s="165">
        <f t="shared" si="10"/>
        <v>1.60003498399965E-2</v>
      </c>
      <c r="C54" s="52">
        <f t="shared" si="11"/>
        <v>66.374894611680375</v>
      </c>
      <c r="D54" s="159">
        <f t="shared" si="12"/>
        <v>1.0620215343797845</v>
      </c>
      <c r="E54">
        <v>1600035</v>
      </c>
      <c r="F54">
        <v>106202154.5</v>
      </c>
      <c r="I54" s="5">
        <f t="shared" ref="I54:I70" si="14">A54 * B54</f>
        <v>0.384008396159916</v>
      </c>
      <c r="J54" s="15">
        <f t="shared" si="13"/>
        <v>62.498633467392899</v>
      </c>
      <c r="K54" s="43"/>
      <c r="L54" s="43"/>
      <c r="M54" s="43"/>
      <c r="N54" s="43"/>
      <c r="O54" s="43"/>
    </row>
    <row r="55" spans="1:15" x14ac:dyDescent="0.35">
      <c r="A55" s="11">
        <v>25</v>
      </c>
      <c r="B55" s="165">
        <f t="shared" si="10"/>
        <v>1.2211079877889202E-2</v>
      </c>
      <c r="C55" s="52">
        <f t="shared" si="11"/>
        <v>70.384186329137151</v>
      </c>
      <c r="D55" s="159">
        <f t="shared" si="12"/>
        <v>0.85946692140533087</v>
      </c>
      <c r="E55">
        <v>1221108</v>
      </c>
      <c r="F55">
        <v>85946693</v>
      </c>
      <c r="I55" s="5">
        <f t="shared" si="14"/>
        <v>0.30527699694723004</v>
      </c>
      <c r="J55" s="15">
        <f t="shared" si="13"/>
        <v>81.892839126432719</v>
      </c>
      <c r="K55" s="43"/>
      <c r="L55" s="43"/>
      <c r="M55" s="43"/>
      <c r="N55" s="43"/>
      <c r="O55" s="43"/>
    </row>
    <row r="56" spans="1:15" x14ac:dyDescent="0.35">
      <c r="A56" s="11">
        <v>26</v>
      </c>
      <c r="B56" s="165">
        <f t="shared" si="10"/>
        <v>9.026759909732401E-3</v>
      </c>
      <c r="C56" s="52">
        <f t="shared" si="11"/>
        <v>74.803766800047853</v>
      </c>
      <c r="D56" s="159">
        <f t="shared" si="12"/>
        <v>0.67523564324764351</v>
      </c>
      <c r="E56">
        <v>902676</v>
      </c>
      <c r="F56">
        <v>67523565</v>
      </c>
      <c r="I56" s="5">
        <f t="shared" si="14"/>
        <v>0.23469575765304243</v>
      </c>
      <c r="J56" s="15">
        <f t="shared" si="13"/>
        <v>110.781721237742</v>
      </c>
      <c r="K56" s="43"/>
      <c r="L56" s="43"/>
      <c r="M56" s="43"/>
      <c r="N56" s="43"/>
      <c r="O56" s="43"/>
    </row>
    <row r="57" spans="1:15" x14ac:dyDescent="0.35">
      <c r="A57" s="11">
        <v>27</v>
      </c>
      <c r="B57" s="165">
        <f t="shared" si="10"/>
        <v>6.4065899359341009E-3</v>
      </c>
      <c r="C57" s="52">
        <f t="shared" si="11"/>
        <v>79.191787674878526</v>
      </c>
      <c r="D57" s="159">
        <f t="shared" si="12"/>
        <v>0.50734930992650695</v>
      </c>
      <c r="E57">
        <v>640659</v>
      </c>
      <c r="F57">
        <v>50734931.5</v>
      </c>
      <c r="I57" s="5">
        <f t="shared" si="14"/>
        <v>0.17297792827022074</v>
      </c>
      <c r="J57" s="15">
        <f t="shared" si="13"/>
        <v>156.08927838366432</v>
      </c>
      <c r="K57" s="43"/>
      <c r="L57" s="43"/>
      <c r="M57" s="43"/>
      <c r="N57" s="43"/>
      <c r="O57" s="43"/>
    </row>
    <row r="58" spans="1:15" x14ac:dyDescent="0.35">
      <c r="A58" s="11">
        <v>28</v>
      </c>
      <c r="B58" s="165">
        <f t="shared" si="10"/>
        <v>4.3596099564039001E-3</v>
      </c>
      <c r="C58" s="52">
        <f t="shared" si="11"/>
        <v>84.125515814488011</v>
      </c>
      <c r="D58" s="159">
        <f t="shared" si="12"/>
        <v>0.36675443633245569</v>
      </c>
      <c r="E58">
        <v>435961</v>
      </c>
      <c r="F58">
        <v>36675444</v>
      </c>
      <c r="I58" s="5">
        <f t="shared" si="14"/>
        <v>0.1220690787793092</v>
      </c>
      <c r="J58" s="15">
        <f t="shared" si="13"/>
        <v>229.37831824406311</v>
      </c>
      <c r="K58" s="43"/>
      <c r="L58" s="43"/>
      <c r="M58" s="43"/>
      <c r="N58" s="43"/>
      <c r="O58" s="43"/>
    </row>
    <row r="59" spans="1:15" x14ac:dyDescent="0.35">
      <c r="A59" s="11">
        <v>29</v>
      </c>
      <c r="B59" s="165">
        <f t="shared" si="10"/>
        <v>2.8266999717330003E-3</v>
      </c>
      <c r="C59" s="52">
        <f t="shared" si="11"/>
        <v>89.463446775391802</v>
      </c>
      <c r="D59" s="159">
        <f t="shared" si="12"/>
        <v>0.25288632247113679</v>
      </c>
      <c r="E59">
        <v>282670</v>
      </c>
      <c r="F59">
        <v>25288632.5</v>
      </c>
      <c r="I59" s="5">
        <f t="shared" si="14"/>
        <v>8.1974299180257004E-2</v>
      </c>
      <c r="J59" s="15">
        <f t="shared" si="13"/>
        <v>353.76941663423781</v>
      </c>
      <c r="K59" s="43"/>
      <c r="L59" s="43"/>
      <c r="M59" s="43"/>
      <c r="N59" s="43"/>
      <c r="O59" s="43"/>
    </row>
    <row r="60" spans="1:15" x14ac:dyDescent="0.35">
      <c r="A60" s="11">
        <v>30</v>
      </c>
      <c r="B60" s="165">
        <f t="shared" si="10"/>
        <v>1.7360799826392002E-3</v>
      </c>
      <c r="C60" s="52">
        <f t="shared" si="11"/>
        <v>94.332605640293067</v>
      </c>
      <c r="D60" s="159">
        <f t="shared" si="12"/>
        <v>0.16376894836231051</v>
      </c>
      <c r="E60">
        <v>173608</v>
      </c>
      <c r="F60">
        <v>16376895</v>
      </c>
      <c r="I60" s="5">
        <f t="shared" si="14"/>
        <v>5.2082399479176006E-2</v>
      </c>
      <c r="J60" s="15">
        <f t="shared" si="13"/>
        <v>576.0103278650754</v>
      </c>
      <c r="K60" s="43"/>
      <c r="L60" s="43"/>
      <c r="M60" s="43"/>
      <c r="N60" s="43"/>
      <c r="O60" s="43"/>
    </row>
    <row r="61" spans="1:15" x14ac:dyDescent="0.35">
      <c r="A61" s="11">
        <v>31</v>
      </c>
      <c r="B61" s="165">
        <f t="shared" si="10"/>
        <v>9.9506999004930004E-4</v>
      </c>
      <c r="C61" s="52">
        <f t="shared" si="11"/>
        <v>100.68581607324109</v>
      </c>
      <c r="D61" s="159">
        <f t="shared" si="12"/>
        <v>0.10018943399810566</v>
      </c>
      <c r="E61">
        <v>99507</v>
      </c>
      <c r="F61">
        <v>10018943.5</v>
      </c>
      <c r="I61" s="5">
        <f t="shared" si="14"/>
        <v>3.0847169691528301E-2</v>
      </c>
      <c r="J61" s="15">
        <f t="shared" si="13"/>
        <v>1004.9544353663562</v>
      </c>
      <c r="K61" s="43"/>
      <c r="L61" s="43"/>
      <c r="M61" s="43"/>
      <c r="N61" s="43"/>
      <c r="O61" s="43"/>
    </row>
    <row r="62" spans="1:15" x14ac:dyDescent="0.35">
      <c r="A62" s="11">
        <v>32</v>
      </c>
      <c r="B62" s="165">
        <f t="shared" si="10"/>
        <v>5.335899946641E-4</v>
      </c>
      <c r="C62" s="52">
        <f t="shared" si="11"/>
        <v>105.86528982926968</v>
      </c>
      <c r="D62" s="159">
        <f t="shared" si="12"/>
        <v>5.6488659435113414E-2</v>
      </c>
      <c r="E62">
        <v>53359</v>
      </c>
      <c r="F62">
        <v>5648866</v>
      </c>
      <c r="I62" s="5">
        <f t="shared" si="14"/>
        <v>1.70748798292512E-2</v>
      </c>
      <c r="J62" s="15">
        <f t="shared" si="13"/>
        <v>1874.0981090350269</v>
      </c>
      <c r="K62" s="43"/>
      <c r="L62" s="43"/>
      <c r="M62" s="43"/>
      <c r="N62" s="43"/>
      <c r="O62" s="43"/>
    </row>
    <row r="63" spans="1:15" x14ac:dyDescent="0.35">
      <c r="A63" s="11">
        <v>33</v>
      </c>
      <c r="B63" s="165">
        <f t="shared" si="10"/>
        <v>2.6105999738940003E-4</v>
      </c>
      <c r="C63" s="52">
        <f t="shared" si="11"/>
        <v>112.71334176051482</v>
      </c>
      <c r="D63" s="159">
        <f t="shared" si="12"/>
        <v>2.9424944705750553E-2</v>
      </c>
      <c r="E63">
        <v>26106</v>
      </c>
      <c r="F63">
        <v>2942494.5</v>
      </c>
      <c r="I63" s="5">
        <f t="shared" si="14"/>
        <v>8.6149799138502004E-3</v>
      </c>
      <c r="J63" s="15">
        <f t="shared" si="13"/>
        <v>3830.5370795985596</v>
      </c>
      <c r="K63" s="43"/>
      <c r="L63" s="43"/>
      <c r="M63" s="43"/>
      <c r="N63" s="43"/>
      <c r="O63" s="43"/>
    </row>
    <row r="64" spans="1:15" x14ac:dyDescent="0.35">
      <c r="A64" s="11">
        <v>34</v>
      </c>
      <c r="B64" s="165">
        <f t="shared" si="10"/>
        <v>1.1643999883560001E-4</v>
      </c>
      <c r="C64" s="52">
        <f t="shared" si="11"/>
        <v>118.6526537272415</v>
      </c>
      <c r="D64" s="159">
        <f t="shared" si="12"/>
        <v>1.3815914861840851E-2</v>
      </c>
      <c r="E64">
        <v>11644</v>
      </c>
      <c r="F64">
        <v>1381591.5</v>
      </c>
      <c r="I64" s="5">
        <f t="shared" si="14"/>
        <v>3.9589599604104003E-3</v>
      </c>
      <c r="J64" s="15">
        <f t="shared" si="13"/>
        <v>8588.1141360357269</v>
      </c>
      <c r="K64" s="43"/>
      <c r="L64" s="43"/>
      <c r="M64" s="43"/>
      <c r="N64" s="43"/>
      <c r="O64" s="43"/>
    </row>
    <row r="65" spans="1:15" x14ac:dyDescent="0.35">
      <c r="A65" s="11">
        <v>35</v>
      </c>
      <c r="B65" s="165">
        <f t="shared" si="10"/>
        <v>4.6899999531000007E-5</v>
      </c>
      <c r="C65" s="52">
        <f t="shared" si="11"/>
        <v>126.09434968017058</v>
      </c>
      <c r="D65" s="159">
        <f t="shared" si="12"/>
        <v>5.9138249408617512E-3</v>
      </c>
      <c r="E65">
        <v>4690</v>
      </c>
      <c r="F65">
        <v>591382.5</v>
      </c>
      <c r="I65" s="5">
        <f t="shared" si="14"/>
        <v>1.6414999835850002E-3</v>
      </c>
      <c r="J65" s="15">
        <f t="shared" si="13"/>
        <v>21321.9618336887</v>
      </c>
      <c r="K65" s="43"/>
      <c r="L65" s="43"/>
      <c r="M65" s="43"/>
      <c r="N65" s="43"/>
      <c r="O65" s="43"/>
    </row>
    <row r="66" spans="1:15" x14ac:dyDescent="0.35">
      <c r="A66" s="11">
        <v>36</v>
      </c>
      <c r="B66" s="165">
        <f t="shared" si="10"/>
        <v>1.6009999839900003E-5</v>
      </c>
      <c r="C66" s="52">
        <f t="shared" si="11"/>
        <v>156.95721424109928</v>
      </c>
      <c r="D66" s="159">
        <f t="shared" si="12"/>
        <v>2.5128849748711499E-3</v>
      </c>
      <c r="E66">
        <v>1601</v>
      </c>
      <c r="F66">
        <v>251288.5</v>
      </c>
      <c r="I66" s="5">
        <f t="shared" si="14"/>
        <v>5.7635999423640005E-4</v>
      </c>
      <c r="J66" s="15">
        <f t="shared" si="13"/>
        <v>62460.962523422859</v>
      </c>
      <c r="K66" s="43"/>
      <c r="L66" s="43"/>
      <c r="M66" s="43"/>
      <c r="N66" s="43"/>
      <c r="O66" s="43"/>
    </row>
    <row r="67" spans="1:15" x14ac:dyDescent="0.35">
      <c r="A67" s="11">
        <v>37</v>
      </c>
      <c r="B67" s="165">
        <f t="shared" si="10"/>
        <v>4.4299999557000006E-6</v>
      </c>
      <c r="C67" s="52">
        <f t="shared" si="11"/>
        <v>141.68961625282168</v>
      </c>
      <c r="D67" s="159">
        <f t="shared" si="12"/>
        <v>6.2768499372315009E-4</v>
      </c>
      <c r="E67">
        <v>443</v>
      </c>
      <c r="F67">
        <v>62768.5</v>
      </c>
      <c r="I67" s="5">
        <f t="shared" si="14"/>
        <v>1.6390999836090003E-4</v>
      </c>
      <c r="J67" s="15">
        <f t="shared" si="13"/>
        <v>225733.63656884877</v>
      </c>
      <c r="K67" s="43"/>
      <c r="L67" s="43"/>
      <c r="M67" s="43"/>
      <c r="N67" s="43"/>
      <c r="O67" s="43"/>
    </row>
    <row r="68" spans="1:15" x14ac:dyDescent="0.35">
      <c r="A68" s="11">
        <v>38</v>
      </c>
      <c r="B68" s="165">
        <f t="shared" si="10"/>
        <v>9.5999999040000018E-7</v>
      </c>
      <c r="C68" s="52">
        <f t="shared" si="11"/>
        <v>141.77083333333331</v>
      </c>
      <c r="D68" s="159">
        <f t="shared" si="12"/>
        <v>1.3609999863900001E-4</v>
      </c>
      <c r="E68">
        <v>96</v>
      </c>
      <c r="F68">
        <v>13610</v>
      </c>
      <c r="I68" s="5">
        <f t="shared" si="14"/>
        <v>3.6479999635200009E-5</v>
      </c>
      <c r="J68" s="15">
        <f t="shared" si="13"/>
        <v>1041666.6770833334</v>
      </c>
      <c r="K68" s="43"/>
      <c r="L68" s="43"/>
      <c r="M68" s="43"/>
      <c r="N68" s="43"/>
      <c r="O68" s="43"/>
    </row>
    <row r="69" spans="1:15" x14ac:dyDescent="0.35">
      <c r="A69" s="11">
        <v>39</v>
      </c>
      <c r="B69" s="165">
        <f t="shared" si="10"/>
        <v>1.4999999850000001E-7</v>
      </c>
      <c r="C69" s="52">
        <f t="shared" si="11"/>
        <v>140.9</v>
      </c>
      <c r="D69" s="159">
        <f t="shared" si="12"/>
        <v>2.1134999788650003E-5</v>
      </c>
      <c r="E69">
        <v>15</v>
      </c>
      <c r="F69">
        <v>2113.5</v>
      </c>
      <c r="I69" s="5">
        <f t="shared" si="14"/>
        <v>5.8499999415000006E-6</v>
      </c>
      <c r="J69" s="15">
        <f t="shared" si="13"/>
        <v>6666666.7333333334</v>
      </c>
      <c r="K69" s="43"/>
      <c r="L69" s="43"/>
      <c r="M69" s="43"/>
      <c r="N69" s="43"/>
      <c r="O69" s="43"/>
    </row>
    <row r="70" spans="1:15" x14ac:dyDescent="0.35">
      <c r="A70" s="11">
        <v>40</v>
      </c>
      <c r="B70" s="165">
        <f t="shared" si="10"/>
        <v>9.9999999000000002E-9</v>
      </c>
      <c r="C70" s="52">
        <f t="shared" si="11"/>
        <v>0</v>
      </c>
      <c r="D70" s="159">
        <f t="shared" si="12"/>
        <v>0</v>
      </c>
      <c r="E70">
        <v>1</v>
      </c>
      <c r="F70">
        <v>0</v>
      </c>
      <c r="I70" s="5">
        <f t="shared" si="14"/>
        <v>3.9999999600000002E-7</v>
      </c>
      <c r="J70" s="15">
        <f t="shared" si="13"/>
        <v>100000001</v>
      </c>
      <c r="K70" s="43"/>
      <c r="L70" s="43"/>
      <c r="M70" s="43"/>
      <c r="N70" s="43"/>
      <c r="O70" s="43"/>
    </row>
    <row r="71" spans="1:15" ht="18.5" x14ac:dyDescent="0.45">
      <c r="B71" s="161">
        <f>SUM(B30:B70)</f>
        <v>1</v>
      </c>
      <c r="C71" s="162"/>
      <c r="D71" s="168">
        <f>SUM(D30:D70)</f>
        <v>32.782395392176042</v>
      </c>
      <c r="E71" s="15">
        <f>SUM(E30:E70)</f>
        <v>100000001</v>
      </c>
      <c r="I71" s="164">
        <f>SUM(I30:I70)</f>
        <v>13.301108956988907</v>
      </c>
      <c r="J71" s="43"/>
      <c r="K71" s="43"/>
      <c r="L71" s="43"/>
      <c r="M71" s="43"/>
      <c r="N71" s="43"/>
      <c r="O71" s="43"/>
    </row>
    <row r="72" spans="1:15" x14ac:dyDescent="0.35">
      <c r="B72" s="160"/>
      <c r="I72" s="43"/>
      <c r="J72" s="43"/>
      <c r="K72" s="43"/>
      <c r="L72" s="43"/>
      <c r="N72" s="43"/>
      <c r="O72" s="43"/>
    </row>
    <row r="73" spans="1:15" x14ac:dyDescent="0.35">
      <c r="I73" s="43"/>
      <c r="J73" s="43"/>
      <c r="K73" s="43"/>
      <c r="L73" s="43"/>
      <c r="O73" s="43"/>
    </row>
    <row r="74" spans="1:15" x14ac:dyDescent="0.35">
      <c r="I74" s="43"/>
      <c r="J74" s="43"/>
      <c r="K74" s="43"/>
      <c r="L74" s="43"/>
      <c r="O74" s="43"/>
    </row>
    <row r="75" spans="1:15" x14ac:dyDescent="0.35">
      <c r="A75" s="118"/>
      <c r="C75" s="23"/>
    </row>
    <row r="76" spans="1:15" x14ac:dyDescent="0.35">
      <c r="A76" s="118"/>
      <c r="C76" s="23"/>
    </row>
    <row r="77" spans="1:15" x14ac:dyDescent="0.35">
      <c r="A77" s="117"/>
      <c r="B77" s="117"/>
      <c r="C77" s="23"/>
    </row>
    <row r="78" spans="1:15" x14ac:dyDescent="0.35">
      <c r="C78" s="23"/>
    </row>
    <row r="79" spans="1:15" x14ac:dyDescent="0.35">
      <c r="C79" s="23"/>
    </row>
    <row r="90" spans="1:3" x14ac:dyDescent="0.35">
      <c r="C90" s="23"/>
    </row>
    <row r="91" spans="1:3" x14ac:dyDescent="0.35">
      <c r="C91" s="23"/>
    </row>
    <row r="92" spans="1:3" x14ac:dyDescent="0.35">
      <c r="C92" s="23"/>
    </row>
    <row r="93" spans="1:3" x14ac:dyDescent="0.35">
      <c r="C93" s="23"/>
    </row>
    <row r="94" spans="1:3" x14ac:dyDescent="0.35">
      <c r="A94" s="118"/>
      <c r="B94" s="39"/>
      <c r="C94" s="23"/>
    </row>
    <row r="95" spans="1:3" x14ac:dyDescent="0.35">
      <c r="A95" s="118"/>
      <c r="B95" s="39"/>
      <c r="C95" s="23"/>
    </row>
    <row r="99" spans="10:10" x14ac:dyDescent="0.35">
      <c r="J99" s="136"/>
    </row>
    <row r="100" spans="10:10" x14ac:dyDescent="0.35">
      <c r="J100" s="136"/>
    </row>
    <row r="101" spans="10:10" x14ac:dyDescent="0.35">
      <c r="J101" s="136"/>
    </row>
    <row r="102" spans="10:10" x14ac:dyDescent="0.35">
      <c r="J102" s="136"/>
    </row>
    <row r="103" spans="10:10" x14ac:dyDescent="0.35">
      <c r="J103" s="136"/>
    </row>
    <row r="104" spans="10:10" x14ac:dyDescent="0.35">
      <c r="J104" s="136"/>
    </row>
    <row r="105" spans="10:10" x14ac:dyDescent="0.35">
      <c r="J105" s="136"/>
    </row>
    <row r="106" spans="10:10" x14ac:dyDescent="0.35">
      <c r="J106" s="136"/>
    </row>
    <row r="107" spans="10:10" x14ac:dyDescent="0.35">
      <c r="J107" s="136"/>
    </row>
    <row r="108" spans="10:10" x14ac:dyDescent="0.35">
      <c r="J108" s="136"/>
    </row>
    <row r="109" spans="10:10" x14ac:dyDescent="0.35">
      <c r="J109" s="136"/>
    </row>
    <row r="110" spans="10:10" x14ac:dyDescent="0.35">
      <c r="J110" s="136"/>
    </row>
    <row r="111" spans="10:10" x14ac:dyDescent="0.35">
      <c r="J111" s="136"/>
    </row>
    <row r="112" spans="10:10" x14ac:dyDescent="0.35">
      <c r="J112" s="136"/>
    </row>
    <row r="113" spans="10:10" x14ac:dyDescent="0.35">
      <c r="J113" s="136"/>
    </row>
    <row r="114" spans="10:10" x14ac:dyDescent="0.35">
      <c r="J114" s="136"/>
    </row>
    <row r="115" spans="10:10" x14ac:dyDescent="0.35">
      <c r="J115" s="136"/>
    </row>
    <row r="116" spans="10:10" x14ac:dyDescent="0.35">
      <c r="J116" s="136"/>
    </row>
    <row r="117" spans="10:10" x14ac:dyDescent="0.35">
      <c r="J117" s="136"/>
    </row>
    <row r="118" spans="10:10" x14ac:dyDescent="0.35">
      <c r="J118" s="136"/>
    </row>
    <row r="119" spans="10:10" x14ac:dyDescent="0.35">
      <c r="J119" s="136"/>
    </row>
    <row r="120" spans="10:10" x14ac:dyDescent="0.35">
      <c r="J120" s="136"/>
    </row>
    <row r="121" spans="10:10" x14ac:dyDescent="0.35">
      <c r="J121" s="136"/>
    </row>
    <row r="122" spans="10:10" x14ac:dyDescent="0.35">
      <c r="J122" s="136"/>
    </row>
    <row r="123" spans="10:10" x14ac:dyDescent="0.35">
      <c r="J123" s="136"/>
    </row>
    <row r="124" spans="10:10" x14ac:dyDescent="0.35">
      <c r="J124" s="136"/>
    </row>
    <row r="125" spans="10:10" x14ac:dyDescent="0.35">
      <c r="J125" s="136"/>
    </row>
    <row r="126" spans="10:10" x14ac:dyDescent="0.35">
      <c r="J126" s="136"/>
    </row>
    <row r="127" spans="10:10" x14ac:dyDescent="0.35">
      <c r="J127" s="136"/>
    </row>
    <row r="128" spans="10:10" x14ac:dyDescent="0.35">
      <c r="J128" s="136"/>
    </row>
    <row r="129" spans="10:10" x14ac:dyDescent="0.35">
      <c r="J129" s="136"/>
    </row>
    <row r="130" spans="10:10" x14ac:dyDescent="0.35">
      <c r="J130" s="136"/>
    </row>
    <row r="131" spans="10:10" x14ac:dyDescent="0.35">
      <c r="J131" s="136"/>
    </row>
    <row r="132" spans="10:10" x14ac:dyDescent="0.35">
      <c r="J132" s="136"/>
    </row>
    <row r="133" spans="10:10" x14ac:dyDescent="0.35">
      <c r="J133" s="136"/>
    </row>
    <row r="134" spans="10:10" x14ac:dyDescent="0.35">
      <c r="J134" s="136"/>
    </row>
    <row r="135" spans="10:10" x14ac:dyDescent="0.35">
      <c r="J135" s="136"/>
    </row>
    <row r="136" spans="10:10" x14ac:dyDescent="0.35">
      <c r="J136" s="136"/>
    </row>
    <row r="137" spans="10:10" x14ac:dyDescent="0.35">
      <c r="J137" s="136"/>
    </row>
    <row r="138" spans="10:10" x14ac:dyDescent="0.35">
      <c r="J138" s="136"/>
    </row>
    <row r="139" spans="10:10" x14ac:dyDescent="0.35">
      <c r="J139" s="136"/>
    </row>
    <row r="140" spans="10:10" x14ac:dyDescent="0.35">
      <c r="J140" s="136"/>
    </row>
    <row r="141" spans="10:10" x14ac:dyDescent="0.35">
      <c r="J141" s="136"/>
    </row>
    <row r="142" spans="10:10" x14ac:dyDescent="0.35">
      <c r="J142" s="136"/>
    </row>
    <row r="143" spans="10:10" x14ac:dyDescent="0.35">
      <c r="J143" s="136"/>
    </row>
    <row r="144" spans="10:10" x14ac:dyDescent="0.35">
      <c r="J144" s="136"/>
    </row>
    <row r="145" spans="10:21" x14ac:dyDescent="0.35">
      <c r="J145" s="136"/>
    </row>
    <row r="146" spans="10:21" x14ac:dyDescent="0.35">
      <c r="J146" s="136"/>
    </row>
    <row r="147" spans="10:21" x14ac:dyDescent="0.35">
      <c r="J147" s="136"/>
    </row>
    <row r="148" spans="10:21" x14ac:dyDescent="0.35">
      <c r="J148" s="136"/>
    </row>
    <row r="149" spans="10:21" x14ac:dyDescent="0.35">
      <c r="J149" s="136"/>
    </row>
    <row r="150" spans="10:21" x14ac:dyDescent="0.35">
      <c r="J150" s="136"/>
    </row>
    <row r="151" spans="10:21" x14ac:dyDescent="0.35">
      <c r="J151" s="136"/>
    </row>
    <row r="152" spans="10:21" x14ac:dyDescent="0.35">
      <c r="J152" s="136"/>
    </row>
    <row r="153" spans="10:21" x14ac:dyDescent="0.35">
      <c r="J153" s="136"/>
    </row>
    <row r="154" spans="10:21" x14ac:dyDescent="0.35">
      <c r="J154" s="136"/>
      <c r="U154" s="136"/>
    </row>
    <row r="155" spans="10:21" x14ac:dyDescent="0.35">
      <c r="J155" s="136"/>
    </row>
    <row r="156" spans="10:21" x14ac:dyDescent="0.35">
      <c r="J156" s="136"/>
    </row>
    <row r="157" spans="10:21" x14ac:dyDescent="0.35">
      <c r="J157" s="136"/>
    </row>
    <row r="158" spans="10:21" x14ac:dyDescent="0.35">
      <c r="J158" s="136"/>
    </row>
    <row r="159" spans="10:21" x14ac:dyDescent="0.35">
      <c r="J159" s="136"/>
    </row>
    <row r="160" spans="10:21" x14ac:dyDescent="0.35">
      <c r="J160" s="136"/>
    </row>
    <row r="161" spans="10:10" x14ac:dyDescent="0.35">
      <c r="J161" s="136"/>
    </row>
    <row r="162" spans="10:10" x14ac:dyDescent="0.35">
      <c r="J162" s="136"/>
    </row>
    <row r="163" spans="10:10" x14ac:dyDescent="0.35">
      <c r="J163" s="136"/>
    </row>
    <row r="164" spans="10:10" x14ac:dyDescent="0.35">
      <c r="J164" s="136"/>
    </row>
    <row r="165" spans="10:10" x14ac:dyDescent="0.35">
      <c r="J165" s="136"/>
    </row>
    <row r="166" spans="10:10" x14ac:dyDescent="0.35">
      <c r="J166" s="136"/>
    </row>
    <row r="167" spans="10:10" x14ac:dyDescent="0.35">
      <c r="J167" s="136"/>
    </row>
    <row r="168" spans="10:10" x14ac:dyDescent="0.35">
      <c r="J168" s="136"/>
    </row>
    <row r="169" spans="10:10" x14ac:dyDescent="0.35">
      <c r="J169" s="136"/>
    </row>
    <row r="170" spans="10:10" x14ac:dyDescent="0.35">
      <c r="J170" s="136"/>
    </row>
    <row r="171" spans="10:10" x14ac:dyDescent="0.35">
      <c r="J171" s="136"/>
    </row>
    <row r="172" spans="10:10" x14ac:dyDescent="0.35">
      <c r="J172" s="136"/>
    </row>
    <row r="173" spans="10:10" x14ac:dyDescent="0.35">
      <c r="J173" s="136"/>
    </row>
    <row r="174" spans="10:10" x14ac:dyDescent="0.35">
      <c r="J174" s="136"/>
    </row>
    <row r="175" spans="10:10" x14ac:dyDescent="0.35">
      <c r="J175" s="136"/>
    </row>
    <row r="176" spans="10:10" x14ac:dyDescent="0.35">
      <c r="J176" s="136"/>
    </row>
    <row r="177" spans="10:10" x14ac:dyDescent="0.35">
      <c r="J177" s="136"/>
    </row>
    <row r="178" spans="10:10" x14ac:dyDescent="0.35">
      <c r="J178" s="136"/>
    </row>
    <row r="179" spans="10:10" x14ac:dyDescent="0.35">
      <c r="J179" s="136"/>
    </row>
    <row r="180" spans="10:10" x14ac:dyDescent="0.35">
      <c r="J180" s="136"/>
    </row>
    <row r="181" spans="10:10" x14ac:dyDescent="0.35">
      <c r="J181" s="136"/>
    </row>
    <row r="182" spans="10:10" x14ac:dyDescent="0.35">
      <c r="J182" s="136"/>
    </row>
    <row r="183" spans="10:10" x14ac:dyDescent="0.35">
      <c r="J183" s="136"/>
    </row>
    <row r="184" spans="10:10" x14ac:dyDescent="0.35">
      <c r="J184" s="136"/>
    </row>
    <row r="185" spans="10:10" x14ac:dyDescent="0.35">
      <c r="J185" s="136"/>
    </row>
    <row r="186" spans="10:10" x14ac:dyDescent="0.35">
      <c r="J186" s="136"/>
    </row>
    <row r="187" spans="10:10" x14ac:dyDescent="0.35">
      <c r="J187" s="136"/>
    </row>
    <row r="188" spans="10:10" x14ac:dyDescent="0.35">
      <c r="J188" s="136"/>
    </row>
    <row r="189" spans="10:10" x14ac:dyDescent="0.35">
      <c r="J189" s="136"/>
    </row>
    <row r="190" spans="10:10" x14ac:dyDescent="0.35">
      <c r="J190" s="136"/>
    </row>
    <row r="191" spans="10:10" x14ac:dyDescent="0.35">
      <c r="J191" s="136"/>
    </row>
    <row r="192" spans="10:10" x14ac:dyDescent="0.35">
      <c r="J192" s="136"/>
    </row>
    <row r="193" spans="10:10" x14ac:dyDescent="0.35">
      <c r="J193" s="136"/>
    </row>
    <row r="194" spans="10:10" x14ac:dyDescent="0.35">
      <c r="J194" s="136"/>
    </row>
    <row r="195" spans="10:10" x14ac:dyDescent="0.35">
      <c r="J195" s="136"/>
    </row>
    <row r="196" spans="10:10" x14ac:dyDescent="0.35">
      <c r="J196" s="136"/>
    </row>
    <row r="197" spans="10:10" x14ac:dyDescent="0.35">
      <c r="J197" s="136"/>
    </row>
    <row r="198" spans="10:10" x14ac:dyDescent="0.35">
      <c r="J198" s="136"/>
    </row>
    <row r="199" spans="10:10" x14ac:dyDescent="0.35">
      <c r="J199" s="136"/>
    </row>
    <row r="200" spans="10:10" x14ac:dyDescent="0.35">
      <c r="J200" s="136"/>
    </row>
    <row r="201" spans="10:10" x14ac:dyDescent="0.35">
      <c r="J201" s="136"/>
    </row>
    <row r="202" spans="10:10" x14ac:dyDescent="0.35">
      <c r="J202" s="136"/>
    </row>
    <row r="203" spans="10:10" x14ac:dyDescent="0.35">
      <c r="J203" s="136"/>
    </row>
    <row r="204" spans="10:10" x14ac:dyDescent="0.35">
      <c r="J204" s="136"/>
    </row>
    <row r="205" spans="10:10" x14ac:dyDescent="0.35">
      <c r="J205" s="136"/>
    </row>
    <row r="206" spans="10:10" x14ac:dyDescent="0.35">
      <c r="J206" s="136"/>
    </row>
    <row r="207" spans="10:10" x14ac:dyDescent="0.35">
      <c r="J207" s="136"/>
    </row>
    <row r="208" spans="10:10" x14ac:dyDescent="0.35">
      <c r="J208" s="136"/>
    </row>
    <row r="209" spans="10:10" x14ac:dyDescent="0.35">
      <c r="J209" s="136"/>
    </row>
    <row r="210" spans="10:10" x14ac:dyDescent="0.35">
      <c r="J210" s="136"/>
    </row>
    <row r="211" spans="10:10" x14ac:dyDescent="0.35">
      <c r="J211" s="136"/>
    </row>
    <row r="212" spans="10:10" x14ac:dyDescent="0.35">
      <c r="J212" s="136"/>
    </row>
    <row r="213" spans="10:10" x14ac:dyDescent="0.35">
      <c r="J213" s="136"/>
    </row>
    <row r="214" spans="10:10" x14ac:dyDescent="0.35">
      <c r="J214" s="136"/>
    </row>
    <row r="215" spans="10:10" x14ac:dyDescent="0.35">
      <c r="J215" s="136"/>
    </row>
    <row r="216" spans="10:10" x14ac:dyDescent="0.35">
      <c r="J216" s="136"/>
    </row>
    <row r="217" spans="10:10" x14ac:dyDescent="0.35">
      <c r="J217" s="136"/>
    </row>
    <row r="218" spans="10:10" x14ac:dyDescent="0.35">
      <c r="J218" s="136"/>
    </row>
    <row r="219" spans="10:10" x14ac:dyDescent="0.35">
      <c r="J219" s="136"/>
    </row>
    <row r="220" spans="10:10" x14ac:dyDescent="0.35">
      <c r="J220" s="136"/>
    </row>
    <row r="221" spans="10:10" x14ac:dyDescent="0.35">
      <c r="J221" s="136"/>
    </row>
    <row r="222" spans="10:10" x14ac:dyDescent="0.35">
      <c r="J222" s="136"/>
    </row>
    <row r="223" spans="10:10" x14ac:dyDescent="0.35">
      <c r="J223" s="136"/>
    </row>
    <row r="224" spans="10:10" x14ac:dyDescent="0.35">
      <c r="J224" s="136"/>
    </row>
    <row r="225" spans="10:10" x14ac:dyDescent="0.35">
      <c r="J225" s="136"/>
    </row>
    <row r="226" spans="10:10" x14ac:dyDescent="0.35">
      <c r="J226" s="136"/>
    </row>
    <row r="227" spans="10:10" x14ac:dyDescent="0.35">
      <c r="J227" s="136"/>
    </row>
    <row r="228" spans="10:10" x14ac:dyDescent="0.35">
      <c r="J228" s="136"/>
    </row>
    <row r="229" spans="10:10" x14ac:dyDescent="0.35">
      <c r="J229" s="136"/>
    </row>
    <row r="230" spans="10:10" x14ac:dyDescent="0.35">
      <c r="J230" s="136"/>
    </row>
    <row r="231" spans="10:10" x14ac:dyDescent="0.35">
      <c r="J231" s="136"/>
    </row>
    <row r="232" spans="10:10" x14ac:dyDescent="0.35">
      <c r="J232" s="136"/>
    </row>
    <row r="233" spans="10:10" x14ac:dyDescent="0.35">
      <c r="J233" s="136"/>
    </row>
    <row r="234" spans="10:10" x14ac:dyDescent="0.35">
      <c r="J234" s="136"/>
    </row>
    <row r="235" spans="10:10" x14ac:dyDescent="0.35">
      <c r="J235" s="136"/>
    </row>
    <row r="236" spans="10:10" x14ac:dyDescent="0.35">
      <c r="J236" s="136"/>
    </row>
    <row r="237" spans="10:10" x14ac:dyDescent="0.35">
      <c r="J237" s="136"/>
    </row>
    <row r="238" spans="10:10" x14ac:dyDescent="0.35">
      <c r="J238" s="136"/>
    </row>
    <row r="239" spans="10:10" x14ac:dyDescent="0.35">
      <c r="J239" s="136"/>
    </row>
    <row r="240" spans="10:10" x14ac:dyDescent="0.35">
      <c r="J240" s="136"/>
    </row>
    <row r="241" spans="10:10" x14ac:dyDescent="0.35">
      <c r="J241" s="136"/>
    </row>
    <row r="242" spans="10:10" x14ac:dyDescent="0.35">
      <c r="J242" s="136"/>
    </row>
    <row r="243" spans="10:10" x14ac:dyDescent="0.35">
      <c r="J243" s="136"/>
    </row>
    <row r="244" spans="10:10" x14ac:dyDescent="0.35">
      <c r="J244" s="136"/>
    </row>
    <row r="245" spans="10:10" x14ac:dyDescent="0.35">
      <c r="J245" s="136"/>
    </row>
    <row r="246" spans="10:10" x14ac:dyDescent="0.35">
      <c r="J246" s="136"/>
    </row>
    <row r="247" spans="10:10" x14ac:dyDescent="0.35">
      <c r="J247" s="136"/>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1F8A-8EF7-4612-B71D-277AE53FCDC6}">
  <sheetPr codeName="Sheet28"/>
  <dimension ref="A1:AA247"/>
  <sheetViews>
    <sheetView topLeftCell="D18" workbookViewId="0">
      <selection activeCell="O36" sqref="O36"/>
    </sheetView>
  </sheetViews>
  <sheetFormatPr defaultRowHeight="14.5" x14ac:dyDescent="0.35"/>
  <cols>
    <col min="1" max="1" width="26.26953125" customWidth="1"/>
    <col min="2" max="2" width="18" customWidth="1"/>
    <col min="3" max="3" width="19.81640625" customWidth="1"/>
    <col min="4" max="4" width="22" customWidth="1"/>
    <col min="5" max="5" width="17.54296875" customWidth="1"/>
    <col min="6" max="6" width="19.1796875" customWidth="1"/>
    <col min="7" max="7" width="15.54296875" customWidth="1"/>
    <col min="8" max="8" width="13.7265625" customWidth="1"/>
    <col min="9" max="9" width="22.1796875" customWidth="1"/>
    <col min="10" max="10" width="19.26953125" customWidth="1"/>
    <col min="11" max="11" width="13.81640625" customWidth="1"/>
    <col min="12" max="12" width="24.81640625" customWidth="1"/>
    <col min="13" max="13" width="17.1796875" customWidth="1"/>
    <col min="14" max="14" width="21.1796875" customWidth="1"/>
    <col min="15" max="15" width="18.7265625" customWidth="1"/>
    <col min="16" max="16" width="17.81640625" customWidth="1"/>
    <col min="17" max="17" width="15.453125" customWidth="1"/>
    <col min="18" max="18" width="11.26953125" customWidth="1"/>
    <col min="19" max="19" width="12.54296875" customWidth="1"/>
    <col min="21" max="21" width="12.1796875" bestFit="1" customWidth="1"/>
    <col min="22" max="22" width="10.1796875" bestFit="1" customWidth="1"/>
  </cols>
  <sheetData>
    <row r="1" spans="1:24" ht="18.5" x14ac:dyDescent="0.45">
      <c r="A1" s="1" t="s">
        <v>76</v>
      </c>
      <c r="B1" s="1"/>
      <c r="D1" s="117"/>
      <c r="G1" s="25"/>
      <c r="J1" s="166"/>
      <c r="N1" s="26">
        <f>75 * 96.2%</f>
        <v>72.150000000000006</v>
      </c>
    </row>
    <row r="2" spans="1:24" ht="15.5" x14ac:dyDescent="0.35">
      <c r="A2" s="1" t="s">
        <v>92</v>
      </c>
      <c r="B2" s="58">
        <v>20</v>
      </c>
      <c r="D2" s="280" t="s">
        <v>239</v>
      </c>
      <c r="E2" s="170" t="s">
        <v>240</v>
      </c>
      <c r="G2" s="1" t="s">
        <v>89</v>
      </c>
    </row>
    <row r="3" spans="1:24" x14ac:dyDescent="0.35">
      <c r="A3" s="1" t="s">
        <v>86</v>
      </c>
      <c r="B3" s="83">
        <v>3</v>
      </c>
      <c r="C3" s="5" t="s">
        <v>244</v>
      </c>
      <c r="D3" s="148">
        <v>0.02</v>
      </c>
      <c r="E3" s="277">
        <v>0.27455153999999998</v>
      </c>
      <c r="G3" t="s">
        <v>74</v>
      </c>
      <c r="H3" t="s">
        <v>12</v>
      </c>
      <c r="I3" t="s">
        <v>9</v>
      </c>
    </row>
    <row r="4" spans="1:24" ht="18.5" x14ac:dyDescent="0.45">
      <c r="A4" t="s">
        <v>87</v>
      </c>
      <c r="B4" s="171">
        <v>3.9E-2</v>
      </c>
      <c r="C4" s="5" t="s">
        <v>274</v>
      </c>
      <c r="D4" s="148">
        <v>5.1999999999999998E-2</v>
      </c>
      <c r="E4" s="281">
        <v>2.52433006</v>
      </c>
      <c r="G4" s="249">
        <f>BaseB!N25</f>
        <v>0.5</v>
      </c>
      <c r="H4" s="90">
        <f>Bonus_Game1!H4</f>
        <v>0.29659999999999997</v>
      </c>
      <c r="I4" s="158">
        <f>G4 * H4</f>
        <v>0.14829999999999999</v>
      </c>
      <c r="L4" s="6"/>
    </row>
    <row r="5" spans="1:24" ht="18.5" x14ac:dyDescent="0.45">
      <c r="B5" s="171"/>
      <c r="E5" s="23"/>
      <c r="G5" s="249">
        <f>BaseB!N26</f>
        <v>1</v>
      </c>
      <c r="H5" s="90">
        <f>Bonus_Game1!H5</f>
        <v>0.3</v>
      </c>
      <c r="I5" s="158">
        <f t="shared" ref="I5:I24" si="0">G5 * H5</f>
        <v>0.3</v>
      </c>
      <c r="L5" s="6"/>
      <c r="R5" s="132"/>
      <c r="S5" s="132"/>
    </row>
    <row r="6" spans="1:24" x14ac:dyDescent="0.35">
      <c r="G6" s="249">
        <f>BaseB!N27</f>
        <v>1.5</v>
      </c>
      <c r="H6" s="90">
        <f>Bonus_Game1!H6</f>
        <v>0.13</v>
      </c>
      <c r="I6" s="158">
        <f t="shared" si="0"/>
        <v>0.19500000000000001</v>
      </c>
      <c r="L6" s="6"/>
      <c r="R6" s="132"/>
      <c r="S6" s="132"/>
    </row>
    <row r="7" spans="1:24" x14ac:dyDescent="0.35">
      <c r="A7" s="50" t="s">
        <v>81</v>
      </c>
      <c r="G7" s="249">
        <f>BaseB!N28</f>
        <v>2</v>
      </c>
      <c r="H7" s="90">
        <f>Bonus_Game1!H7</f>
        <v>0.09</v>
      </c>
      <c r="I7" s="158">
        <f t="shared" si="0"/>
        <v>0.18</v>
      </c>
      <c r="L7" s="6"/>
      <c r="S7" s="132"/>
      <c r="U7" s="7"/>
    </row>
    <row r="8" spans="1:24" x14ac:dyDescent="0.35">
      <c r="A8" s="134" t="s">
        <v>1</v>
      </c>
      <c r="B8" s="135" t="s">
        <v>2</v>
      </c>
      <c r="C8" s="134" t="s">
        <v>3</v>
      </c>
      <c r="D8" s="135" t="s">
        <v>4</v>
      </c>
      <c r="E8" s="134" t="s">
        <v>5</v>
      </c>
      <c r="G8" s="249">
        <f>BaseB!N29</f>
        <v>2.5</v>
      </c>
      <c r="H8" s="90">
        <f>Bonus_Game1!H8</f>
        <v>0.05</v>
      </c>
      <c r="I8" s="158">
        <f t="shared" si="0"/>
        <v>0.125</v>
      </c>
      <c r="L8" s="6"/>
      <c r="S8" s="132"/>
      <c r="U8" s="7"/>
    </row>
    <row r="9" spans="1:24" x14ac:dyDescent="0.35">
      <c r="A9" s="156">
        <f>$B$4</f>
        <v>3.9E-2</v>
      </c>
      <c r="B9" s="156">
        <f t="shared" ref="B9:E12" si="1">$B$4</f>
        <v>3.9E-2</v>
      </c>
      <c r="C9" s="156">
        <f t="shared" si="1"/>
        <v>3.9E-2</v>
      </c>
      <c r="D9" s="156">
        <f t="shared" si="1"/>
        <v>3.9E-2</v>
      </c>
      <c r="E9" s="156">
        <f t="shared" si="1"/>
        <v>3.9E-2</v>
      </c>
      <c r="G9" s="249">
        <f>BaseB!N30</f>
        <v>3</v>
      </c>
      <c r="H9" s="90">
        <f>Bonus_Game1!H9</f>
        <v>0.03</v>
      </c>
      <c r="I9" s="158">
        <f t="shared" si="0"/>
        <v>0.09</v>
      </c>
      <c r="L9" s="6"/>
      <c r="S9" s="132"/>
      <c r="U9" s="7"/>
    </row>
    <row r="10" spans="1:24" x14ac:dyDescent="0.35">
      <c r="A10" s="156">
        <f t="shared" ref="A10:A12" si="2">$B$4</f>
        <v>3.9E-2</v>
      </c>
      <c r="B10" s="156">
        <f t="shared" si="1"/>
        <v>3.9E-2</v>
      </c>
      <c r="C10" s="156">
        <f t="shared" si="1"/>
        <v>3.9E-2</v>
      </c>
      <c r="D10" s="156">
        <f t="shared" si="1"/>
        <v>3.9E-2</v>
      </c>
      <c r="E10" s="156">
        <f t="shared" si="1"/>
        <v>3.9E-2</v>
      </c>
      <c r="G10" s="249">
        <f>BaseB!N31</f>
        <v>3.5</v>
      </c>
      <c r="H10" s="90">
        <f>Bonus_Game1!H10</f>
        <v>0.02</v>
      </c>
      <c r="I10" s="158">
        <f t="shared" si="0"/>
        <v>7.0000000000000007E-2</v>
      </c>
      <c r="L10" s="6"/>
      <c r="S10" s="132"/>
      <c r="U10" s="7"/>
      <c r="X10" s="18"/>
    </row>
    <row r="11" spans="1:24" x14ac:dyDescent="0.35">
      <c r="A11" s="156">
        <f t="shared" si="2"/>
        <v>3.9E-2</v>
      </c>
      <c r="B11" s="156">
        <f t="shared" si="1"/>
        <v>3.9E-2</v>
      </c>
      <c r="C11" s="156">
        <f t="shared" si="1"/>
        <v>3.9E-2</v>
      </c>
      <c r="D11" s="156">
        <f t="shared" si="1"/>
        <v>3.9E-2</v>
      </c>
      <c r="E11" s="156">
        <f t="shared" si="1"/>
        <v>3.9E-2</v>
      </c>
      <c r="G11" s="249">
        <f>BaseB!N32</f>
        <v>4</v>
      </c>
      <c r="H11" s="90">
        <f>Bonus_Game1!H11</f>
        <v>1.4999999999999999E-2</v>
      </c>
      <c r="I11" s="158">
        <f t="shared" si="0"/>
        <v>0.06</v>
      </c>
      <c r="L11" s="6"/>
      <c r="S11" s="132"/>
      <c r="U11" s="40"/>
    </row>
    <row r="12" spans="1:24" x14ac:dyDescent="0.35">
      <c r="A12" s="156">
        <f t="shared" si="2"/>
        <v>3.9E-2</v>
      </c>
      <c r="B12" s="156">
        <f t="shared" si="1"/>
        <v>3.9E-2</v>
      </c>
      <c r="C12" s="156">
        <f t="shared" si="1"/>
        <v>3.9E-2</v>
      </c>
      <c r="D12" s="156">
        <f t="shared" si="1"/>
        <v>3.9E-2</v>
      </c>
      <c r="E12" s="156">
        <f t="shared" si="1"/>
        <v>3.9E-2</v>
      </c>
      <c r="G12" s="249">
        <f>BaseB!N33</f>
        <v>5</v>
      </c>
      <c r="H12" s="90">
        <f>Bonus_Game1!H12</f>
        <v>1.4E-2</v>
      </c>
      <c r="I12" s="158">
        <f t="shared" si="0"/>
        <v>7.0000000000000007E-2</v>
      </c>
      <c r="L12" s="6"/>
      <c r="S12" s="132"/>
    </row>
    <row r="13" spans="1:24" x14ac:dyDescent="0.35">
      <c r="A13" s="1" t="s">
        <v>88</v>
      </c>
      <c r="B13" s="155">
        <f>1-B4</f>
        <v>0.96099999999999997</v>
      </c>
      <c r="D13" s="50"/>
      <c r="E13" s="50"/>
      <c r="F13" s="50"/>
      <c r="G13" s="249">
        <f>BaseB!N34</f>
        <v>6</v>
      </c>
      <c r="H13" s="90">
        <f>Bonus_Game1!H13</f>
        <v>1.2E-2</v>
      </c>
      <c r="I13" s="158">
        <f t="shared" si="0"/>
        <v>7.2000000000000008E-2</v>
      </c>
      <c r="L13" s="6"/>
      <c r="R13" s="50"/>
      <c r="S13" s="50"/>
      <c r="T13" s="50"/>
      <c r="W13" s="1"/>
    </row>
    <row r="14" spans="1:24" x14ac:dyDescent="0.35">
      <c r="G14" s="249">
        <f>BaseB!N35</f>
        <v>7</v>
      </c>
      <c r="H14" s="90">
        <f>Bonus_Game1!H14</f>
        <v>0.01</v>
      </c>
      <c r="I14" s="158">
        <f t="shared" si="0"/>
        <v>7.0000000000000007E-2</v>
      </c>
      <c r="L14" s="6"/>
    </row>
    <row r="15" spans="1:24" x14ac:dyDescent="0.35">
      <c r="A15" t="s">
        <v>90</v>
      </c>
      <c r="B15" s="129">
        <f>B13^B2</f>
        <v>0.45130251461102172</v>
      </c>
      <c r="C15" s="9"/>
      <c r="D15" s="9"/>
      <c r="E15" s="9"/>
      <c r="G15" s="249">
        <f>BaseB!N36</f>
        <v>8</v>
      </c>
      <c r="H15" s="90">
        <f>Bonus_Game1!H15</f>
        <v>8.0000000000000002E-3</v>
      </c>
      <c r="I15" s="158">
        <f t="shared" si="0"/>
        <v>6.4000000000000001E-2</v>
      </c>
      <c r="L15" s="6"/>
      <c r="R15" s="1"/>
      <c r="S15" s="1"/>
      <c r="T15" s="1"/>
      <c r="U15" s="1"/>
      <c r="V15" s="1"/>
    </row>
    <row r="16" spans="1:24" x14ac:dyDescent="0.35">
      <c r="B16" s="133"/>
      <c r="C16" s="2"/>
      <c r="D16" s="116"/>
      <c r="E16" s="2"/>
      <c r="G16" s="249">
        <f>BaseB!N37</f>
        <v>9</v>
      </c>
      <c r="H16" s="90">
        <f>Bonus_Game1!H16</f>
        <v>6.0000000000000001E-3</v>
      </c>
      <c r="I16" s="158">
        <f t="shared" si="0"/>
        <v>5.3999999999999999E-2</v>
      </c>
      <c r="L16" s="6"/>
      <c r="U16" s="1"/>
      <c r="V16" s="1"/>
    </row>
    <row r="17" spans="1:25" x14ac:dyDescent="0.35">
      <c r="A17" t="s">
        <v>278</v>
      </c>
      <c r="B17" s="206">
        <f>B30</f>
        <v>4.9826599999999999E-3</v>
      </c>
      <c r="C17" s="2"/>
      <c r="D17" s="116"/>
      <c r="E17" s="2"/>
      <c r="G17" s="249">
        <f>BaseB!N38</f>
        <v>10</v>
      </c>
      <c r="H17" s="90">
        <f>Bonus_Game1!H17</f>
        <v>5.0000000000000001E-3</v>
      </c>
      <c r="I17" s="158">
        <f t="shared" si="0"/>
        <v>0.05</v>
      </c>
      <c r="L17" s="6"/>
      <c r="U17" s="1"/>
      <c r="V17" s="1"/>
    </row>
    <row r="18" spans="1:25" x14ac:dyDescent="0.35">
      <c r="B18" s="103"/>
      <c r="C18" s="2"/>
      <c r="D18" s="116"/>
      <c r="E18" s="2"/>
      <c r="G18" s="249">
        <f>BaseB!N39</f>
        <v>12</v>
      </c>
      <c r="H18" s="90">
        <f>Bonus_Game1!H18</f>
        <v>4.0000000000000001E-3</v>
      </c>
      <c r="I18" s="158">
        <f t="shared" si="0"/>
        <v>4.8000000000000001E-2</v>
      </c>
      <c r="L18" s="6"/>
      <c r="U18" s="1"/>
      <c r="V18" s="1"/>
    </row>
    <row r="19" spans="1:25" x14ac:dyDescent="0.35">
      <c r="B19" s="104"/>
      <c r="C19" s="2"/>
      <c r="D19" s="116"/>
      <c r="E19" s="2"/>
      <c r="G19" s="249">
        <f>BaseB!N40</f>
        <v>15</v>
      </c>
      <c r="H19" s="90">
        <f>Bonus_Game1!H19</f>
        <v>3.0000000000000001E-3</v>
      </c>
      <c r="I19" s="158">
        <f t="shared" si="0"/>
        <v>4.4999999999999998E-2</v>
      </c>
      <c r="L19" s="6"/>
      <c r="U19" s="1"/>
      <c r="V19" s="1"/>
    </row>
    <row r="20" spans="1:25" x14ac:dyDescent="0.35">
      <c r="B20" s="133"/>
      <c r="C20" s="2"/>
      <c r="D20" s="116"/>
      <c r="E20" s="2"/>
      <c r="G20" s="249">
        <f>BaseB!N41</f>
        <v>20</v>
      </c>
      <c r="H20" s="90">
        <f>Bonus_Game1!H20</f>
        <v>2.5000000000000001E-3</v>
      </c>
      <c r="I20" s="158">
        <f t="shared" si="0"/>
        <v>0.05</v>
      </c>
      <c r="L20" s="6"/>
      <c r="U20" s="1"/>
      <c r="V20" s="1"/>
    </row>
    <row r="21" spans="1:25" x14ac:dyDescent="0.35">
      <c r="A21" t="s">
        <v>91</v>
      </c>
      <c r="B21" s="43">
        <f>I71</f>
        <v>18.26144219</v>
      </c>
      <c r="C21" s="29"/>
      <c r="G21" s="249">
        <f>BaseB!N42</f>
        <v>25</v>
      </c>
      <c r="H21" s="90">
        <f>Bonus_Game1!H21</f>
        <v>2E-3</v>
      </c>
      <c r="I21" s="158">
        <f t="shared" si="0"/>
        <v>0.05</v>
      </c>
      <c r="L21" s="6"/>
      <c r="U21" s="1"/>
      <c r="V21" s="1"/>
    </row>
    <row r="22" spans="1:25" x14ac:dyDescent="0.35">
      <c r="A22" t="s">
        <v>115</v>
      </c>
      <c r="B22" s="133">
        <f>D71</f>
        <v>34.120454680000009</v>
      </c>
      <c r="C22" s="29"/>
      <c r="G22" s="249">
        <f>BaseB!N43</f>
        <v>30</v>
      </c>
      <c r="H22" s="90">
        <f>Bonus_Game1!H22</f>
        <v>1E-3</v>
      </c>
      <c r="I22" s="158">
        <f t="shared" si="0"/>
        <v>0.03</v>
      </c>
      <c r="L22" s="6"/>
      <c r="U22" s="1"/>
      <c r="V22" s="1"/>
    </row>
    <row r="23" spans="1:25" x14ac:dyDescent="0.35">
      <c r="B23" s="133"/>
      <c r="C23" s="29"/>
      <c r="E23" s="3"/>
      <c r="G23" s="249">
        <f>BaseB!N44</f>
        <v>40</v>
      </c>
      <c r="H23" s="90">
        <f>Bonus_Game1!H23</f>
        <v>5.0000000000000001E-4</v>
      </c>
      <c r="I23" s="158">
        <f t="shared" si="0"/>
        <v>0.02</v>
      </c>
      <c r="L23" s="6"/>
    </row>
    <row r="24" spans="1:25" x14ac:dyDescent="0.35">
      <c r="A24" t="s">
        <v>114</v>
      </c>
      <c r="B24" s="15">
        <f>E71</f>
        <v>100000000</v>
      </c>
      <c r="D24" s="15"/>
      <c r="G24" s="249">
        <f>BaseB!N45</f>
        <v>50</v>
      </c>
      <c r="H24" s="90">
        <f>Bonus_Game1!H24</f>
        <v>4.0000000000000002E-4</v>
      </c>
      <c r="I24" s="158">
        <f t="shared" si="0"/>
        <v>0.02</v>
      </c>
      <c r="L24" s="6"/>
      <c r="X24" s="1"/>
      <c r="Y24" s="143"/>
    </row>
    <row r="25" spans="1:25" x14ac:dyDescent="0.35">
      <c r="B25" s="206"/>
      <c r="C25" s="29"/>
      <c r="D25" s="167"/>
      <c r="G25" s="11"/>
      <c r="H25" s="246"/>
      <c r="I25" s="158"/>
      <c r="L25" s="6"/>
    </row>
    <row r="26" spans="1:25" x14ac:dyDescent="0.35">
      <c r="B26" s="27"/>
      <c r="C26" s="297"/>
      <c r="H26" s="157">
        <f>SUM(H4:H25)</f>
        <v>1</v>
      </c>
      <c r="I26" s="191">
        <f>SUM(I4:I25)</f>
        <v>1.8113000000000006</v>
      </c>
      <c r="J26" s="137"/>
    </row>
    <row r="27" spans="1:25" x14ac:dyDescent="0.35">
      <c r="B27" s="15"/>
    </row>
    <row r="28" spans="1:25" x14ac:dyDescent="0.35">
      <c r="I28" s="43"/>
      <c r="J28" s="43"/>
      <c r="K28" s="43"/>
      <c r="L28" s="43"/>
      <c r="M28" s="43"/>
      <c r="N28" s="43"/>
      <c r="O28" s="43"/>
    </row>
    <row r="29" spans="1:25" x14ac:dyDescent="0.35">
      <c r="A29" s="9" t="s">
        <v>120</v>
      </c>
      <c r="B29" s="9" t="s">
        <v>12</v>
      </c>
      <c r="C29" s="9" t="s">
        <v>113</v>
      </c>
      <c r="D29" s="9" t="s">
        <v>9</v>
      </c>
      <c r="E29" s="9" t="s">
        <v>121</v>
      </c>
      <c r="F29" s="9" t="s">
        <v>122</v>
      </c>
      <c r="I29" s="9" t="s">
        <v>116</v>
      </c>
      <c r="J29" s="43" t="s">
        <v>123</v>
      </c>
      <c r="K29" s="43"/>
      <c r="L29" t="s">
        <v>241</v>
      </c>
      <c r="M29" s="7">
        <f>Bonus_Game3!M29</f>
        <v>0.16</v>
      </c>
      <c r="N29" s="43"/>
      <c r="O29" s="43"/>
    </row>
    <row r="30" spans="1:25" x14ac:dyDescent="0.35">
      <c r="A30" s="11">
        <v>0</v>
      </c>
      <c r="B30" s="165">
        <f t="shared" ref="B30:B50" si="3">E30/E$71</f>
        <v>4.9826599999999999E-3</v>
      </c>
      <c r="C30" s="163">
        <v>0</v>
      </c>
      <c r="D30" s="159">
        <f>B30 * C30</f>
        <v>0</v>
      </c>
      <c r="E30">
        <v>498266</v>
      </c>
      <c r="F30">
        <v>0</v>
      </c>
      <c r="I30" s="5">
        <f t="shared" ref="I30:I50" si="4">A30 * B30</f>
        <v>0</v>
      </c>
      <c r="J30" s="15">
        <f t="shared" ref="J30:J50" si="5">E$71/E30</f>
        <v>200.69601377577439</v>
      </c>
      <c r="K30" s="43"/>
      <c r="L30" s="15"/>
      <c r="N30" s="43"/>
      <c r="O30" s="43"/>
    </row>
    <row r="31" spans="1:25" x14ac:dyDescent="0.35">
      <c r="A31" s="11">
        <v>1</v>
      </c>
      <c r="B31" s="165">
        <f t="shared" si="3"/>
        <v>5.3539900000000003E-3</v>
      </c>
      <c r="C31" s="52">
        <f xml:space="preserve"> F31 /  (  B$24  * B31  )</f>
        <v>1.8044747935651728</v>
      </c>
      <c r="D31" s="159">
        <f t="shared" ref="D31:D50" si="6">B31 * C31</f>
        <v>9.6611400000000004E-3</v>
      </c>
      <c r="E31">
        <v>535399</v>
      </c>
      <c r="F31">
        <v>966114</v>
      </c>
      <c r="I31" s="5">
        <f t="shared" si="4"/>
        <v>5.3539900000000003E-3</v>
      </c>
      <c r="J31" s="15">
        <f t="shared" si="5"/>
        <v>186.77659091630727</v>
      </c>
      <c r="K31" s="43"/>
      <c r="L31" s="43"/>
      <c r="M31" s="43"/>
      <c r="N31" s="43"/>
      <c r="O31" s="43"/>
    </row>
    <row r="32" spans="1:25" x14ac:dyDescent="0.35">
      <c r="A32" s="11">
        <v>2</v>
      </c>
      <c r="B32" s="165">
        <f t="shared" si="3"/>
        <v>7.2007399999999997E-3</v>
      </c>
      <c r="C32" s="52">
        <f t="shared" ref="C32:C50" si="7" xml:space="preserve"> F32 /  (  B$24  * B32  )</f>
        <v>3.6234019003602409</v>
      </c>
      <c r="D32" s="159">
        <f t="shared" si="6"/>
        <v>2.6091175000000001E-2</v>
      </c>
      <c r="E32">
        <v>720074</v>
      </c>
      <c r="F32">
        <v>2609117.5</v>
      </c>
      <c r="I32" s="5">
        <f t="shared" si="4"/>
        <v>1.4401479999999999E-2</v>
      </c>
      <c r="J32" s="15">
        <f t="shared" si="5"/>
        <v>138.87461566450114</v>
      </c>
      <c r="K32" s="43"/>
      <c r="L32" s="9" t="s">
        <v>198</v>
      </c>
      <c r="M32" s="266" t="s">
        <v>199</v>
      </c>
      <c r="N32" s="9" t="s">
        <v>206</v>
      </c>
      <c r="O32" s="9" t="s">
        <v>12</v>
      </c>
      <c r="P32" s="9"/>
    </row>
    <row r="33" spans="1:27" x14ac:dyDescent="0.35">
      <c r="A33" s="11">
        <v>3</v>
      </c>
      <c r="B33" s="165">
        <f t="shared" si="3"/>
        <v>9.0854400000000002E-3</v>
      </c>
      <c r="C33" s="52">
        <f t="shared" si="7"/>
        <v>5.4436648087489434</v>
      </c>
      <c r="D33" s="159">
        <f t="shared" si="6"/>
        <v>4.9458090000000003E-2</v>
      </c>
      <c r="E33">
        <v>908544</v>
      </c>
      <c r="F33">
        <v>4945809</v>
      </c>
      <c r="I33" s="5">
        <f t="shared" si="4"/>
        <v>2.7256320000000001E-2</v>
      </c>
      <c r="J33" s="15">
        <f t="shared" si="5"/>
        <v>110.0662158354466</v>
      </c>
      <c r="K33" s="43"/>
      <c r="L33" s="260" t="str">
        <f>Bonus_Game1!L33</f>
        <v>Mini</v>
      </c>
      <c r="M33" s="269">
        <f>Bonus_Game1!M33</f>
        <v>2</v>
      </c>
      <c r="N33" s="268">
        <f>Bonus_Game1!N33</f>
        <v>0.26</v>
      </c>
      <c r="O33" s="72">
        <v>5.2776780000000002E-2</v>
      </c>
    </row>
    <row r="34" spans="1:27" x14ac:dyDescent="0.35">
      <c r="A34" s="11">
        <v>4</v>
      </c>
      <c r="B34" s="165">
        <f t="shared" si="3"/>
        <v>1.122681E-2</v>
      </c>
      <c r="C34" s="52">
        <f t="shared" si="7"/>
        <v>7.2679189369019337</v>
      </c>
      <c r="D34" s="159">
        <f t="shared" si="6"/>
        <v>8.1595545000000005E-2</v>
      </c>
      <c r="E34">
        <v>1122681</v>
      </c>
      <c r="F34">
        <v>8159554.5</v>
      </c>
      <c r="I34" s="5">
        <f t="shared" si="4"/>
        <v>4.4907240000000001E-2</v>
      </c>
      <c r="J34" s="15">
        <f t="shared" si="5"/>
        <v>89.07249699603004</v>
      </c>
      <c r="K34" s="43"/>
      <c r="L34" s="260" t="str">
        <f>Bonus_Game1!L34</f>
        <v>Midi</v>
      </c>
      <c r="M34" s="269">
        <f>Bonus_Game1!M34</f>
        <v>3</v>
      </c>
      <c r="N34" s="268">
        <f>Bonus_Game1!N34</f>
        <v>0.31</v>
      </c>
      <c r="O34" s="72">
        <v>1.063804E-2</v>
      </c>
    </row>
    <row r="35" spans="1:27" x14ac:dyDescent="0.35">
      <c r="A35" s="11">
        <v>5</v>
      </c>
      <c r="B35" s="165">
        <f t="shared" si="3"/>
        <v>1.3660469999999999E-2</v>
      </c>
      <c r="C35" s="52">
        <f t="shared" si="7"/>
        <v>9.0860296168433443</v>
      </c>
      <c r="D35" s="159">
        <f t="shared" si="6"/>
        <v>0.12411943499999999</v>
      </c>
      <c r="E35">
        <v>1366047</v>
      </c>
      <c r="F35">
        <v>12411943.5</v>
      </c>
      <c r="I35" s="5">
        <f t="shared" si="4"/>
        <v>6.8302349999999998E-2</v>
      </c>
      <c r="J35" s="15">
        <f t="shared" si="5"/>
        <v>73.203923437480555</v>
      </c>
      <c r="K35" s="43"/>
      <c r="L35" s="260" t="str">
        <f>Bonus_Game1!L35</f>
        <v>Maxi</v>
      </c>
      <c r="M35" s="269">
        <f>Bonus_Game1!M35</f>
        <v>4</v>
      </c>
      <c r="N35" s="268">
        <f>Bonus_Game1!N35</f>
        <v>0.25</v>
      </c>
      <c r="O35" s="72">
        <v>5.4714E-4</v>
      </c>
    </row>
    <row r="36" spans="1:27" x14ac:dyDescent="0.35">
      <c r="A36" s="11">
        <v>6</v>
      </c>
      <c r="B36" s="165">
        <f t="shared" si="3"/>
        <v>1.6327069999999999E-2</v>
      </c>
      <c r="C36" s="52">
        <f t="shared" si="7"/>
        <v>10.923658684626206</v>
      </c>
      <c r="D36" s="159">
        <f t="shared" si="6"/>
        <v>0.17835133999999997</v>
      </c>
      <c r="E36">
        <v>1632707</v>
      </c>
      <c r="F36">
        <v>17835134</v>
      </c>
      <c r="I36" s="5">
        <f t="shared" si="4"/>
        <v>9.7962419999999995E-2</v>
      </c>
      <c r="J36" s="15">
        <f t="shared" si="5"/>
        <v>61.247976519975722</v>
      </c>
      <c r="K36" s="43"/>
      <c r="L36" s="260" t="str">
        <f>Bonus_Game1!L36</f>
        <v>Grand</v>
      </c>
      <c r="M36" s="269">
        <f>Bonus_Game1!M36</f>
        <v>5</v>
      </c>
      <c r="N36" s="268">
        <f>Bonus_Game1!N36</f>
        <v>0.18</v>
      </c>
      <c r="O36" s="72">
        <v>8.4100000000000008E-6</v>
      </c>
    </row>
    <row r="37" spans="1:27" x14ac:dyDescent="0.35">
      <c r="A37" s="11">
        <v>7</v>
      </c>
      <c r="B37" s="165">
        <f t="shared" si="3"/>
        <v>1.9186120000000001E-2</v>
      </c>
      <c r="C37" s="52">
        <f t="shared" si="7"/>
        <v>12.763514457326442</v>
      </c>
      <c r="D37" s="159">
        <f t="shared" si="6"/>
        <v>0.24488232000000001</v>
      </c>
      <c r="E37">
        <v>1918612</v>
      </c>
      <c r="F37">
        <v>24488232</v>
      </c>
      <c r="I37" s="5">
        <f t="shared" si="4"/>
        <v>0.13430284000000001</v>
      </c>
      <c r="J37" s="15">
        <f t="shared" si="5"/>
        <v>52.12101248194007</v>
      </c>
      <c r="K37" s="43"/>
      <c r="L37" s="43"/>
      <c r="M37" s="43"/>
      <c r="N37" s="271">
        <f>SUM(N33:N36)</f>
        <v>1</v>
      </c>
    </row>
    <row r="38" spans="1:27" x14ac:dyDescent="0.35">
      <c r="A38" s="11">
        <v>8</v>
      </c>
      <c r="B38" s="165">
        <f t="shared" si="3"/>
        <v>2.2221979999999999E-2</v>
      </c>
      <c r="C38" s="52">
        <f t="shared" si="7"/>
        <v>14.588460839223147</v>
      </c>
      <c r="D38" s="159">
        <f t="shared" si="6"/>
        <v>0.32418448499999997</v>
      </c>
      <c r="E38">
        <v>2222198</v>
      </c>
      <c r="F38">
        <v>32418448.5</v>
      </c>
      <c r="I38" s="5">
        <f t="shared" si="4"/>
        <v>0.17777583999999999</v>
      </c>
      <c r="J38" s="15">
        <f t="shared" si="5"/>
        <v>45.000490505346505</v>
      </c>
      <c r="K38" s="43"/>
      <c r="L38" s="43"/>
      <c r="M38" s="43"/>
      <c r="N38" s="43"/>
    </row>
    <row r="39" spans="1:27" x14ac:dyDescent="0.35">
      <c r="A39" s="11">
        <v>9</v>
      </c>
      <c r="B39" s="165">
        <f t="shared" si="3"/>
        <v>2.5436199999999999E-2</v>
      </c>
      <c r="C39" s="52">
        <f t="shared" si="7"/>
        <v>16.428476344737028</v>
      </c>
      <c r="D39" s="159">
        <f t="shared" si="6"/>
        <v>0.41787800999999997</v>
      </c>
      <c r="E39">
        <v>2543620</v>
      </c>
      <c r="F39">
        <v>41787801</v>
      </c>
      <c r="I39" s="5">
        <f t="shared" si="4"/>
        <v>0.22892579999999998</v>
      </c>
      <c r="J39" s="15">
        <f t="shared" si="5"/>
        <v>39.314048482084587</v>
      </c>
      <c r="K39" s="43"/>
      <c r="L39" s="43"/>
      <c r="M39" s="43"/>
      <c r="N39" s="43"/>
    </row>
    <row r="40" spans="1:27" x14ac:dyDescent="0.35">
      <c r="A40" s="11">
        <v>10</v>
      </c>
      <c r="B40" s="165">
        <f t="shared" si="3"/>
        <v>2.8781890000000001E-2</v>
      </c>
      <c r="C40" s="52">
        <f t="shared" si="7"/>
        <v>18.275011647949459</v>
      </c>
      <c r="D40" s="159">
        <f t="shared" si="6"/>
        <v>0.52598937500000009</v>
      </c>
      <c r="E40">
        <v>2878189</v>
      </c>
      <c r="F40">
        <v>52598937.5</v>
      </c>
      <c r="I40" s="5">
        <f t="shared" si="4"/>
        <v>0.28781889999999999</v>
      </c>
      <c r="J40" s="15">
        <f t="shared" si="5"/>
        <v>34.744069968997863</v>
      </c>
      <c r="K40" s="43"/>
      <c r="L40" s="43"/>
      <c r="M40" s="43"/>
      <c r="N40" s="43"/>
    </row>
    <row r="41" spans="1:27" x14ac:dyDescent="0.35">
      <c r="A41" s="11">
        <v>11</v>
      </c>
      <c r="B41" s="165">
        <f t="shared" si="3"/>
        <v>3.2132189999999998E-2</v>
      </c>
      <c r="C41" s="52">
        <f t="shared" si="7"/>
        <v>20.129035867147554</v>
      </c>
      <c r="D41" s="159">
        <f t="shared" si="6"/>
        <v>0.64679000499999995</v>
      </c>
      <c r="E41">
        <v>3213219</v>
      </c>
      <c r="F41">
        <v>64679000.5</v>
      </c>
      <c r="I41" s="5">
        <f t="shared" si="4"/>
        <v>0.35345409</v>
      </c>
      <c r="J41" s="15">
        <f t="shared" si="5"/>
        <v>31.121439279426642</v>
      </c>
      <c r="K41" s="43"/>
      <c r="L41" s="43"/>
      <c r="M41" s="43"/>
      <c r="N41" s="43"/>
      <c r="O41" s="43"/>
    </row>
    <row r="42" spans="1:27" x14ac:dyDescent="0.35">
      <c r="A42" s="11">
        <v>12</v>
      </c>
      <c r="B42" s="165">
        <f t="shared" si="3"/>
        <v>3.5431120000000003E-2</v>
      </c>
      <c r="C42" s="52">
        <f t="shared" si="7"/>
        <v>21.985771265486385</v>
      </c>
      <c r="D42" s="159">
        <f t="shared" si="6"/>
        <v>0.77898050000000008</v>
      </c>
      <c r="E42">
        <v>3543112</v>
      </c>
      <c r="F42">
        <v>77898050</v>
      </c>
      <c r="I42" s="5">
        <f t="shared" si="4"/>
        <v>0.42517344000000001</v>
      </c>
      <c r="J42" s="15">
        <f t="shared" si="5"/>
        <v>28.223776160618122</v>
      </c>
      <c r="K42" s="43"/>
      <c r="L42" s="43"/>
      <c r="M42" s="43"/>
      <c r="N42" s="43"/>
      <c r="O42" s="43"/>
      <c r="AA42" s="23"/>
    </row>
    <row r="43" spans="1:27" x14ac:dyDescent="0.35">
      <c r="A43" s="11">
        <v>13</v>
      </c>
      <c r="B43" s="165">
        <f t="shared" si="3"/>
        <v>3.8606290000000001E-2</v>
      </c>
      <c r="C43" s="52">
        <f t="shared" si="7"/>
        <v>23.839960793953523</v>
      </c>
      <c r="D43" s="159">
        <f t="shared" si="6"/>
        <v>0.92037243999999996</v>
      </c>
      <c r="E43">
        <v>3860629</v>
      </c>
      <c r="F43">
        <v>92037244</v>
      </c>
      <c r="I43" s="5">
        <f t="shared" si="4"/>
        <v>0.50188177</v>
      </c>
      <c r="J43" s="15">
        <f t="shared" si="5"/>
        <v>25.9025148492642</v>
      </c>
      <c r="K43" s="43"/>
      <c r="L43" s="43"/>
      <c r="M43" s="43"/>
      <c r="N43" s="43"/>
      <c r="O43" s="43"/>
      <c r="AA43" s="23"/>
    </row>
    <row r="44" spans="1:27" x14ac:dyDescent="0.35">
      <c r="A44" s="11">
        <v>14</v>
      </c>
      <c r="B44" s="165">
        <f t="shared" si="3"/>
        <v>4.1585459999999998E-2</v>
      </c>
      <c r="C44" s="52">
        <f t="shared" si="7"/>
        <v>25.724264682896379</v>
      </c>
      <c r="D44" s="159">
        <f t="shared" si="6"/>
        <v>1.0697553799999999</v>
      </c>
      <c r="E44">
        <v>4158546</v>
      </c>
      <c r="F44">
        <v>106975538</v>
      </c>
      <c r="I44" s="5">
        <f t="shared" si="4"/>
        <v>0.58219643999999993</v>
      </c>
      <c r="J44" s="15">
        <f t="shared" si="5"/>
        <v>24.046866380701331</v>
      </c>
      <c r="K44" s="43"/>
      <c r="L44" s="43"/>
      <c r="M44" s="43"/>
      <c r="N44" s="43"/>
      <c r="O44" s="43"/>
      <c r="AA44" s="23"/>
    </row>
    <row r="45" spans="1:27" x14ac:dyDescent="0.35">
      <c r="A45" s="11">
        <v>15</v>
      </c>
      <c r="B45" s="165">
        <f t="shared" si="3"/>
        <v>4.4232199999999999E-2</v>
      </c>
      <c r="C45" s="52">
        <f t="shared" si="7"/>
        <v>27.599740573609271</v>
      </c>
      <c r="D45" s="159">
        <f t="shared" si="6"/>
        <v>1.220797245</v>
      </c>
      <c r="E45">
        <v>4423220</v>
      </c>
      <c r="F45">
        <v>122079724.5</v>
      </c>
      <c r="I45" s="5">
        <f t="shared" si="4"/>
        <v>0.66348300000000004</v>
      </c>
      <c r="J45" s="15">
        <f t="shared" si="5"/>
        <v>22.607964333675469</v>
      </c>
      <c r="K45" s="43"/>
      <c r="L45" s="43"/>
      <c r="M45" s="43"/>
      <c r="N45" s="43"/>
      <c r="O45" s="43"/>
      <c r="AA45" s="23"/>
    </row>
    <row r="46" spans="1:27" x14ac:dyDescent="0.35">
      <c r="A46" s="11">
        <v>16</v>
      </c>
      <c r="B46" s="165">
        <f t="shared" si="3"/>
        <v>4.6448150000000001E-2</v>
      </c>
      <c r="C46" s="52">
        <f t="shared" si="7"/>
        <v>29.490059453390501</v>
      </c>
      <c r="D46" s="159">
        <f t="shared" si="6"/>
        <v>1.369758705</v>
      </c>
      <c r="E46">
        <v>4644815</v>
      </c>
      <c r="F46">
        <v>136975870.5</v>
      </c>
      <c r="I46" s="5">
        <f t="shared" si="4"/>
        <v>0.74317040000000001</v>
      </c>
      <c r="J46" s="15">
        <f t="shared" si="5"/>
        <v>21.529382763360864</v>
      </c>
      <c r="K46" s="43"/>
      <c r="L46" s="43"/>
      <c r="M46" s="43"/>
      <c r="N46" s="43"/>
      <c r="O46" s="43"/>
      <c r="Z46" s="23"/>
      <c r="AA46" s="23"/>
    </row>
    <row r="47" spans="1:27" x14ac:dyDescent="0.35">
      <c r="A47" s="11">
        <v>17</v>
      </c>
      <c r="B47" s="165">
        <f t="shared" si="3"/>
        <v>4.8170360000000002E-2</v>
      </c>
      <c r="C47" s="52">
        <f t="shared" si="7"/>
        <v>31.383551109022228</v>
      </c>
      <c r="D47" s="159">
        <f t="shared" si="6"/>
        <v>1.5117569550000001</v>
      </c>
      <c r="E47">
        <v>4817036</v>
      </c>
      <c r="F47">
        <v>151175695.5</v>
      </c>
      <c r="H47" s="30"/>
      <c r="I47" s="5">
        <f t="shared" si="4"/>
        <v>0.81889612000000001</v>
      </c>
      <c r="J47" s="15">
        <f t="shared" si="5"/>
        <v>20.759653861835368</v>
      </c>
      <c r="K47" s="43"/>
      <c r="L47" s="43"/>
      <c r="M47" s="43"/>
      <c r="N47" s="43"/>
      <c r="O47" s="43"/>
    </row>
    <row r="48" spans="1:27" x14ac:dyDescent="0.35">
      <c r="A48" s="11">
        <v>18</v>
      </c>
      <c r="B48" s="165">
        <f t="shared" si="3"/>
        <v>4.9336699999999997E-2</v>
      </c>
      <c r="C48" s="52">
        <f t="shared" si="7"/>
        <v>33.286449032870053</v>
      </c>
      <c r="D48" s="159">
        <f t="shared" si="6"/>
        <v>1.6422435499999999</v>
      </c>
      <c r="E48">
        <v>4933670</v>
      </c>
      <c r="F48">
        <v>164224355</v>
      </c>
      <c r="I48" s="5">
        <f t="shared" si="4"/>
        <v>0.88806059999999998</v>
      </c>
      <c r="J48" s="15">
        <f t="shared" si="5"/>
        <v>20.268887055680661</v>
      </c>
      <c r="K48" s="43"/>
      <c r="L48" s="43"/>
      <c r="M48" s="43"/>
      <c r="N48" s="43"/>
      <c r="O48" s="43"/>
    </row>
    <row r="49" spans="1:15" x14ac:dyDescent="0.35">
      <c r="A49" s="11">
        <v>19</v>
      </c>
      <c r="B49" s="165">
        <f t="shared" si="3"/>
        <v>4.9823430000000002E-2</v>
      </c>
      <c r="C49" s="52">
        <f t="shared" si="7"/>
        <v>35.211898899774667</v>
      </c>
      <c r="D49" s="159">
        <f t="shared" si="6"/>
        <v>1.7543775800000001</v>
      </c>
      <c r="E49">
        <v>4982343</v>
      </c>
      <c r="F49">
        <v>175437758</v>
      </c>
      <c r="I49" s="5">
        <f t="shared" si="4"/>
        <v>0.94664517000000004</v>
      </c>
      <c r="J49" s="15">
        <f t="shared" si="5"/>
        <v>20.070878299627303</v>
      </c>
      <c r="K49" s="43"/>
      <c r="L49" s="43"/>
      <c r="M49" s="43"/>
      <c r="N49" s="43"/>
      <c r="O49" s="43"/>
    </row>
    <row r="50" spans="1:15" x14ac:dyDescent="0.35">
      <c r="A50" s="11">
        <v>20</v>
      </c>
      <c r="B50" s="165">
        <f t="shared" si="3"/>
        <v>4.962598E-2</v>
      </c>
      <c r="C50" s="52">
        <f t="shared" si="7"/>
        <v>37.138467794489905</v>
      </c>
      <c r="D50" s="159">
        <f t="shared" si="6"/>
        <v>1.8430328600000001</v>
      </c>
      <c r="E50">
        <v>4962598</v>
      </c>
      <c r="F50">
        <v>184303286</v>
      </c>
      <c r="I50" s="5">
        <f t="shared" si="4"/>
        <v>0.99251960000000006</v>
      </c>
      <c r="J50" s="15">
        <f t="shared" si="5"/>
        <v>20.15073556230023</v>
      </c>
      <c r="K50" s="43"/>
      <c r="L50" s="43"/>
      <c r="M50" s="43"/>
      <c r="N50" s="43"/>
      <c r="O50" s="43"/>
    </row>
    <row r="51" spans="1:15" x14ac:dyDescent="0.35">
      <c r="A51" s="11">
        <v>21</v>
      </c>
      <c r="B51" s="165">
        <f t="shared" ref="B51:B70" si="8">E51/E$71</f>
        <v>4.8787469999999999E-2</v>
      </c>
      <c r="C51" s="52">
        <f t="shared" ref="C51:C70" si="9" xml:space="preserve"> F51 /  (  B$24  * B51  )</f>
        <v>39.085868051776409</v>
      </c>
      <c r="D51" s="159">
        <f t="shared" ref="D51:D70" si="10">B51 * C51</f>
        <v>1.9069006149999999</v>
      </c>
      <c r="E51">
        <v>4878747</v>
      </c>
      <c r="F51">
        <v>190690061.5</v>
      </c>
      <c r="I51" s="5">
        <f t="shared" ref="I51:I70" si="11">A51 * B51</f>
        <v>1.0245368699999999</v>
      </c>
      <c r="J51" s="15">
        <f t="shared" ref="J51:J70" si="12">E$71/E51</f>
        <v>20.497066152436272</v>
      </c>
      <c r="K51" s="43"/>
      <c r="L51" s="43"/>
      <c r="M51" s="43"/>
      <c r="N51" s="43"/>
      <c r="O51" s="43"/>
    </row>
    <row r="52" spans="1:15" x14ac:dyDescent="0.35">
      <c r="A52" s="11">
        <v>22</v>
      </c>
      <c r="B52" s="165">
        <f t="shared" si="8"/>
        <v>4.7257630000000002E-2</v>
      </c>
      <c r="C52" s="52">
        <f t="shared" si="9"/>
        <v>41.044589307589064</v>
      </c>
      <c r="D52" s="159">
        <f t="shared" si="10"/>
        <v>1.9396700150000001</v>
      </c>
      <c r="E52">
        <v>4725763</v>
      </c>
      <c r="F52">
        <v>193967001.5</v>
      </c>
      <c r="I52" s="5">
        <f t="shared" si="11"/>
        <v>1.03966786</v>
      </c>
      <c r="J52" s="15">
        <f t="shared" si="12"/>
        <v>21.160604118319096</v>
      </c>
      <c r="K52" s="43"/>
      <c r="L52" s="43"/>
      <c r="M52" s="43"/>
      <c r="N52" s="43"/>
      <c r="O52" s="43"/>
    </row>
    <row r="53" spans="1:15" x14ac:dyDescent="0.35">
      <c r="A53" s="11">
        <v>23</v>
      </c>
      <c r="B53" s="165">
        <f t="shared" si="8"/>
        <v>4.515897E-2</v>
      </c>
      <c r="C53" s="52">
        <f t="shared" si="9"/>
        <v>43.006990416300461</v>
      </c>
      <c r="D53" s="159">
        <f t="shared" si="10"/>
        <v>1.94215139</v>
      </c>
      <c r="E53">
        <v>4515897</v>
      </c>
      <c r="F53">
        <v>194215139</v>
      </c>
      <c r="I53" s="5">
        <f t="shared" si="11"/>
        <v>1.0386563099999999</v>
      </c>
      <c r="J53" s="15">
        <f t="shared" si="12"/>
        <v>22.143994869679268</v>
      </c>
      <c r="K53" s="43"/>
      <c r="L53" s="43"/>
      <c r="M53" s="43"/>
      <c r="N53" s="43"/>
      <c r="O53" s="43"/>
    </row>
    <row r="54" spans="1:15" x14ac:dyDescent="0.35">
      <c r="A54" s="11">
        <v>24</v>
      </c>
      <c r="B54" s="165">
        <f t="shared" si="8"/>
        <v>4.23696E-2</v>
      </c>
      <c r="C54" s="52">
        <f t="shared" si="9"/>
        <v>44.993439989992822</v>
      </c>
      <c r="D54" s="159">
        <f t="shared" si="10"/>
        <v>1.906354055</v>
      </c>
      <c r="E54">
        <v>4236960</v>
      </c>
      <c r="F54">
        <v>190635405.5</v>
      </c>
      <c r="I54" s="5">
        <f t="shared" si="11"/>
        <v>1.0168704</v>
      </c>
      <c r="J54" s="15">
        <f t="shared" si="12"/>
        <v>23.601827725539067</v>
      </c>
      <c r="K54" s="43"/>
      <c r="L54" s="43"/>
      <c r="M54" s="43"/>
      <c r="N54" s="43"/>
      <c r="O54" s="43"/>
    </row>
    <row r="55" spans="1:15" x14ac:dyDescent="0.35">
      <c r="A55" s="11">
        <v>25</v>
      </c>
      <c r="B55" s="165">
        <f t="shared" si="8"/>
        <v>3.9104020000000003E-2</v>
      </c>
      <c r="C55" s="52">
        <f t="shared" si="9"/>
        <v>46.996143874721824</v>
      </c>
      <c r="D55" s="159">
        <f t="shared" si="10"/>
        <v>1.8377381499999998</v>
      </c>
      <c r="E55">
        <v>3910402</v>
      </c>
      <c r="F55">
        <v>183773815</v>
      </c>
      <c r="I55" s="5">
        <f t="shared" si="11"/>
        <v>0.97760050000000009</v>
      </c>
      <c r="J55" s="15">
        <f t="shared" si="12"/>
        <v>25.572818344507802</v>
      </c>
      <c r="K55" s="43"/>
      <c r="L55" s="43"/>
      <c r="M55" s="43"/>
      <c r="N55" s="43"/>
      <c r="O55" s="43"/>
    </row>
    <row r="56" spans="1:15" x14ac:dyDescent="0.35">
      <c r="A56" s="11">
        <v>26</v>
      </c>
      <c r="B56" s="165">
        <f t="shared" si="8"/>
        <v>3.530283E-2</v>
      </c>
      <c r="C56" s="52">
        <f t="shared" si="9"/>
        <v>49.035092370781605</v>
      </c>
      <c r="D56" s="159">
        <f t="shared" si="10"/>
        <v>1.7310775300000001</v>
      </c>
      <c r="E56">
        <v>3530283</v>
      </c>
      <c r="F56">
        <v>173107753</v>
      </c>
      <c r="I56" s="5">
        <f t="shared" si="11"/>
        <v>0.91787357999999997</v>
      </c>
      <c r="J56" s="15">
        <f t="shared" si="12"/>
        <v>28.326340976063392</v>
      </c>
      <c r="K56" s="43"/>
      <c r="L56" s="43"/>
      <c r="M56" s="43"/>
      <c r="N56" s="43"/>
      <c r="O56" s="43"/>
    </row>
    <row r="57" spans="1:15" x14ac:dyDescent="0.35">
      <c r="A57" s="11">
        <v>27</v>
      </c>
      <c r="B57" s="165">
        <f t="shared" si="8"/>
        <v>3.1155950000000002E-2</v>
      </c>
      <c r="C57" s="52">
        <f t="shared" si="9"/>
        <v>51.062407662099858</v>
      </c>
      <c r="D57" s="159">
        <f t="shared" si="10"/>
        <v>1.5908978200000001</v>
      </c>
      <c r="E57">
        <v>3115595</v>
      </c>
      <c r="F57">
        <v>159089782</v>
      </c>
      <c r="I57" s="5">
        <f t="shared" si="11"/>
        <v>0.84121065000000006</v>
      </c>
      <c r="J57" s="15">
        <f t="shared" si="12"/>
        <v>32.096597921103353</v>
      </c>
      <c r="K57" s="43"/>
      <c r="L57" s="43"/>
      <c r="M57" s="43"/>
      <c r="N57" s="43"/>
      <c r="O57" s="43"/>
    </row>
    <row r="58" spans="1:15" x14ac:dyDescent="0.35">
      <c r="A58" s="11">
        <v>28</v>
      </c>
      <c r="B58" s="165">
        <f t="shared" si="8"/>
        <v>2.6815370000000002E-2</v>
      </c>
      <c r="C58" s="52">
        <f t="shared" si="9"/>
        <v>53.158511517834732</v>
      </c>
      <c r="D58" s="159">
        <f t="shared" si="10"/>
        <v>1.4254651549999999</v>
      </c>
      <c r="E58">
        <v>2681537</v>
      </c>
      <c r="F58">
        <v>142546515.5</v>
      </c>
      <c r="I58" s="5">
        <f t="shared" si="11"/>
        <v>0.75083036000000003</v>
      </c>
      <c r="J58" s="15">
        <f t="shared" si="12"/>
        <v>37.292045569388002</v>
      </c>
      <c r="K58" s="43"/>
      <c r="L58" s="43"/>
      <c r="M58" s="43"/>
      <c r="N58" s="43"/>
      <c r="O58" s="43"/>
    </row>
    <row r="59" spans="1:15" x14ac:dyDescent="0.35">
      <c r="A59" s="11">
        <v>29</v>
      </c>
      <c r="B59" s="165">
        <f t="shared" si="8"/>
        <v>2.2448200000000001E-2</v>
      </c>
      <c r="C59" s="52">
        <f t="shared" si="9"/>
        <v>55.283370604324624</v>
      </c>
      <c r="D59" s="159">
        <f t="shared" si="10"/>
        <v>1.2410121600000001</v>
      </c>
      <c r="E59">
        <v>2244820</v>
      </c>
      <c r="F59">
        <v>124101216</v>
      </c>
      <c r="I59" s="5">
        <f t="shared" si="11"/>
        <v>0.65099780000000007</v>
      </c>
      <c r="J59" s="15">
        <f t="shared" si="12"/>
        <v>44.547001541326253</v>
      </c>
      <c r="K59" s="43"/>
      <c r="L59" s="43"/>
      <c r="M59" s="43"/>
      <c r="N59" s="43"/>
      <c r="O59" s="43"/>
    </row>
    <row r="60" spans="1:15" x14ac:dyDescent="0.35">
      <c r="A60" s="11">
        <v>30</v>
      </c>
      <c r="B60" s="165">
        <f t="shared" si="8"/>
        <v>1.825063E-2</v>
      </c>
      <c r="C60" s="52">
        <f t="shared" si="9"/>
        <v>57.397025746508476</v>
      </c>
      <c r="D60" s="159">
        <f t="shared" si="10"/>
        <v>1.04753188</v>
      </c>
      <c r="E60">
        <v>1825063</v>
      </c>
      <c r="F60">
        <v>104753188</v>
      </c>
      <c r="I60" s="5">
        <f t="shared" si="11"/>
        <v>0.54751890000000003</v>
      </c>
      <c r="J60" s="15">
        <f t="shared" si="12"/>
        <v>54.792629076366133</v>
      </c>
      <c r="K60" s="43"/>
      <c r="L60" s="43"/>
      <c r="M60" s="43"/>
      <c r="N60" s="43"/>
      <c r="O60" s="43"/>
    </row>
    <row r="61" spans="1:15" x14ac:dyDescent="0.35">
      <c r="A61" s="11">
        <v>31</v>
      </c>
      <c r="B61" s="165">
        <f t="shared" si="8"/>
        <v>1.4295459999999999E-2</v>
      </c>
      <c r="C61" s="52">
        <f t="shared" si="9"/>
        <v>59.542683481329036</v>
      </c>
      <c r="D61" s="159">
        <f t="shared" si="10"/>
        <v>0.85119004999999992</v>
      </c>
      <c r="E61">
        <v>1429546</v>
      </c>
      <c r="F61">
        <v>85119005</v>
      </c>
      <c r="I61" s="5">
        <f t="shared" si="11"/>
        <v>0.44315926</v>
      </c>
      <c r="J61" s="15">
        <f t="shared" si="12"/>
        <v>69.952278555569393</v>
      </c>
      <c r="K61" s="43"/>
      <c r="L61" s="43"/>
      <c r="M61" s="43"/>
      <c r="N61" s="43"/>
      <c r="O61" s="43"/>
    </row>
    <row r="62" spans="1:15" x14ac:dyDescent="0.35">
      <c r="A62" s="11">
        <v>32</v>
      </c>
      <c r="B62" s="165">
        <f t="shared" si="8"/>
        <v>1.0736829999999999E-2</v>
      </c>
      <c r="C62" s="52">
        <f t="shared" si="9"/>
        <v>61.739650809410229</v>
      </c>
      <c r="D62" s="159">
        <f t="shared" si="10"/>
        <v>0.66288813499999999</v>
      </c>
      <c r="E62">
        <v>1073683</v>
      </c>
      <c r="F62">
        <v>66288813.5</v>
      </c>
      <c r="I62" s="5">
        <f t="shared" si="11"/>
        <v>0.34357855999999998</v>
      </c>
      <c r="J62" s="15">
        <f t="shared" si="12"/>
        <v>93.13735990976852</v>
      </c>
      <c r="K62" s="43"/>
      <c r="L62" s="43"/>
      <c r="M62" s="43"/>
      <c r="N62" s="43"/>
      <c r="O62" s="43"/>
    </row>
    <row r="63" spans="1:15" x14ac:dyDescent="0.35">
      <c r="A63" s="11">
        <v>33</v>
      </c>
      <c r="B63" s="165">
        <f t="shared" si="8"/>
        <v>7.67843E-3</v>
      </c>
      <c r="C63" s="52">
        <f t="shared" si="9"/>
        <v>63.874454152736952</v>
      </c>
      <c r="D63" s="159">
        <f t="shared" si="10"/>
        <v>0.490455525</v>
      </c>
      <c r="E63">
        <v>767843</v>
      </c>
      <c r="F63">
        <v>49045552.5</v>
      </c>
      <c r="I63" s="5">
        <f t="shared" si="11"/>
        <v>0.25338819000000001</v>
      </c>
      <c r="J63" s="15">
        <f t="shared" si="12"/>
        <v>130.23495688571754</v>
      </c>
      <c r="K63" s="43"/>
      <c r="L63" s="43"/>
      <c r="M63" s="43"/>
      <c r="N63" s="43"/>
      <c r="O63" s="43"/>
    </row>
    <row r="64" spans="1:15" x14ac:dyDescent="0.35">
      <c r="A64" s="11">
        <v>34</v>
      </c>
      <c r="B64" s="165">
        <f t="shared" si="8"/>
        <v>5.1681699999999997E-3</v>
      </c>
      <c r="C64" s="52">
        <f t="shared" si="9"/>
        <v>66.075292608408787</v>
      </c>
      <c r="D64" s="159">
        <f t="shared" si="10"/>
        <v>0.34148834500000003</v>
      </c>
      <c r="E64">
        <v>516817</v>
      </c>
      <c r="F64">
        <v>34148834.5</v>
      </c>
      <c r="I64" s="5">
        <f t="shared" si="11"/>
        <v>0.17571777999999999</v>
      </c>
      <c r="J64" s="15">
        <f t="shared" si="12"/>
        <v>193.49208714109636</v>
      </c>
      <c r="K64" s="43"/>
      <c r="L64" s="43"/>
      <c r="M64" s="43"/>
      <c r="N64" s="43"/>
      <c r="O64" s="43"/>
    </row>
    <row r="65" spans="1:15" x14ac:dyDescent="0.35">
      <c r="A65" s="11">
        <v>35</v>
      </c>
      <c r="B65" s="165">
        <f t="shared" si="8"/>
        <v>3.2187499999999998E-3</v>
      </c>
      <c r="C65" s="52">
        <f t="shared" si="9"/>
        <v>68.308546796116502</v>
      </c>
      <c r="D65" s="159">
        <f t="shared" si="10"/>
        <v>0.21986813499999999</v>
      </c>
      <c r="E65">
        <v>321875</v>
      </c>
      <c r="F65">
        <v>21986813.5</v>
      </c>
      <c r="I65" s="5">
        <f t="shared" si="11"/>
        <v>0.11265625</v>
      </c>
      <c r="J65" s="15">
        <f t="shared" si="12"/>
        <v>310.67961165048541</v>
      </c>
      <c r="K65" s="43"/>
      <c r="L65" s="43"/>
      <c r="M65" s="43"/>
      <c r="N65" s="43"/>
      <c r="O65" s="43"/>
    </row>
    <row r="66" spans="1:15" x14ac:dyDescent="0.35">
      <c r="A66" s="11">
        <v>36</v>
      </c>
      <c r="B66" s="165">
        <f t="shared" si="8"/>
        <v>1.83358E-3</v>
      </c>
      <c r="C66" s="52">
        <f t="shared" si="9"/>
        <v>70.667091155008237</v>
      </c>
      <c r="D66" s="159">
        <f t="shared" si="10"/>
        <v>0.12957376500000001</v>
      </c>
      <c r="E66">
        <v>183358</v>
      </c>
      <c r="F66">
        <v>12957376.5</v>
      </c>
      <c r="I66" s="5">
        <f t="shared" si="11"/>
        <v>6.6008880000000006E-2</v>
      </c>
      <c r="J66" s="15">
        <f t="shared" si="12"/>
        <v>545.38116689754474</v>
      </c>
      <c r="K66" s="43"/>
      <c r="L66" s="43"/>
      <c r="M66" s="43"/>
      <c r="N66" s="43"/>
      <c r="O66" s="43"/>
    </row>
    <row r="67" spans="1:15" x14ac:dyDescent="0.35">
      <c r="A67" s="11">
        <v>37</v>
      </c>
      <c r="B67" s="165">
        <f t="shared" si="8"/>
        <v>9.3555999999999999E-4</v>
      </c>
      <c r="C67" s="52">
        <f t="shared" si="9"/>
        <v>73.011132369917476</v>
      </c>
      <c r="D67" s="159">
        <f t="shared" si="10"/>
        <v>6.8306294999999989E-2</v>
      </c>
      <c r="E67">
        <v>93556</v>
      </c>
      <c r="F67">
        <v>6830629.5</v>
      </c>
      <c r="I67" s="5">
        <f t="shared" si="11"/>
        <v>3.4615720000000003E-2</v>
      </c>
      <c r="J67" s="15">
        <f t="shared" si="12"/>
        <v>1068.8785326435504</v>
      </c>
      <c r="K67" s="43"/>
      <c r="L67" s="43"/>
      <c r="M67" s="43"/>
      <c r="N67" s="43"/>
      <c r="O67" s="43"/>
    </row>
    <row r="68" spans="1:15" x14ac:dyDescent="0.35">
      <c r="A68" s="11">
        <v>38</v>
      </c>
      <c r="B68" s="165">
        <f t="shared" si="8"/>
        <v>4.3268000000000001E-4</v>
      </c>
      <c r="C68" s="52">
        <f t="shared" si="9"/>
        <v>75.312020430803372</v>
      </c>
      <c r="D68" s="159">
        <f t="shared" si="10"/>
        <v>3.2586005000000001E-2</v>
      </c>
      <c r="E68">
        <v>43268</v>
      </c>
      <c r="F68">
        <v>3258600.5</v>
      </c>
      <c r="I68" s="5">
        <f t="shared" si="11"/>
        <v>1.6441839999999999E-2</v>
      </c>
      <c r="J68" s="15">
        <f t="shared" si="12"/>
        <v>2311.1768512526578</v>
      </c>
      <c r="K68" s="43"/>
      <c r="L68" s="43"/>
      <c r="M68" s="43"/>
      <c r="N68" s="43"/>
      <c r="O68" s="43"/>
    </row>
    <row r="69" spans="1:15" x14ac:dyDescent="0.35">
      <c r="A69" s="11">
        <v>39</v>
      </c>
      <c r="B69" s="165">
        <f t="shared" si="8"/>
        <v>1.6013E-4</v>
      </c>
      <c r="C69" s="52">
        <f t="shared" si="9"/>
        <v>77.702616623993009</v>
      </c>
      <c r="D69" s="159">
        <f t="shared" si="10"/>
        <v>1.244252E-2</v>
      </c>
      <c r="E69">
        <v>16013</v>
      </c>
      <c r="F69">
        <v>1244252</v>
      </c>
      <c r="I69" s="5">
        <f t="shared" si="11"/>
        <v>6.2450700000000001E-3</v>
      </c>
      <c r="J69" s="15">
        <f t="shared" si="12"/>
        <v>6244.9259976269277</v>
      </c>
      <c r="K69" s="43"/>
      <c r="L69" s="43"/>
      <c r="M69" s="43"/>
      <c r="N69" s="43"/>
      <c r="O69" s="43"/>
    </row>
    <row r="70" spans="1:15" x14ac:dyDescent="0.35">
      <c r="A70" s="11">
        <v>40</v>
      </c>
      <c r="B70" s="165">
        <f t="shared" si="8"/>
        <v>3.4489999999999997E-5</v>
      </c>
      <c r="C70" s="52">
        <f t="shared" si="9"/>
        <v>80.632067265874184</v>
      </c>
      <c r="D70" s="159">
        <f t="shared" si="10"/>
        <v>2.7810000000000005E-3</v>
      </c>
      <c r="E70">
        <v>3449</v>
      </c>
      <c r="F70">
        <v>278100</v>
      </c>
      <c r="I70" s="5">
        <f t="shared" si="11"/>
        <v>1.3795999999999999E-3</v>
      </c>
      <c r="J70" s="15">
        <f t="shared" si="12"/>
        <v>28993.911278631487</v>
      </c>
      <c r="K70" s="43"/>
      <c r="L70" s="43"/>
      <c r="M70" s="43"/>
      <c r="N70" s="43"/>
      <c r="O70" s="43"/>
    </row>
    <row r="71" spans="1:15" ht="18.5" x14ac:dyDescent="0.45">
      <c r="B71" s="161">
        <f>SUM(B30:B70)</f>
        <v>1.0000000000000004</v>
      </c>
      <c r="C71" s="162"/>
      <c r="D71" s="168">
        <f>SUM(D30:D70)</f>
        <v>34.120454680000009</v>
      </c>
      <c r="E71" s="15">
        <f>SUM(E30:E70)</f>
        <v>100000000</v>
      </c>
      <c r="I71" s="164">
        <f>SUM(I30:I70)</f>
        <v>18.26144219</v>
      </c>
      <c r="J71" s="43"/>
      <c r="K71" s="43"/>
      <c r="L71" s="43"/>
      <c r="M71" s="43"/>
      <c r="N71" s="43"/>
      <c r="O71" s="43"/>
    </row>
    <row r="72" spans="1:15" x14ac:dyDescent="0.35">
      <c r="B72" s="160"/>
      <c r="I72" s="43"/>
      <c r="J72" s="43"/>
      <c r="K72" s="43"/>
      <c r="L72" s="43"/>
      <c r="N72" s="43"/>
      <c r="O72" s="43"/>
    </row>
    <row r="73" spans="1:15" x14ac:dyDescent="0.35">
      <c r="I73" s="43"/>
      <c r="J73" s="43"/>
      <c r="K73" s="43"/>
      <c r="L73" s="43"/>
      <c r="O73" s="43"/>
    </row>
    <row r="74" spans="1:15" x14ac:dyDescent="0.35">
      <c r="I74" s="43"/>
      <c r="J74" s="43"/>
      <c r="K74" s="43"/>
      <c r="L74" s="43"/>
      <c r="O74" s="43"/>
    </row>
    <row r="75" spans="1:15" x14ac:dyDescent="0.35">
      <c r="A75" s="118"/>
      <c r="C75" s="23"/>
    </row>
    <row r="76" spans="1:15" x14ac:dyDescent="0.35">
      <c r="A76" s="118"/>
      <c r="C76" s="23"/>
    </row>
    <row r="77" spans="1:15" x14ac:dyDescent="0.35">
      <c r="A77" s="117"/>
      <c r="B77" s="117"/>
      <c r="C77" s="23"/>
    </row>
    <row r="78" spans="1:15" x14ac:dyDescent="0.35">
      <c r="C78" s="23"/>
    </row>
    <row r="79" spans="1:15" x14ac:dyDescent="0.35">
      <c r="C79" s="23"/>
    </row>
    <row r="90" spans="1:3" x14ac:dyDescent="0.35">
      <c r="C90" s="23"/>
    </row>
    <row r="91" spans="1:3" x14ac:dyDescent="0.35">
      <c r="C91" s="23"/>
    </row>
    <row r="92" spans="1:3" x14ac:dyDescent="0.35">
      <c r="C92" s="23"/>
    </row>
    <row r="93" spans="1:3" x14ac:dyDescent="0.35">
      <c r="C93" s="23"/>
    </row>
    <row r="94" spans="1:3" x14ac:dyDescent="0.35">
      <c r="A94" s="118"/>
      <c r="B94" s="39"/>
      <c r="C94" s="23"/>
    </row>
    <row r="95" spans="1:3" x14ac:dyDescent="0.35">
      <c r="A95" s="118"/>
      <c r="B95" s="39"/>
      <c r="C95" s="23"/>
    </row>
    <row r="99" spans="10:10" x14ac:dyDescent="0.35">
      <c r="J99" s="136"/>
    </row>
    <row r="100" spans="10:10" x14ac:dyDescent="0.35">
      <c r="J100" s="136"/>
    </row>
    <row r="101" spans="10:10" x14ac:dyDescent="0.35">
      <c r="J101" s="136"/>
    </row>
    <row r="102" spans="10:10" x14ac:dyDescent="0.35">
      <c r="J102" s="136"/>
    </row>
    <row r="103" spans="10:10" x14ac:dyDescent="0.35">
      <c r="J103" s="136"/>
    </row>
    <row r="104" spans="10:10" x14ac:dyDescent="0.35">
      <c r="J104" s="136"/>
    </row>
    <row r="105" spans="10:10" x14ac:dyDescent="0.35">
      <c r="J105" s="136"/>
    </row>
    <row r="106" spans="10:10" x14ac:dyDescent="0.35">
      <c r="J106" s="136"/>
    </row>
    <row r="107" spans="10:10" x14ac:dyDescent="0.35">
      <c r="J107" s="136"/>
    </row>
    <row r="108" spans="10:10" x14ac:dyDescent="0.35">
      <c r="J108" s="136"/>
    </row>
    <row r="109" spans="10:10" x14ac:dyDescent="0.35">
      <c r="J109" s="136"/>
    </row>
    <row r="110" spans="10:10" x14ac:dyDescent="0.35">
      <c r="J110" s="136"/>
    </row>
    <row r="111" spans="10:10" x14ac:dyDescent="0.35">
      <c r="J111" s="136"/>
    </row>
    <row r="112" spans="10:10" x14ac:dyDescent="0.35">
      <c r="J112" s="136"/>
    </row>
    <row r="113" spans="10:10" x14ac:dyDescent="0.35">
      <c r="J113" s="136"/>
    </row>
    <row r="114" spans="10:10" x14ac:dyDescent="0.35">
      <c r="J114" s="136"/>
    </row>
    <row r="115" spans="10:10" x14ac:dyDescent="0.35">
      <c r="J115" s="136"/>
    </row>
    <row r="116" spans="10:10" x14ac:dyDescent="0.35">
      <c r="J116" s="136"/>
    </row>
    <row r="117" spans="10:10" x14ac:dyDescent="0.35">
      <c r="J117" s="136"/>
    </row>
    <row r="118" spans="10:10" x14ac:dyDescent="0.35">
      <c r="J118" s="136"/>
    </row>
    <row r="119" spans="10:10" x14ac:dyDescent="0.35">
      <c r="J119" s="136"/>
    </row>
    <row r="120" spans="10:10" x14ac:dyDescent="0.35">
      <c r="J120" s="136"/>
    </row>
    <row r="121" spans="10:10" x14ac:dyDescent="0.35">
      <c r="J121" s="136"/>
    </row>
    <row r="122" spans="10:10" x14ac:dyDescent="0.35">
      <c r="J122" s="136"/>
    </row>
    <row r="123" spans="10:10" x14ac:dyDescent="0.35">
      <c r="J123" s="136"/>
    </row>
    <row r="124" spans="10:10" x14ac:dyDescent="0.35">
      <c r="J124" s="136"/>
    </row>
    <row r="125" spans="10:10" x14ac:dyDescent="0.35">
      <c r="J125" s="136"/>
    </row>
    <row r="126" spans="10:10" x14ac:dyDescent="0.35">
      <c r="J126" s="136"/>
    </row>
    <row r="127" spans="10:10" x14ac:dyDescent="0.35">
      <c r="J127" s="136"/>
    </row>
    <row r="128" spans="10:10" x14ac:dyDescent="0.35">
      <c r="J128" s="136"/>
    </row>
    <row r="129" spans="10:10" x14ac:dyDescent="0.35">
      <c r="J129" s="136"/>
    </row>
    <row r="130" spans="10:10" x14ac:dyDescent="0.35">
      <c r="J130" s="136"/>
    </row>
    <row r="131" spans="10:10" x14ac:dyDescent="0.35">
      <c r="J131" s="136"/>
    </row>
    <row r="132" spans="10:10" x14ac:dyDescent="0.35">
      <c r="J132" s="136"/>
    </row>
    <row r="133" spans="10:10" x14ac:dyDescent="0.35">
      <c r="J133" s="136"/>
    </row>
    <row r="134" spans="10:10" x14ac:dyDescent="0.35">
      <c r="J134" s="136"/>
    </row>
    <row r="135" spans="10:10" x14ac:dyDescent="0.35">
      <c r="J135" s="136"/>
    </row>
    <row r="136" spans="10:10" x14ac:dyDescent="0.35">
      <c r="J136" s="136"/>
    </row>
    <row r="137" spans="10:10" x14ac:dyDescent="0.35">
      <c r="J137" s="136"/>
    </row>
    <row r="138" spans="10:10" x14ac:dyDescent="0.35">
      <c r="J138" s="136"/>
    </row>
    <row r="139" spans="10:10" x14ac:dyDescent="0.35">
      <c r="J139" s="136"/>
    </row>
    <row r="140" spans="10:10" x14ac:dyDescent="0.35">
      <c r="J140" s="136"/>
    </row>
    <row r="141" spans="10:10" x14ac:dyDescent="0.35">
      <c r="J141" s="136"/>
    </row>
    <row r="142" spans="10:10" x14ac:dyDescent="0.35">
      <c r="J142" s="136"/>
    </row>
    <row r="143" spans="10:10" x14ac:dyDescent="0.35">
      <c r="J143" s="136"/>
    </row>
    <row r="144" spans="10:10" x14ac:dyDescent="0.35">
      <c r="J144" s="136"/>
    </row>
    <row r="145" spans="10:21" x14ac:dyDescent="0.35">
      <c r="J145" s="136"/>
    </row>
    <row r="146" spans="10:21" x14ac:dyDescent="0.35">
      <c r="J146" s="136"/>
    </row>
    <row r="147" spans="10:21" x14ac:dyDescent="0.35">
      <c r="J147" s="136"/>
    </row>
    <row r="148" spans="10:21" x14ac:dyDescent="0.35">
      <c r="J148" s="136"/>
    </row>
    <row r="149" spans="10:21" x14ac:dyDescent="0.35">
      <c r="J149" s="136"/>
    </row>
    <row r="150" spans="10:21" x14ac:dyDescent="0.35">
      <c r="J150" s="136"/>
    </row>
    <row r="151" spans="10:21" x14ac:dyDescent="0.35">
      <c r="J151" s="136"/>
    </row>
    <row r="152" spans="10:21" x14ac:dyDescent="0.35">
      <c r="J152" s="136"/>
    </row>
    <row r="153" spans="10:21" x14ac:dyDescent="0.35">
      <c r="J153" s="136"/>
    </row>
    <row r="154" spans="10:21" x14ac:dyDescent="0.35">
      <c r="J154" s="136"/>
      <c r="U154" s="136"/>
    </row>
    <row r="155" spans="10:21" x14ac:dyDescent="0.35">
      <c r="J155" s="136"/>
    </row>
    <row r="156" spans="10:21" x14ac:dyDescent="0.35">
      <c r="J156" s="136"/>
    </row>
    <row r="157" spans="10:21" x14ac:dyDescent="0.35">
      <c r="J157" s="136"/>
    </row>
    <row r="158" spans="10:21" x14ac:dyDescent="0.35">
      <c r="J158" s="136"/>
    </row>
    <row r="159" spans="10:21" x14ac:dyDescent="0.35">
      <c r="J159" s="136"/>
    </row>
    <row r="160" spans="10:21" x14ac:dyDescent="0.35">
      <c r="J160" s="136"/>
    </row>
    <row r="161" spans="10:10" x14ac:dyDescent="0.35">
      <c r="J161" s="136"/>
    </row>
    <row r="162" spans="10:10" x14ac:dyDescent="0.35">
      <c r="J162" s="136"/>
    </row>
    <row r="163" spans="10:10" x14ac:dyDescent="0.35">
      <c r="J163" s="136"/>
    </row>
    <row r="164" spans="10:10" x14ac:dyDescent="0.35">
      <c r="J164" s="136"/>
    </row>
    <row r="165" spans="10:10" x14ac:dyDescent="0.35">
      <c r="J165" s="136"/>
    </row>
    <row r="166" spans="10:10" x14ac:dyDescent="0.35">
      <c r="J166" s="136"/>
    </row>
    <row r="167" spans="10:10" x14ac:dyDescent="0.35">
      <c r="J167" s="136"/>
    </row>
    <row r="168" spans="10:10" x14ac:dyDescent="0.35">
      <c r="J168" s="136"/>
    </row>
    <row r="169" spans="10:10" x14ac:dyDescent="0.35">
      <c r="J169" s="136"/>
    </row>
    <row r="170" spans="10:10" x14ac:dyDescent="0.35">
      <c r="J170" s="136"/>
    </row>
    <row r="171" spans="10:10" x14ac:dyDescent="0.35">
      <c r="J171" s="136"/>
    </row>
    <row r="172" spans="10:10" x14ac:dyDescent="0.35">
      <c r="J172" s="136"/>
    </row>
    <row r="173" spans="10:10" x14ac:dyDescent="0.35">
      <c r="J173" s="136"/>
    </row>
    <row r="174" spans="10:10" x14ac:dyDescent="0.35">
      <c r="J174" s="136"/>
    </row>
    <row r="175" spans="10:10" x14ac:dyDescent="0.35">
      <c r="J175" s="136"/>
    </row>
    <row r="176" spans="10:10" x14ac:dyDescent="0.35">
      <c r="J176" s="136"/>
    </row>
    <row r="177" spans="10:10" x14ac:dyDescent="0.35">
      <c r="J177" s="136"/>
    </row>
    <row r="178" spans="10:10" x14ac:dyDescent="0.35">
      <c r="J178" s="136"/>
    </row>
    <row r="179" spans="10:10" x14ac:dyDescent="0.35">
      <c r="J179" s="136"/>
    </row>
    <row r="180" spans="10:10" x14ac:dyDescent="0.35">
      <c r="J180" s="136"/>
    </row>
    <row r="181" spans="10:10" x14ac:dyDescent="0.35">
      <c r="J181" s="136"/>
    </row>
    <row r="182" spans="10:10" x14ac:dyDescent="0.35">
      <c r="J182" s="136"/>
    </row>
    <row r="183" spans="10:10" x14ac:dyDescent="0.35">
      <c r="J183" s="136"/>
    </row>
    <row r="184" spans="10:10" x14ac:dyDescent="0.35">
      <c r="J184" s="136"/>
    </row>
    <row r="185" spans="10:10" x14ac:dyDescent="0.35">
      <c r="J185" s="136"/>
    </row>
    <row r="186" spans="10:10" x14ac:dyDescent="0.35">
      <c r="J186" s="136"/>
    </row>
    <row r="187" spans="10:10" x14ac:dyDescent="0.35">
      <c r="J187" s="136"/>
    </row>
    <row r="188" spans="10:10" x14ac:dyDescent="0.35">
      <c r="J188" s="136"/>
    </row>
    <row r="189" spans="10:10" x14ac:dyDescent="0.35">
      <c r="J189" s="136"/>
    </row>
    <row r="190" spans="10:10" x14ac:dyDescent="0.35">
      <c r="J190" s="136"/>
    </row>
    <row r="191" spans="10:10" x14ac:dyDescent="0.35">
      <c r="J191" s="136"/>
    </row>
    <row r="192" spans="10:10" x14ac:dyDescent="0.35">
      <c r="J192" s="136"/>
    </row>
    <row r="193" spans="10:10" x14ac:dyDescent="0.35">
      <c r="J193" s="136"/>
    </row>
    <row r="194" spans="10:10" x14ac:dyDescent="0.35">
      <c r="J194" s="136"/>
    </row>
    <row r="195" spans="10:10" x14ac:dyDescent="0.35">
      <c r="J195" s="136"/>
    </row>
    <row r="196" spans="10:10" x14ac:dyDescent="0.35">
      <c r="J196" s="136"/>
    </row>
    <row r="197" spans="10:10" x14ac:dyDescent="0.35">
      <c r="J197" s="136"/>
    </row>
    <row r="198" spans="10:10" x14ac:dyDescent="0.35">
      <c r="J198" s="136"/>
    </row>
    <row r="199" spans="10:10" x14ac:dyDescent="0.35">
      <c r="J199" s="136"/>
    </row>
    <row r="200" spans="10:10" x14ac:dyDescent="0.35">
      <c r="J200" s="136"/>
    </row>
    <row r="201" spans="10:10" x14ac:dyDescent="0.35">
      <c r="J201" s="136"/>
    </row>
    <row r="202" spans="10:10" x14ac:dyDescent="0.35">
      <c r="J202" s="136"/>
    </row>
    <row r="203" spans="10:10" x14ac:dyDescent="0.35">
      <c r="J203" s="136"/>
    </row>
    <row r="204" spans="10:10" x14ac:dyDescent="0.35">
      <c r="J204" s="136"/>
    </row>
    <row r="205" spans="10:10" x14ac:dyDescent="0.35">
      <c r="J205" s="136"/>
    </row>
    <row r="206" spans="10:10" x14ac:dyDescent="0.35">
      <c r="J206" s="136"/>
    </row>
    <row r="207" spans="10:10" x14ac:dyDescent="0.35">
      <c r="J207" s="136"/>
    </row>
    <row r="208" spans="10:10" x14ac:dyDescent="0.35">
      <c r="J208" s="136"/>
    </row>
    <row r="209" spans="10:10" x14ac:dyDescent="0.35">
      <c r="J209" s="136"/>
    </row>
    <row r="210" spans="10:10" x14ac:dyDescent="0.35">
      <c r="J210" s="136"/>
    </row>
    <row r="211" spans="10:10" x14ac:dyDescent="0.35">
      <c r="J211" s="136"/>
    </row>
    <row r="212" spans="10:10" x14ac:dyDescent="0.35">
      <c r="J212" s="136"/>
    </row>
    <row r="213" spans="10:10" x14ac:dyDescent="0.35">
      <c r="J213" s="136"/>
    </row>
    <row r="214" spans="10:10" x14ac:dyDescent="0.35">
      <c r="J214" s="136"/>
    </row>
    <row r="215" spans="10:10" x14ac:dyDescent="0.35">
      <c r="J215" s="136"/>
    </row>
    <row r="216" spans="10:10" x14ac:dyDescent="0.35">
      <c r="J216" s="136"/>
    </row>
    <row r="217" spans="10:10" x14ac:dyDescent="0.35">
      <c r="J217" s="136"/>
    </row>
    <row r="218" spans="10:10" x14ac:dyDescent="0.35">
      <c r="J218" s="136"/>
    </row>
    <row r="219" spans="10:10" x14ac:dyDescent="0.35">
      <c r="J219" s="136"/>
    </row>
    <row r="220" spans="10:10" x14ac:dyDescent="0.35">
      <c r="J220" s="136"/>
    </row>
    <row r="221" spans="10:10" x14ac:dyDescent="0.35">
      <c r="J221" s="136"/>
    </row>
    <row r="222" spans="10:10" x14ac:dyDescent="0.35">
      <c r="J222" s="136"/>
    </row>
    <row r="223" spans="10:10" x14ac:dyDescent="0.35">
      <c r="J223" s="136"/>
    </row>
    <row r="224" spans="10:10" x14ac:dyDescent="0.35">
      <c r="J224" s="136"/>
    </row>
    <row r="225" spans="10:10" x14ac:dyDescent="0.35">
      <c r="J225" s="136"/>
    </row>
    <row r="226" spans="10:10" x14ac:dyDescent="0.35">
      <c r="J226" s="136"/>
    </row>
    <row r="227" spans="10:10" x14ac:dyDescent="0.35">
      <c r="J227" s="136"/>
    </row>
    <row r="228" spans="10:10" x14ac:dyDescent="0.35">
      <c r="J228" s="136"/>
    </row>
    <row r="229" spans="10:10" x14ac:dyDescent="0.35">
      <c r="J229" s="136"/>
    </row>
    <row r="230" spans="10:10" x14ac:dyDescent="0.35">
      <c r="J230" s="136"/>
    </row>
    <row r="231" spans="10:10" x14ac:dyDescent="0.35">
      <c r="J231" s="136"/>
    </row>
    <row r="232" spans="10:10" x14ac:dyDescent="0.35">
      <c r="J232" s="136"/>
    </row>
    <row r="233" spans="10:10" x14ac:dyDescent="0.35">
      <c r="J233" s="136"/>
    </row>
    <row r="234" spans="10:10" x14ac:dyDescent="0.35">
      <c r="J234" s="136"/>
    </row>
    <row r="235" spans="10:10" x14ac:dyDescent="0.35">
      <c r="J235" s="136"/>
    </row>
    <row r="236" spans="10:10" x14ac:dyDescent="0.35">
      <c r="J236" s="136"/>
    </row>
    <row r="237" spans="10:10" x14ac:dyDescent="0.35">
      <c r="J237" s="136"/>
    </row>
    <row r="238" spans="10:10" x14ac:dyDescent="0.35">
      <c r="J238" s="136"/>
    </row>
    <row r="239" spans="10:10" x14ac:dyDescent="0.35">
      <c r="J239" s="136"/>
    </row>
    <row r="240" spans="10:10" x14ac:dyDescent="0.35">
      <c r="J240" s="136"/>
    </row>
    <row r="241" spans="10:10" x14ac:dyDescent="0.35">
      <c r="J241" s="136"/>
    </row>
    <row r="242" spans="10:10" x14ac:dyDescent="0.35">
      <c r="J242" s="136"/>
    </row>
    <row r="243" spans="10:10" x14ac:dyDescent="0.35">
      <c r="J243" s="136"/>
    </row>
    <row r="244" spans="10:10" x14ac:dyDescent="0.35">
      <c r="J244" s="136"/>
    </row>
    <row r="245" spans="10:10" x14ac:dyDescent="0.35">
      <c r="J245" s="136"/>
    </row>
    <row r="246" spans="10:10" x14ac:dyDescent="0.35">
      <c r="J246" s="136"/>
    </row>
    <row r="247" spans="10:10" x14ac:dyDescent="0.35">
      <c r="J247" s="136"/>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0CFB6-C0AD-4545-A7F2-20458DAF85D7}">
  <sheetPr codeName="Sheet3"/>
  <dimension ref="A1:F152"/>
  <sheetViews>
    <sheetView zoomScale="90" zoomScaleNormal="90" workbookViewId="0">
      <selection activeCell="D33" sqref="D33"/>
    </sheetView>
  </sheetViews>
  <sheetFormatPr defaultRowHeight="14.5" x14ac:dyDescent="0.35"/>
  <cols>
    <col min="1" max="1" width="12.81640625" customWidth="1"/>
    <col min="2" max="2" width="20.54296875" customWidth="1"/>
    <col min="3" max="3" width="18" customWidth="1"/>
    <col min="4" max="4" width="18.26953125" customWidth="1"/>
    <col min="5" max="5" width="14.1796875" customWidth="1"/>
    <col min="6" max="6" width="13" customWidth="1"/>
  </cols>
  <sheetData>
    <row r="1" spans="1:6" ht="18.5" x14ac:dyDescent="0.45">
      <c r="B1" s="47" t="s">
        <v>77</v>
      </c>
      <c r="E1" s="51"/>
      <c r="F1" s="51"/>
    </row>
    <row r="2" spans="1:6" x14ac:dyDescent="0.35">
      <c r="B2" s="1" t="s">
        <v>31</v>
      </c>
      <c r="C2" s="58" t="s">
        <v>32</v>
      </c>
      <c r="D2" s="9" t="s">
        <v>33</v>
      </c>
      <c r="E2" s="1" t="s">
        <v>34</v>
      </c>
      <c r="F2" s="1" t="s">
        <v>35</v>
      </c>
    </row>
    <row r="3" spans="1:6" x14ac:dyDescent="0.35">
      <c r="B3" s="53"/>
      <c r="C3" s="53"/>
      <c r="D3" s="53"/>
      <c r="E3" s="59"/>
      <c r="F3" s="60"/>
    </row>
    <row r="4" spans="1:6" x14ac:dyDescent="0.35">
      <c r="A4" s="2" t="str">
        <f>B4&amp;"-"&amp;C4</f>
        <v>0-1</v>
      </c>
      <c r="B4" s="53">
        <v>0</v>
      </c>
      <c r="C4" s="53">
        <v>1</v>
      </c>
      <c r="D4" s="53">
        <v>0.110923576</v>
      </c>
      <c r="E4" s="61">
        <f>D4/D$27</f>
        <v>0.45718454341699016</v>
      </c>
      <c r="F4" s="40">
        <v>4.4160360396073801E-2</v>
      </c>
    </row>
    <row r="5" spans="1:6" x14ac:dyDescent="0.35">
      <c r="A5" s="2" t="str">
        <f t="shared" ref="A5:A26" si="0">B5&amp;"-"&amp;C5</f>
        <v>1-2</v>
      </c>
      <c r="B5" s="53">
        <v>1</v>
      </c>
      <c r="C5" s="53">
        <v>2</v>
      </c>
      <c r="D5" s="53">
        <v>4.0385971999999999E-2</v>
      </c>
      <c r="E5" s="61">
        <f t="shared" ref="E5:E26" si="1">D5/D$27</f>
        <v>0.16645552582321499</v>
      </c>
      <c r="F5" s="40">
        <v>5.4443287998248199E-2</v>
      </c>
    </row>
    <row r="6" spans="1:6" x14ac:dyDescent="0.35">
      <c r="A6" s="2" t="str">
        <f t="shared" si="0"/>
        <v>2-3</v>
      </c>
      <c r="B6" s="53">
        <v>2</v>
      </c>
      <c r="C6" s="53">
        <v>3</v>
      </c>
      <c r="D6" s="53">
        <v>2.134898E-2</v>
      </c>
      <c r="E6" s="61">
        <f t="shared" si="1"/>
        <v>8.7992327922410782E-2</v>
      </c>
      <c r="F6" s="40">
        <v>5.0122472800156803E-2</v>
      </c>
    </row>
    <row r="7" spans="1:6" x14ac:dyDescent="0.35">
      <c r="A7" s="2" t="str">
        <f t="shared" si="0"/>
        <v>3-4</v>
      </c>
      <c r="B7" s="62">
        <v>3</v>
      </c>
      <c r="C7" s="62">
        <v>4</v>
      </c>
      <c r="D7" s="53">
        <v>1.2985424000000001E-2</v>
      </c>
      <c r="E7" s="61">
        <f t="shared" si="1"/>
        <v>5.3520949798048584E-2</v>
      </c>
      <c r="F7" s="40">
        <v>4.3473584200008901E-2</v>
      </c>
    </row>
    <row r="8" spans="1:6" x14ac:dyDescent="0.35">
      <c r="A8" s="2" t="str">
        <f t="shared" si="0"/>
        <v>4-5</v>
      </c>
      <c r="B8" s="62">
        <v>4</v>
      </c>
      <c r="C8" s="62">
        <v>5</v>
      </c>
      <c r="D8" s="53">
        <v>1.0085224E-2</v>
      </c>
      <c r="E8" s="61">
        <f t="shared" si="1"/>
        <v>4.1567434949068643E-2</v>
      </c>
      <c r="F8" s="40">
        <v>4.3395650599866303E-2</v>
      </c>
    </row>
    <row r="9" spans="1:6" x14ac:dyDescent="0.35">
      <c r="A9" s="2" t="str">
        <f t="shared" si="0"/>
        <v>5-6</v>
      </c>
      <c r="B9" s="53">
        <v>5</v>
      </c>
      <c r="C9" s="53">
        <v>6</v>
      </c>
      <c r="D9" s="53">
        <v>6.8862760000000002E-3</v>
      </c>
      <c r="E9" s="61">
        <f t="shared" si="1"/>
        <v>2.8382595138326389E-2</v>
      </c>
      <c r="F9" s="40">
        <v>3.6551102399859099E-2</v>
      </c>
    </row>
    <row r="10" spans="1:6" x14ac:dyDescent="0.35">
      <c r="A10" s="2" t="str">
        <f t="shared" si="0"/>
        <v>6-7</v>
      </c>
      <c r="B10" s="53">
        <v>6</v>
      </c>
      <c r="C10" s="53">
        <v>7</v>
      </c>
      <c r="D10" s="53">
        <v>6.1393419999999999E-3</v>
      </c>
      <c r="E10" s="61">
        <f t="shared" si="1"/>
        <v>2.5304018950405561E-2</v>
      </c>
      <c r="F10" s="40">
        <v>3.8628060399903998E-2</v>
      </c>
    </row>
    <row r="11" spans="1:6" x14ac:dyDescent="0.35">
      <c r="A11" s="2" t="str">
        <f t="shared" si="0"/>
        <v>7-8</v>
      </c>
      <c r="B11" s="53">
        <v>7</v>
      </c>
      <c r="C11" s="53">
        <v>8</v>
      </c>
      <c r="D11" s="53">
        <v>4.3634520000000003E-3</v>
      </c>
      <c r="E11" s="61">
        <f t="shared" si="1"/>
        <v>1.7984479785811747E-2</v>
      </c>
      <c r="F11" s="40">
        <v>3.1852507799924198E-2</v>
      </c>
    </row>
    <row r="12" spans="1:6" x14ac:dyDescent="0.35">
      <c r="A12" s="2" t="str">
        <f t="shared" si="0"/>
        <v>8-9</v>
      </c>
      <c r="B12" s="53">
        <v>8</v>
      </c>
      <c r="C12" s="53">
        <v>9</v>
      </c>
      <c r="D12" s="53">
        <v>3.8495780000000002E-3</v>
      </c>
      <c r="E12" s="61">
        <f t="shared" si="1"/>
        <v>1.586648775439849E-2</v>
      </c>
      <c r="F12" s="40">
        <v>3.1802745599968603E-2</v>
      </c>
    </row>
    <row r="13" spans="1:6" x14ac:dyDescent="0.35">
      <c r="A13" s="2" t="str">
        <f t="shared" si="0"/>
        <v>9-10</v>
      </c>
      <c r="B13" s="53">
        <v>9</v>
      </c>
      <c r="C13" s="53">
        <v>10</v>
      </c>
      <c r="D13" s="53">
        <v>3.0729300000000002E-3</v>
      </c>
      <c r="E13" s="61">
        <f t="shared" si="1"/>
        <v>1.2665441826382984E-2</v>
      </c>
      <c r="F13" s="40">
        <v>2.85690951999776E-2</v>
      </c>
    </row>
    <row r="14" spans="1:6" x14ac:dyDescent="0.35">
      <c r="A14" s="2" t="str">
        <f t="shared" si="0"/>
        <v>10-15</v>
      </c>
      <c r="B14" s="53">
        <v>10</v>
      </c>
      <c r="C14" s="53">
        <v>15</v>
      </c>
      <c r="D14" s="53">
        <v>9.3757200000000006E-3</v>
      </c>
      <c r="E14" s="61">
        <f t="shared" si="1"/>
        <v>3.8643130901275156E-2</v>
      </c>
      <c r="F14" s="40">
        <v>0.11186071240032799</v>
      </c>
    </row>
    <row r="15" spans="1:6" x14ac:dyDescent="0.35">
      <c r="A15" s="2" t="str">
        <f t="shared" si="0"/>
        <v>15-20</v>
      </c>
      <c r="B15" s="53">
        <v>15</v>
      </c>
      <c r="C15" s="53">
        <v>20</v>
      </c>
      <c r="D15" s="53">
        <v>4.154942E-3</v>
      </c>
      <c r="E15" s="61">
        <f t="shared" si="1"/>
        <v>1.7125081337028624E-2</v>
      </c>
      <c r="F15" s="40">
        <v>7.0588297999990404E-2</v>
      </c>
    </row>
    <row r="16" spans="1:6" x14ac:dyDescent="0.35">
      <c r="A16" s="2" t="str">
        <f t="shared" si="0"/>
        <v>20-25</v>
      </c>
      <c r="B16" s="53">
        <v>20</v>
      </c>
      <c r="C16" s="53">
        <v>25</v>
      </c>
      <c r="D16" s="63">
        <v>2.4205199999999998E-3</v>
      </c>
      <c r="E16" s="61">
        <f t="shared" si="1"/>
        <v>9.9764574037145455E-3</v>
      </c>
      <c r="F16" s="40">
        <v>5.3340109999978097E-2</v>
      </c>
    </row>
    <row r="17" spans="1:6" x14ac:dyDescent="0.35">
      <c r="A17" s="2" t="str">
        <f t="shared" si="0"/>
        <v>25-40</v>
      </c>
      <c r="B17" s="53">
        <v>25</v>
      </c>
      <c r="C17" s="53">
        <v>40</v>
      </c>
      <c r="D17" s="53">
        <v>3.6077679999999999E-3</v>
      </c>
      <c r="E17" s="61">
        <f t="shared" si="1"/>
        <v>1.4869839445443301E-2</v>
      </c>
      <c r="F17" s="40">
        <v>0.11209942000015</v>
      </c>
    </row>
    <row r="18" spans="1:6" x14ac:dyDescent="0.35">
      <c r="A18" s="2" t="str">
        <f t="shared" si="0"/>
        <v>40-50</v>
      </c>
      <c r="B18" s="53">
        <v>40</v>
      </c>
      <c r="C18" s="53">
        <v>50</v>
      </c>
      <c r="D18" s="63">
        <v>1.1569219999999999E-3</v>
      </c>
      <c r="E18" s="61">
        <f t="shared" si="1"/>
        <v>4.7683898717714533E-3</v>
      </c>
      <c r="F18" s="40">
        <v>5.11464175999835E-2</v>
      </c>
    </row>
    <row r="19" spans="1:6" x14ac:dyDescent="0.35">
      <c r="A19" s="2" t="str">
        <f t="shared" si="0"/>
        <v>50-75</v>
      </c>
      <c r="B19" s="53">
        <v>50</v>
      </c>
      <c r="C19" s="53">
        <v>75</v>
      </c>
      <c r="D19" s="63">
        <v>1.268326E-3</v>
      </c>
      <c r="E19" s="61">
        <f t="shared" si="1"/>
        <v>5.2275545391170719E-3</v>
      </c>
      <c r="F19" s="40">
        <v>7.5426108000001199E-2</v>
      </c>
    </row>
    <row r="20" spans="1:6" x14ac:dyDescent="0.35">
      <c r="A20" s="2" t="str">
        <f t="shared" si="0"/>
        <v>75-100</v>
      </c>
      <c r="B20" s="53">
        <v>75</v>
      </c>
      <c r="C20" s="53">
        <v>100</v>
      </c>
      <c r="D20" s="63">
        <v>3.60078E-4</v>
      </c>
      <c r="E20" s="61">
        <f t="shared" si="1"/>
        <v>1.4841037582894281E-3</v>
      </c>
      <c r="F20" s="65">
        <v>3.0562109799995699E-2</v>
      </c>
    </row>
    <row r="21" spans="1:6" x14ac:dyDescent="0.35">
      <c r="A21" s="2" t="str">
        <f t="shared" si="0"/>
        <v>100-150</v>
      </c>
      <c r="B21" s="53">
        <v>100</v>
      </c>
      <c r="C21" s="53">
        <v>150</v>
      </c>
      <c r="D21" s="63">
        <v>1.7510400000000001E-4</v>
      </c>
      <c r="E21" s="61">
        <f t="shared" si="1"/>
        <v>7.2171169716425893E-4</v>
      </c>
      <c r="F21" s="65">
        <v>2.04878721999994E-2</v>
      </c>
    </row>
    <row r="22" spans="1:6" x14ac:dyDescent="0.35">
      <c r="A22" s="2" t="str">
        <f t="shared" si="0"/>
        <v>150-200</v>
      </c>
      <c r="B22" s="53">
        <v>150</v>
      </c>
      <c r="C22" s="53">
        <v>200</v>
      </c>
      <c r="D22" s="63">
        <v>3.3648E-5</v>
      </c>
      <c r="E22" s="61">
        <f t="shared" si="1"/>
        <v>1.3868418303512758E-4</v>
      </c>
      <c r="F22" s="65">
        <v>5.6840130000000199E-3</v>
      </c>
    </row>
    <row r="23" spans="1:6" x14ac:dyDescent="0.35">
      <c r="A23" s="2" t="str">
        <f t="shared" si="0"/>
        <v>200-300</v>
      </c>
      <c r="B23" s="53">
        <v>200</v>
      </c>
      <c r="C23" s="53">
        <v>300</v>
      </c>
      <c r="D23" s="63">
        <v>1.8179999999999999E-5</v>
      </c>
      <c r="E23" s="61">
        <f t="shared" si="1"/>
        <v>7.4931004742588542E-5</v>
      </c>
      <c r="F23" s="65">
        <v>4.2139299999999899E-3</v>
      </c>
    </row>
    <row r="24" spans="1:6" x14ac:dyDescent="0.35">
      <c r="A24" s="2" t="str">
        <f t="shared" si="0"/>
        <v>300-400</v>
      </c>
      <c r="B24" s="53">
        <v>300</v>
      </c>
      <c r="C24" s="53">
        <v>400</v>
      </c>
      <c r="D24" s="63">
        <v>4.1219999999999997E-6</v>
      </c>
      <c r="E24" s="61">
        <f t="shared" si="1"/>
        <v>1.6989307015893837E-5</v>
      </c>
      <c r="F24" s="65">
        <v>1.3919793999999899E-3</v>
      </c>
    </row>
    <row r="25" spans="1:6" x14ac:dyDescent="0.35">
      <c r="A25" s="2" t="str">
        <f t="shared" si="0"/>
        <v>400-500</v>
      </c>
      <c r="B25" s="53">
        <v>400</v>
      </c>
      <c r="C25" s="53">
        <v>500</v>
      </c>
      <c r="D25" s="63">
        <v>1.6279999999999999E-6</v>
      </c>
      <c r="E25" s="61">
        <f t="shared" si="1"/>
        <v>6.709993163967775E-6</v>
      </c>
      <c r="F25" s="65">
        <v>7.1070999999999895E-4</v>
      </c>
    </row>
    <row r="26" spans="1:6" x14ac:dyDescent="0.35">
      <c r="A26" s="2" t="str">
        <f t="shared" si="0"/>
        <v>500-20000</v>
      </c>
      <c r="B26" s="53">
        <v>500</v>
      </c>
      <c r="C26" s="53">
        <v>20000</v>
      </c>
      <c r="D26" s="63">
        <v>5.4859999999999997E-6</v>
      </c>
      <c r="E26" s="61">
        <f t="shared" si="1"/>
        <v>2.2611193180299273E-5</v>
      </c>
      <c r="F26" s="65">
        <v>4.0224055999999904E-3</v>
      </c>
    </row>
    <row r="27" spans="1:6" x14ac:dyDescent="0.35">
      <c r="C27" t="s">
        <v>11</v>
      </c>
      <c r="D27" s="64">
        <f>SUM(D3:D26)</f>
        <v>0.24262319799999998</v>
      </c>
      <c r="E27" s="60">
        <f>SUM(E3:E26)</f>
        <v>0.99999999999999978</v>
      </c>
      <c r="F27" s="40">
        <f>SUM(F3:F26)</f>
        <v>0.9445329533944139</v>
      </c>
    </row>
    <row r="28" spans="1:6" x14ac:dyDescent="0.35">
      <c r="E28" s="60"/>
    </row>
    <row r="30" spans="1:6" x14ac:dyDescent="0.35">
      <c r="C30" s="1"/>
      <c r="D30" s="40"/>
    </row>
    <row r="31" spans="1:6" x14ac:dyDescent="0.35">
      <c r="C31" s="1"/>
    </row>
    <row r="32" spans="1:6" x14ac:dyDescent="0.35">
      <c r="C32" s="1"/>
    </row>
    <row r="33" spans="1:6" ht="18.5" x14ac:dyDescent="0.45">
      <c r="B33" s="47" t="s">
        <v>78</v>
      </c>
      <c r="E33" s="51"/>
      <c r="F33" s="51"/>
    </row>
    <row r="34" spans="1:6" x14ac:dyDescent="0.35">
      <c r="B34" s="1" t="s">
        <v>31</v>
      </c>
      <c r="C34" s="58" t="s">
        <v>32</v>
      </c>
      <c r="D34" s="9" t="s">
        <v>33</v>
      </c>
      <c r="E34" s="1" t="s">
        <v>34</v>
      </c>
      <c r="F34" s="1" t="s">
        <v>35</v>
      </c>
    </row>
    <row r="35" spans="1:6" x14ac:dyDescent="0.35">
      <c r="B35" s="53"/>
      <c r="C35" s="53"/>
      <c r="D35" s="53"/>
      <c r="E35" s="59"/>
      <c r="F35" s="60"/>
    </row>
    <row r="36" spans="1:6" x14ac:dyDescent="0.35">
      <c r="A36" s="2" t="str">
        <f t="shared" ref="A36:A58" si="2">B36&amp;"-"&amp;C36</f>
        <v>0-1</v>
      </c>
      <c r="B36" s="53">
        <v>0</v>
      </c>
      <c r="C36" s="53">
        <v>1</v>
      </c>
      <c r="D36" s="53">
        <v>0.11185845799999999</v>
      </c>
      <c r="E36" s="61">
        <f t="shared" ref="E36:E58" si="3">D36/D$59</f>
        <v>0.47081356746326147</v>
      </c>
      <c r="F36" s="40">
        <v>4.4427610395991399E-2</v>
      </c>
    </row>
    <row r="37" spans="1:6" x14ac:dyDescent="0.35">
      <c r="A37" s="2" t="str">
        <f t="shared" si="2"/>
        <v>1-2</v>
      </c>
      <c r="B37" s="53">
        <v>1</v>
      </c>
      <c r="C37" s="53">
        <v>2</v>
      </c>
      <c r="D37" s="53">
        <v>4.0441119999999997E-2</v>
      </c>
      <c r="E37" s="61">
        <f t="shared" si="3"/>
        <v>0.17021715049397385</v>
      </c>
      <c r="F37" s="40">
        <v>5.4514670198244103E-2</v>
      </c>
    </row>
    <row r="38" spans="1:6" x14ac:dyDescent="0.35">
      <c r="A38" s="2" t="str">
        <f t="shared" si="2"/>
        <v>2-3</v>
      </c>
      <c r="B38" s="53">
        <v>2</v>
      </c>
      <c r="C38" s="53">
        <v>3</v>
      </c>
      <c r="D38" s="53">
        <v>2.1390184E-2</v>
      </c>
      <c r="E38" s="61">
        <f t="shared" si="3"/>
        <v>9.0031536441666088E-2</v>
      </c>
      <c r="F38" s="40">
        <v>5.0217214400157799E-2</v>
      </c>
    </row>
    <row r="39" spans="1:6" x14ac:dyDescent="0.35">
      <c r="A39" s="2" t="str">
        <f t="shared" si="2"/>
        <v>3-4</v>
      </c>
      <c r="B39" s="62">
        <v>3</v>
      </c>
      <c r="C39" s="62">
        <v>4</v>
      </c>
      <c r="D39" s="53">
        <v>1.3028400000000001E-2</v>
      </c>
      <c r="E39" s="61">
        <f t="shared" si="3"/>
        <v>5.4836689080215606E-2</v>
      </c>
      <c r="F39" s="40">
        <v>4.3614238600009902E-2</v>
      </c>
    </row>
    <row r="40" spans="1:6" x14ac:dyDescent="0.35">
      <c r="A40" s="2" t="str">
        <f t="shared" si="2"/>
        <v>4-5</v>
      </c>
      <c r="B40" s="62">
        <v>4</v>
      </c>
      <c r="C40" s="62">
        <v>5</v>
      </c>
      <c r="D40" s="53">
        <v>1.0120296000000001E-2</v>
      </c>
      <c r="E40" s="61">
        <f t="shared" si="3"/>
        <v>4.2596445085486302E-2</v>
      </c>
      <c r="F40" s="40">
        <v>4.3544961399863899E-2</v>
      </c>
    </row>
    <row r="41" spans="1:6" x14ac:dyDescent="0.35">
      <c r="A41" s="2" t="str">
        <f t="shared" si="2"/>
        <v>5-6</v>
      </c>
      <c r="B41" s="53">
        <v>5</v>
      </c>
      <c r="C41" s="53">
        <v>6</v>
      </c>
      <c r="D41" s="53">
        <v>6.9051980000000004E-3</v>
      </c>
      <c r="E41" s="61">
        <f t="shared" si="3"/>
        <v>2.9064059728234216E-2</v>
      </c>
      <c r="F41" s="40">
        <v>3.6649110599858502E-2</v>
      </c>
    </row>
    <row r="42" spans="1:6" x14ac:dyDescent="0.35">
      <c r="A42" s="2" t="str">
        <f t="shared" si="2"/>
        <v>6-7</v>
      </c>
      <c r="B42" s="53">
        <v>6</v>
      </c>
      <c r="C42" s="53">
        <v>7</v>
      </c>
      <c r="D42" s="53">
        <v>6.1390680000000001E-3</v>
      </c>
      <c r="E42" s="61">
        <f t="shared" si="3"/>
        <v>2.5839409532889768E-2</v>
      </c>
      <c r="F42" s="40">
        <v>3.8624359199904097E-2</v>
      </c>
    </row>
    <row r="43" spans="1:6" x14ac:dyDescent="0.35">
      <c r="A43" s="2" t="str">
        <f t="shared" si="2"/>
        <v>7-8</v>
      </c>
      <c r="B43" s="53">
        <v>7</v>
      </c>
      <c r="C43" s="53">
        <v>8</v>
      </c>
      <c r="D43" s="53">
        <v>4.343024E-3</v>
      </c>
      <c r="E43" s="61">
        <f t="shared" si="3"/>
        <v>1.8279839178710688E-2</v>
      </c>
      <c r="F43" s="40">
        <v>3.1701479999924703E-2</v>
      </c>
    </row>
    <row r="44" spans="1:6" x14ac:dyDescent="0.35">
      <c r="A44" s="2" t="str">
        <f t="shared" si="2"/>
        <v>8-9</v>
      </c>
      <c r="B44" s="53">
        <v>8</v>
      </c>
      <c r="C44" s="53">
        <v>9</v>
      </c>
      <c r="D44" s="53">
        <v>3.8092899999999999E-3</v>
      </c>
      <c r="E44" s="61">
        <f t="shared" si="3"/>
        <v>1.6033346485092144E-2</v>
      </c>
      <c r="F44" s="40">
        <v>3.14670137999696E-2</v>
      </c>
    </row>
    <row r="45" spans="1:6" x14ac:dyDescent="0.35">
      <c r="A45" s="2" t="str">
        <f t="shared" si="2"/>
        <v>9-10</v>
      </c>
      <c r="B45" s="53">
        <v>9</v>
      </c>
      <c r="C45" s="53">
        <v>10</v>
      </c>
      <c r="D45" s="53">
        <v>3.0152260000000002E-3</v>
      </c>
      <c r="E45" s="61">
        <f t="shared" si="3"/>
        <v>1.2691121754673037E-2</v>
      </c>
      <c r="F45" s="40">
        <v>2.8031383799978899E-2</v>
      </c>
    </row>
    <row r="46" spans="1:6" x14ac:dyDescent="0.35">
      <c r="A46" s="2" t="str">
        <f t="shared" si="2"/>
        <v>10-15</v>
      </c>
      <c r="B46" s="53">
        <v>10</v>
      </c>
      <c r="C46" s="53">
        <v>15</v>
      </c>
      <c r="D46" s="53">
        <v>8.8848759999999999E-3</v>
      </c>
      <c r="E46" s="61">
        <f t="shared" si="3"/>
        <v>3.7396547751701648E-2</v>
      </c>
      <c r="F46" s="40">
        <v>0.105706427800267</v>
      </c>
    </row>
    <row r="47" spans="1:6" x14ac:dyDescent="0.35">
      <c r="A47" s="2" t="str">
        <f t="shared" si="2"/>
        <v>15-20</v>
      </c>
      <c r="B47" s="53">
        <v>15</v>
      </c>
      <c r="C47" s="53">
        <v>20</v>
      </c>
      <c r="D47" s="53">
        <v>3.4630239999999999E-3</v>
      </c>
      <c r="E47" s="61">
        <f t="shared" si="3"/>
        <v>1.4575908811928138E-2</v>
      </c>
      <c r="F47" s="40">
        <v>5.85797613999713E-2</v>
      </c>
    </row>
    <row r="48" spans="1:6" x14ac:dyDescent="0.35">
      <c r="A48" s="2" t="str">
        <f t="shared" si="2"/>
        <v>20-25</v>
      </c>
      <c r="B48" s="53">
        <v>20</v>
      </c>
      <c r="C48" s="53">
        <v>25</v>
      </c>
      <c r="D48" s="53">
        <v>1.6761899999999999E-3</v>
      </c>
      <c r="E48" s="61">
        <f t="shared" si="3"/>
        <v>7.0551034562468598E-3</v>
      </c>
      <c r="F48" s="40">
        <v>3.6756174199979397E-2</v>
      </c>
    </row>
    <row r="49" spans="1:6" x14ac:dyDescent="0.35">
      <c r="A49" s="2" t="str">
        <f t="shared" si="2"/>
        <v>25-40</v>
      </c>
      <c r="B49" s="53">
        <v>25</v>
      </c>
      <c r="C49" s="53">
        <v>40</v>
      </c>
      <c r="D49" s="53">
        <v>1.7220919999999999E-3</v>
      </c>
      <c r="E49" s="61">
        <f t="shared" si="3"/>
        <v>7.2483055149923743E-3</v>
      </c>
      <c r="F49" s="40">
        <v>5.2122595999980398E-2</v>
      </c>
    </row>
    <row r="50" spans="1:6" x14ac:dyDescent="0.35">
      <c r="A50" s="2" t="str">
        <f t="shared" si="2"/>
        <v>40-50</v>
      </c>
      <c r="B50" s="53">
        <v>40</v>
      </c>
      <c r="C50" s="53">
        <v>50</v>
      </c>
      <c r="D50" s="63">
        <v>3.3459800000000002E-4</v>
      </c>
      <c r="E50" s="61">
        <f t="shared" si="3"/>
        <v>1.4083269237098941E-3</v>
      </c>
      <c r="F50" s="40">
        <v>1.4606350000001401E-2</v>
      </c>
    </row>
    <row r="51" spans="1:6" x14ac:dyDescent="0.35">
      <c r="A51" s="2" t="str">
        <f t="shared" si="2"/>
        <v>50-75</v>
      </c>
      <c r="B51" s="53">
        <v>50</v>
      </c>
      <c r="C51" s="53">
        <v>75</v>
      </c>
      <c r="D51" s="63">
        <v>3.1226000000000002E-4</v>
      </c>
      <c r="E51" s="61">
        <f t="shared" si="3"/>
        <v>1.3143060185585433E-3</v>
      </c>
      <c r="F51" s="40">
        <v>1.8247376200000501E-2</v>
      </c>
    </row>
    <row r="52" spans="1:6" x14ac:dyDescent="0.35">
      <c r="A52" s="2" t="str">
        <f t="shared" si="2"/>
        <v>75-100</v>
      </c>
      <c r="B52" s="53">
        <v>75</v>
      </c>
      <c r="C52" s="53">
        <v>100</v>
      </c>
      <c r="D52" s="63">
        <v>6.9445999999999999E-5</v>
      </c>
      <c r="E52" s="61">
        <f t="shared" si="3"/>
        <v>2.9229903210406901E-4</v>
      </c>
      <c r="F52" s="40">
        <v>5.8942188000000399E-3</v>
      </c>
    </row>
    <row r="53" spans="1:6" x14ac:dyDescent="0.35">
      <c r="A53" s="2" t="str">
        <f t="shared" si="2"/>
        <v>100-150</v>
      </c>
      <c r="B53" s="53">
        <v>100</v>
      </c>
      <c r="C53" s="53">
        <v>150</v>
      </c>
      <c r="D53" s="63">
        <v>4.8640000000000002E-5</v>
      </c>
      <c r="E53" s="61">
        <f t="shared" si="3"/>
        <v>2.0472633300034441E-4</v>
      </c>
      <c r="F53" s="40">
        <v>5.7124242000000302E-3</v>
      </c>
    </row>
    <row r="54" spans="1:6" x14ac:dyDescent="0.35">
      <c r="A54" s="2" t="str">
        <f t="shared" si="2"/>
        <v>150-200</v>
      </c>
      <c r="B54" s="53">
        <v>150</v>
      </c>
      <c r="C54" s="53">
        <v>200</v>
      </c>
      <c r="D54" s="63">
        <v>1.2044E-5</v>
      </c>
      <c r="E54" s="61">
        <f t="shared" si="3"/>
        <v>5.0693337883555679E-5</v>
      </c>
      <c r="F54" s="65">
        <v>2.0284232000000002E-3</v>
      </c>
    </row>
    <row r="55" spans="1:6" x14ac:dyDescent="0.35">
      <c r="A55" s="2" t="str">
        <f t="shared" si="2"/>
        <v>200-300</v>
      </c>
      <c r="B55" s="53">
        <v>200</v>
      </c>
      <c r="C55" s="53">
        <v>300</v>
      </c>
      <c r="D55" s="63">
        <v>8.4419999999999998E-6</v>
      </c>
      <c r="E55" s="61">
        <f t="shared" si="3"/>
        <v>3.5532477450429844E-5</v>
      </c>
      <c r="F55" s="65">
        <v>1.9103589999999999E-3</v>
      </c>
    </row>
    <row r="56" spans="1:6" x14ac:dyDescent="0.35">
      <c r="A56" s="2" t="str">
        <f t="shared" si="2"/>
        <v>300-400</v>
      </c>
      <c r="B56" s="53">
        <v>300</v>
      </c>
      <c r="C56" s="53">
        <v>400</v>
      </c>
      <c r="D56" s="63">
        <v>1.9E-6</v>
      </c>
      <c r="E56" s="61">
        <f t="shared" si="3"/>
        <v>7.997122382825953E-6</v>
      </c>
      <c r="F56" s="65">
        <v>6.3845279999999905E-4</v>
      </c>
    </row>
    <row r="57" spans="1:6" x14ac:dyDescent="0.35">
      <c r="A57" s="2" t="str">
        <f t="shared" si="2"/>
        <v>400-500</v>
      </c>
      <c r="B57" s="53">
        <v>400</v>
      </c>
      <c r="C57" s="53">
        <v>500</v>
      </c>
      <c r="D57" s="63">
        <v>8.2799999999999995E-7</v>
      </c>
      <c r="E57" s="61">
        <f t="shared" si="3"/>
        <v>3.4850617541999416E-6</v>
      </c>
      <c r="F57" s="65">
        <v>3.5425840000000001E-4</v>
      </c>
    </row>
    <row r="58" spans="1:6" x14ac:dyDescent="0.35">
      <c r="A58" s="2" t="str">
        <f t="shared" si="2"/>
        <v>500-20000</v>
      </c>
      <c r="B58" s="53">
        <v>500</v>
      </c>
      <c r="C58" s="53">
        <v>20000</v>
      </c>
      <c r="D58" s="63">
        <v>8.5600000000000004E-7</v>
      </c>
      <c r="E58" s="61">
        <f t="shared" si="3"/>
        <v>3.6029140840521138E-6</v>
      </c>
      <c r="F58" s="65">
        <v>5.8575399999999996E-4</v>
      </c>
    </row>
    <row r="59" spans="1:6" x14ac:dyDescent="0.35">
      <c r="C59" t="s">
        <v>11</v>
      </c>
      <c r="D59" s="64">
        <f>SUM(D35:D58)</f>
        <v>0.23758545999999997</v>
      </c>
      <c r="E59" s="60">
        <f>SUM(E35:E58)</f>
        <v>1</v>
      </c>
      <c r="F59" s="40">
        <f>SUM(F35:F58)</f>
        <v>0.70593461839410299</v>
      </c>
    </row>
    <row r="65" spans="1:6" ht="18.5" x14ac:dyDescent="0.45">
      <c r="B65" s="47"/>
      <c r="E65" s="51"/>
      <c r="F65" s="51"/>
    </row>
    <row r="66" spans="1:6" x14ac:dyDescent="0.35">
      <c r="B66" s="1"/>
      <c r="C66" s="58"/>
      <c r="D66" s="9"/>
      <c r="E66" s="1"/>
      <c r="F66" s="1"/>
    </row>
    <row r="67" spans="1:6" x14ac:dyDescent="0.35">
      <c r="E67" s="29"/>
      <c r="F67" s="80"/>
    </row>
    <row r="68" spans="1:6" x14ac:dyDescent="0.35">
      <c r="A68" s="2"/>
      <c r="E68" s="80"/>
      <c r="F68" s="29"/>
    </row>
    <row r="69" spans="1:6" x14ac:dyDescent="0.35">
      <c r="A69" s="2"/>
      <c r="E69" s="80"/>
      <c r="F69" s="29"/>
    </row>
    <row r="70" spans="1:6" x14ac:dyDescent="0.35">
      <c r="A70" s="2"/>
      <c r="E70" s="80"/>
      <c r="F70" s="29"/>
    </row>
    <row r="71" spans="1:6" x14ac:dyDescent="0.35">
      <c r="A71" s="2"/>
      <c r="B71" s="1"/>
      <c r="C71" s="1"/>
      <c r="E71" s="80"/>
      <c r="F71" s="29"/>
    </row>
    <row r="72" spans="1:6" x14ac:dyDescent="0.35">
      <c r="A72" s="2"/>
      <c r="B72" s="1"/>
      <c r="C72" s="1"/>
      <c r="E72" s="80"/>
      <c r="F72" s="29"/>
    </row>
    <row r="73" spans="1:6" x14ac:dyDescent="0.35">
      <c r="A73" s="2"/>
      <c r="E73" s="80"/>
      <c r="F73" s="29"/>
    </row>
    <row r="74" spans="1:6" x14ac:dyDescent="0.35">
      <c r="A74" s="2"/>
      <c r="E74" s="80"/>
      <c r="F74" s="29"/>
    </row>
    <row r="75" spans="1:6" x14ac:dyDescent="0.35">
      <c r="A75" s="2"/>
      <c r="E75" s="80"/>
      <c r="F75" s="29"/>
    </row>
    <row r="76" spans="1:6" x14ac:dyDescent="0.35">
      <c r="A76" s="2"/>
      <c r="E76" s="80"/>
      <c r="F76" s="29"/>
    </row>
    <row r="77" spans="1:6" x14ac:dyDescent="0.35">
      <c r="A77" s="2"/>
      <c r="E77" s="80"/>
      <c r="F77" s="29"/>
    </row>
    <row r="78" spans="1:6" x14ac:dyDescent="0.35">
      <c r="A78" s="2"/>
      <c r="E78" s="80"/>
      <c r="F78" s="29"/>
    </row>
    <row r="79" spans="1:6" x14ac:dyDescent="0.35">
      <c r="A79" s="2"/>
      <c r="E79" s="80"/>
      <c r="F79" s="29"/>
    </row>
    <row r="80" spans="1:6" x14ac:dyDescent="0.35">
      <c r="A80" s="2"/>
      <c r="E80" s="80"/>
      <c r="F80" s="29"/>
    </row>
    <row r="81" spans="1:6" x14ac:dyDescent="0.35">
      <c r="A81" s="2"/>
      <c r="E81" s="80"/>
      <c r="F81" s="29"/>
    </row>
    <row r="82" spans="1:6" x14ac:dyDescent="0.35">
      <c r="A82" s="2"/>
      <c r="E82" s="80"/>
      <c r="F82" s="29"/>
    </row>
    <row r="83" spans="1:6" x14ac:dyDescent="0.35">
      <c r="A83" s="2"/>
      <c r="E83" s="80"/>
      <c r="F83" s="29"/>
    </row>
    <row r="84" spans="1:6" x14ac:dyDescent="0.35">
      <c r="A84" s="2"/>
      <c r="D84" s="98"/>
      <c r="E84" s="80"/>
      <c r="F84" s="29"/>
    </row>
    <row r="85" spans="1:6" x14ac:dyDescent="0.35">
      <c r="A85" s="2"/>
      <c r="D85" s="98"/>
      <c r="E85" s="80"/>
      <c r="F85" s="29"/>
    </row>
    <row r="86" spans="1:6" x14ac:dyDescent="0.35">
      <c r="A86" s="2"/>
      <c r="D86" s="98"/>
      <c r="E86" s="80"/>
      <c r="F86" s="29"/>
    </row>
    <row r="87" spans="1:6" x14ac:dyDescent="0.35">
      <c r="A87" s="2"/>
      <c r="D87" s="98"/>
      <c r="E87" s="80"/>
      <c r="F87" s="29"/>
    </row>
    <row r="88" spans="1:6" x14ac:dyDescent="0.35">
      <c r="A88" s="2"/>
      <c r="D88" s="98"/>
      <c r="E88" s="80"/>
      <c r="F88" s="29"/>
    </row>
    <row r="89" spans="1:6" x14ac:dyDescent="0.35">
      <c r="A89" s="2"/>
      <c r="D89" s="98"/>
      <c r="E89" s="80"/>
      <c r="F89" s="29"/>
    </row>
    <row r="90" spans="1:6" x14ac:dyDescent="0.35">
      <c r="A90" s="2"/>
      <c r="D90" s="98"/>
      <c r="E90" s="80"/>
      <c r="F90" s="29"/>
    </row>
    <row r="91" spans="1:6" x14ac:dyDescent="0.35">
      <c r="D91" s="99"/>
      <c r="E91" s="80"/>
      <c r="F91" s="29"/>
    </row>
    <row r="92" spans="1:6" x14ac:dyDescent="0.35">
      <c r="E92" s="80"/>
    </row>
    <row r="94" spans="1:6" x14ac:dyDescent="0.35">
      <c r="C94" s="1"/>
      <c r="D94" s="29"/>
    </row>
    <row r="97" spans="1:6" ht="18.5" x14ac:dyDescent="0.45">
      <c r="B97" s="47"/>
      <c r="E97" s="51"/>
      <c r="F97" s="51"/>
    </row>
    <row r="98" spans="1:6" x14ac:dyDescent="0.35">
      <c r="B98" s="1"/>
      <c r="C98" s="58"/>
      <c r="D98" s="9"/>
      <c r="E98" s="1"/>
      <c r="F98" s="1"/>
    </row>
    <row r="99" spans="1:6" x14ac:dyDescent="0.35">
      <c r="E99" s="29"/>
      <c r="F99" s="80"/>
    </row>
    <row r="100" spans="1:6" x14ac:dyDescent="0.35">
      <c r="A100" s="2"/>
      <c r="E100" s="80"/>
      <c r="F100" s="29"/>
    </row>
    <row r="101" spans="1:6" x14ac:dyDescent="0.35">
      <c r="A101" s="2"/>
      <c r="E101" s="80"/>
      <c r="F101" s="29"/>
    </row>
    <row r="102" spans="1:6" x14ac:dyDescent="0.35">
      <c r="A102" s="2"/>
      <c r="E102" s="80"/>
      <c r="F102" s="29"/>
    </row>
    <row r="103" spans="1:6" x14ac:dyDescent="0.35">
      <c r="A103" s="2"/>
      <c r="B103" s="1"/>
      <c r="C103" s="1"/>
      <c r="E103" s="80"/>
      <c r="F103" s="29"/>
    </row>
    <row r="104" spans="1:6" x14ac:dyDescent="0.35">
      <c r="A104" s="2"/>
      <c r="B104" s="1"/>
      <c r="C104" s="1"/>
      <c r="E104" s="80"/>
      <c r="F104" s="29"/>
    </row>
    <row r="105" spans="1:6" x14ac:dyDescent="0.35">
      <c r="A105" s="2"/>
      <c r="E105" s="80"/>
      <c r="F105" s="29"/>
    </row>
    <row r="106" spans="1:6" x14ac:dyDescent="0.35">
      <c r="A106" s="2"/>
      <c r="E106" s="80"/>
      <c r="F106" s="29"/>
    </row>
    <row r="107" spans="1:6" x14ac:dyDescent="0.35">
      <c r="A107" s="2"/>
      <c r="E107" s="80"/>
      <c r="F107" s="29"/>
    </row>
    <row r="108" spans="1:6" x14ac:dyDescent="0.35">
      <c r="A108" s="2"/>
      <c r="E108" s="80"/>
      <c r="F108" s="29"/>
    </row>
    <row r="109" spans="1:6" x14ac:dyDescent="0.35">
      <c r="A109" s="2"/>
      <c r="E109" s="80"/>
      <c r="F109" s="29"/>
    </row>
    <row r="110" spans="1:6" x14ac:dyDescent="0.35">
      <c r="A110" s="2"/>
      <c r="E110" s="80"/>
      <c r="F110" s="29"/>
    </row>
    <row r="111" spans="1:6" x14ac:dyDescent="0.35">
      <c r="A111" s="2"/>
      <c r="E111" s="80"/>
      <c r="F111" s="29"/>
    </row>
    <row r="112" spans="1:6" x14ac:dyDescent="0.35">
      <c r="A112" s="2"/>
      <c r="E112" s="80"/>
      <c r="F112" s="29"/>
    </row>
    <row r="113" spans="1:6" x14ac:dyDescent="0.35">
      <c r="A113" s="2"/>
      <c r="E113" s="80"/>
      <c r="F113" s="29"/>
    </row>
    <row r="114" spans="1:6" x14ac:dyDescent="0.35">
      <c r="A114" s="2"/>
      <c r="E114" s="80"/>
      <c r="F114" s="29"/>
    </row>
    <row r="115" spans="1:6" x14ac:dyDescent="0.35">
      <c r="A115" s="2"/>
      <c r="E115" s="80"/>
      <c r="F115" s="29"/>
    </row>
    <row r="116" spans="1:6" x14ac:dyDescent="0.35">
      <c r="A116" s="2"/>
      <c r="D116" s="98"/>
      <c r="E116" s="80"/>
      <c r="F116" s="29"/>
    </row>
    <row r="117" spans="1:6" x14ac:dyDescent="0.35">
      <c r="A117" s="2"/>
      <c r="D117" s="98"/>
      <c r="E117" s="80"/>
      <c r="F117" s="29"/>
    </row>
    <row r="118" spans="1:6" x14ac:dyDescent="0.35">
      <c r="A118" s="2"/>
      <c r="D118" s="98"/>
      <c r="E118" s="80"/>
      <c r="F118" s="29"/>
    </row>
    <row r="119" spans="1:6" x14ac:dyDescent="0.35">
      <c r="A119" s="2"/>
      <c r="D119" s="98"/>
      <c r="E119" s="80"/>
      <c r="F119" s="29"/>
    </row>
    <row r="120" spans="1:6" x14ac:dyDescent="0.35">
      <c r="A120" s="2"/>
      <c r="D120" s="98"/>
      <c r="E120" s="80"/>
      <c r="F120" s="29"/>
    </row>
    <row r="121" spans="1:6" x14ac:dyDescent="0.35">
      <c r="A121" s="2"/>
      <c r="D121" s="98"/>
      <c r="E121" s="80"/>
      <c r="F121" s="100"/>
    </row>
    <row r="122" spans="1:6" x14ac:dyDescent="0.35">
      <c r="A122" s="2"/>
      <c r="D122" s="98"/>
      <c r="E122" s="80"/>
      <c r="F122" s="29"/>
    </row>
    <row r="123" spans="1:6" x14ac:dyDescent="0.35">
      <c r="D123" s="99"/>
      <c r="E123" s="80"/>
      <c r="F123" s="29"/>
    </row>
    <row r="126" spans="1:6" ht="18.5" x14ac:dyDescent="0.45">
      <c r="B126" s="47"/>
      <c r="E126" s="51"/>
      <c r="F126" s="51"/>
    </row>
    <row r="127" spans="1:6" x14ac:dyDescent="0.35">
      <c r="B127" s="1"/>
      <c r="C127" s="58"/>
      <c r="D127" s="9"/>
      <c r="E127" s="1"/>
      <c r="F127" s="1"/>
    </row>
    <row r="128" spans="1:6" x14ac:dyDescent="0.35">
      <c r="E128" s="29"/>
      <c r="F128" s="80"/>
    </row>
    <row r="129" spans="1:6" x14ac:dyDescent="0.35">
      <c r="A129" s="2"/>
      <c r="E129" s="80"/>
      <c r="F129" s="29"/>
    </row>
    <row r="130" spans="1:6" x14ac:dyDescent="0.35">
      <c r="A130" s="2"/>
      <c r="E130" s="80"/>
      <c r="F130" s="29"/>
    </row>
    <row r="131" spans="1:6" x14ac:dyDescent="0.35">
      <c r="A131" s="2"/>
      <c r="E131" s="80"/>
      <c r="F131" s="29"/>
    </row>
    <row r="132" spans="1:6" x14ac:dyDescent="0.35">
      <c r="A132" s="2"/>
      <c r="B132" s="1"/>
      <c r="C132" s="1"/>
      <c r="E132" s="80"/>
      <c r="F132" s="29"/>
    </row>
    <row r="133" spans="1:6" x14ac:dyDescent="0.35">
      <c r="A133" s="2"/>
      <c r="B133" s="1"/>
      <c r="C133" s="1"/>
      <c r="E133" s="80"/>
      <c r="F133" s="29"/>
    </row>
    <row r="134" spans="1:6" x14ac:dyDescent="0.35">
      <c r="A134" s="2"/>
      <c r="E134" s="80"/>
      <c r="F134" s="29"/>
    </row>
    <row r="135" spans="1:6" x14ac:dyDescent="0.35">
      <c r="A135" s="2"/>
      <c r="E135" s="80"/>
      <c r="F135" s="29"/>
    </row>
    <row r="136" spans="1:6" x14ac:dyDescent="0.35">
      <c r="A136" s="2"/>
      <c r="E136" s="80"/>
      <c r="F136" s="29"/>
    </row>
    <row r="137" spans="1:6" x14ac:dyDescent="0.35">
      <c r="A137" s="2"/>
      <c r="E137" s="80"/>
      <c r="F137" s="29"/>
    </row>
    <row r="138" spans="1:6" x14ac:dyDescent="0.35">
      <c r="A138" s="2"/>
      <c r="E138" s="80"/>
      <c r="F138" s="29"/>
    </row>
    <row r="139" spans="1:6" x14ac:dyDescent="0.35">
      <c r="A139" s="2"/>
      <c r="E139" s="80"/>
      <c r="F139" s="29"/>
    </row>
    <row r="140" spans="1:6" x14ac:dyDescent="0.35">
      <c r="A140" s="2"/>
      <c r="E140" s="80"/>
      <c r="F140" s="29"/>
    </row>
    <row r="141" spans="1:6" x14ac:dyDescent="0.35">
      <c r="A141" s="2"/>
      <c r="E141" s="80"/>
      <c r="F141" s="29"/>
    </row>
    <row r="142" spans="1:6" x14ac:dyDescent="0.35">
      <c r="A142" s="2"/>
      <c r="E142" s="80"/>
      <c r="F142" s="29"/>
    </row>
    <row r="143" spans="1:6" x14ac:dyDescent="0.35">
      <c r="A143" s="2"/>
      <c r="E143" s="80"/>
      <c r="F143" s="29"/>
    </row>
    <row r="144" spans="1:6" x14ac:dyDescent="0.35">
      <c r="A144" s="2"/>
      <c r="E144" s="80"/>
      <c r="F144" s="29"/>
    </row>
    <row r="145" spans="1:6" x14ac:dyDescent="0.35">
      <c r="A145" s="2"/>
      <c r="D145" s="98"/>
      <c r="E145" s="80"/>
      <c r="F145" s="29"/>
    </row>
    <row r="146" spans="1:6" x14ac:dyDescent="0.35">
      <c r="A146" s="2"/>
      <c r="D146" s="98"/>
      <c r="E146" s="80"/>
      <c r="F146" s="29"/>
    </row>
    <row r="147" spans="1:6" x14ac:dyDescent="0.35">
      <c r="A147" s="2"/>
      <c r="D147" s="98"/>
      <c r="E147" s="80"/>
      <c r="F147" s="29"/>
    </row>
    <row r="148" spans="1:6" x14ac:dyDescent="0.35">
      <c r="A148" s="2"/>
      <c r="D148" s="98"/>
      <c r="E148" s="80"/>
      <c r="F148" s="29"/>
    </row>
    <row r="149" spans="1:6" x14ac:dyDescent="0.35">
      <c r="A149" s="2"/>
      <c r="D149" s="98"/>
      <c r="E149" s="80"/>
      <c r="F149" s="29"/>
    </row>
    <row r="150" spans="1:6" x14ac:dyDescent="0.35">
      <c r="A150" s="2"/>
      <c r="D150" s="98"/>
      <c r="E150" s="80"/>
      <c r="F150" s="29"/>
    </row>
    <row r="151" spans="1:6" x14ac:dyDescent="0.35">
      <c r="A151" s="2"/>
      <c r="D151" s="98"/>
      <c r="E151" s="80"/>
      <c r="F151" s="29"/>
    </row>
    <row r="152" spans="1:6" x14ac:dyDescent="0.35">
      <c r="D152" s="99"/>
      <c r="E152" s="80"/>
      <c r="F152" s="29"/>
    </row>
  </sheetData>
  <pageMargins left="0.7" right="0.7" top="0.75" bottom="0.75" header="0.3" footer="0.3"/>
  <pageSetup paperSize="9" orientation="portrait"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4CD0-88DB-4AFD-BEB1-D3D422EC0CDA}">
  <sheetPr codeName="Sheet25"/>
  <dimension ref="A1:F152"/>
  <sheetViews>
    <sheetView zoomScale="90" zoomScaleNormal="90" workbookViewId="0">
      <selection activeCell="F35" sqref="F35"/>
    </sheetView>
  </sheetViews>
  <sheetFormatPr defaultRowHeight="14.5" x14ac:dyDescent="0.35"/>
  <cols>
    <col min="1" max="1" width="12.81640625" customWidth="1"/>
    <col min="2" max="2" width="20.54296875" customWidth="1"/>
    <col min="3" max="3" width="18" customWidth="1"/>
    <col min="4" max="4" width="18.26953125" customWidth="1"/>
    <col min="5" max="5" width="14.1796875" customWidth="1"/>
    <col min="6" max="6" width="17.7265625" customWidth="1"/>
  </cols>
  <sheetData>
    <row r="1" spans="1:6" ht="18.5" x14ac:dyDescent="0.45">
      <c r="B1" s="47" t="s">
        <v>183</v>
      </c>
      <c r="E1" s="51"/>
      <c r="F1" s="51"/>
    </row>
    <row r="2" spans="1:6" x14ac:dyDescent="0.35">
      <c r="B2" s="1" t="s">
        <v>31</v>
      </c>
      <c r="C2" s="58" t="s">
        <v>32</v>
      </c>
      <c r="D2" s="9" t="s">
        <v>33</v>
      </c>
      <c r="E2" s="1" t="s">
        <v>34</v>
      </c>
      <c r="F2" s="1" t="s">
        <v>35</v>
      </c>
    </row>
    <row r="3" spans="1:6" x14ac:dyDescent="0.35">
      <c r="B3" s="53"/>
      <c r="C3" s="53"/>
      <c r="D3" s="53"/>
      <c r="E3" s="59"/>
      <c r="F3" s="87"/>
    </row>
    <row r="4" spans="1:6" x14ac:dyDescent="0.35">
      <c r="A4" s="2" t="str">
        <f>B4&amp;"-"&amp;C4</f>
        <v>0-1</v>
      </c>
      <c r="B4" s="53">
        <v>0</v>
      </c>
      <c r="C4" s="53">
        <v>1</v>
      </c>
      <c r="D4" s="53">
        <v>2.7883399999999998E-3</v>
      </c>
      <c r="E4" s="61">
        <f>D4/D$27</f>
        <v>2.8100657705994701E-3</v>
      </c>
      <c r="F4" s="87">
        <v>1.3941699999999999E-3</v>
      </c>
    </row>
    <row r="5" spans="1:6" x14ac:dyDescent="0.35">
      <c r="A5" s="2" t="str">
        <f t="shared" ref="A5:A26" si="0">B5&amp;"-"&amp;C5</f>
        <v>1-2</v>
      </c>
      <c r="B5" s="53">
        <v>1</v>
      </c>
      <c r="C5" s="53">
        <v>2</v>
      </c>
      <c r="D5" s="53">
        <v>7.9954399999999995E-3</v>
      </c>
      <c r="E5" s="61">
        <f t="shared" ref="E5:E26" si="1">D5/D$27</f>
        <v>8.0577376736272587E-3</v>
      </c>
      <c r="F5" s="87">
        <v>1.000464E-2</v>
      </c>
    </row>
    <row r="6" spans="1:6" x14ac:dyDescent="0.35">
      <c r="A6" s="2" t="str">
        <f t="shared" si="0"/>
        <v>2-3</v>
      </c>
      <c r="B6" s="53">
        <v>2</v>
      </c>
      <c r="C6" s="53">
        <v>3</v>
      </c>
      <c r="D6" s="53">
        <v>9.4970899999999997E-3</v>
      </c>
      <c r="E6" s="61">
        <f t="shared" si="1"/>
        <v>9.5710880055167313E-3</v>
      </c>
      <c r="F6" s="87">
        <v>2.1449514999999999E-2</v>
      </c>
    </row>
    <row r="7" spans="1:6" x14ac:dyDescent="0.35">
      <c r="A7" s="2" t="str">
        <f t="shared" si="0"/>
        <v>3-4</v>
      </c>
      <c r="B7" s="62">
        <v>3</v>
      </c>
      <c r="C7" s="62">
        <v>4</v>
      </c>
      <c r="D7" s="53">
        <v>1.1027759999999999E-2</v>
      </c>
      <c r="E7" s="61">
        <f t="shared" si="1"/>
        <v>1.1113684451102095E-2</v>
      </c>
      <c r="F7" s="87">
        <v>3.5937370000000003E-2</v>
      </c>
    </row>
    <row r="8" spans="1:6" x14ac:dyDescent="0.35">
      <c r="A8" s="2" t="str">
        <f t="shared" si="0"/>
        <v>4-5</v>
      </c>
      <c r="B8" s="62">
        <v>4</v>
      </c>
      <c r="C8" s="62">
        <v>5</v>
      </c>
      <c r="D8" s="53">
        <v>1.24543E-2</v>
      </c>
      <c r="E8" s="61">
        <f t="shared" si="1"/>
        <v>1.2551339552126707E-2</v>
      </c>
      <c r="F8" s="87">
        <v>5.3001550000000001E-2</v>
      </c>
    </row>
    <row r="9" spans="1:6" x14ac:dyDescent="0.35">
      <c r="A9" s="2" t="str">
        <f t="shared" si="0"/>
        <v>5-6</v>
      </c>
      <c r="B9" s="53">
        <v>5</v>
      </c>
      <c r="C9" s="53">
        <v>6</v>
      </c>
      <c r="D9" s="53">
        <v>1.381014E-2</v>
      </c>
      <c r="E9" s="61">
        <f t="shared" si="1"/>
        <v>1.3917743783464919E-2</v>
      </c>
      <c r="F9" s="87">
        <v>7.2560625000000004E-2</v>
      </c>
    </row>
    <row r="10" spans="1:6" x14ac:dyDescent="0.35">
      <c r="A10" s="2" t="str">
        <f t="shared" si="0"/>
        <v>6-7</v>
      </c>
      <c r="B10" s="53">
        <v>6</v>
      </c>
      <c r="C10" s="53">
        <v>7</v>
      </c>
      <c r="D10" s="63">
        <v>1.518065E-2</v>
      </c>
      <c r="E10" s="61">
        <f t="shared" si="1"/>
        <v>1.5298932318315145E-2</v>
      </c>
      <c r="F10" s="87">
        <v>9.4936165000000003E-2</v>
      </c>
    </row>
    <row r="11" spans="1:6" x14ac:dyDescent="0.35">
      <c r="A11" s="2" t="str">
        <f t="shared" si="0"/>
        <v>7-8</v>
      </c>
      <c r="B11" s="53">
        <v>7</v>
      </c>
      <c r="C11" s="53">
        <v>8</v>
      </c>
      <c r="D11" s="63">
        <v>1.6424500000000002E-2</v>
      </c>
      <c r="E11" s="61">
        <f t="shared" si="1"/>
        <v>1.6552473962720117E-2</v>
      </c>
      <c r="F11" s="87">
        <v>0.11913622</v>
      </c>
    </row>
    <row r="12" spans="1:6" x14ac:dyDescent="0.35">
      <c r="A12" s="2" t="str">
        <f t="shared" si="0"/>
        <v>8-9</v>
      </c>
      <c r="B12" s="53">
        <v>8</v>
      </c>
      <c r="C12" s="53">
        <v>9</v>
      </c>
      <c r="D12" s="63">
        <v>1.767173E-2</v>
      </c>
      <c r="E12" s="61">
        <f t="shared" si="1"/>
        <v>1.7809421942903584E-2</v>
      </c>
      <c r="F12" s="87">
        <v>0.1458479</v>
      </c>
    </row>
    <row r="13" spans="1:6" x14ac:dyDescent="0.35">
      <c r="A13" s="2" t="str">
        <f t="shared" si="0"/>
        <v>9-10</v>
      </c>
      <c r="B13" s="53">
        <v>9</v>
      </c>
      <c r="C13" s="53">
        <v>10</v>
      </c>
      <c r="D13" s="63">
        <v>1.8797769999999998E-2</v>
      </c>
      <c r="E13" s="61">
        <f t="shared" si="1"/>
        <v>1.8944235652969724E-2</v>
      </c>
      <c r="F13" s="87">
        <v>0.17392963</v>
      </c>
    </row>
    <row r="14" spans="1:6" x14ac:dyDescent="0.35">
      <c r="A14" s="2" t="str">
        <f t="shared" si="0"/>
        <v>10-15</v>
      </c>
      <c r="B14" s="53">
        <v>10</v>
      </c>
      <c r="C14" s="53">
        <v>15</v>
      </c>
      <c r="D14" s="53">
        <v>0.10794444</v>
      </c>
      <c r="E14" s="61">
        <f t="shared" si="1"/>
        <v>0.10878550534387066</v>
      </c>
      <c r="F14" s="87">
        <v>1.33045452</v>
      </c>
    </row>
    <row r="15" spans="1:6" x14ac:dyDescent="0.35">
      <c r="A15" s="2" t="str">
        <f t="shared" si="0"/>
        <v>15-20</v>
      </c>
      <c r="B15" s="53">
        <v>15</v>
      </c>
      <c r="C15" s="53">
        <v>20</v>
      </c>
      <c r="D15" s="53">
        <v>0.12077142</v>
      </c>
      <c r="E15" s="61">
        <f t="shared" si="1"/>
        <v>0.1217124286882849</v>
      </c>
      <c r="F15" s="87">
        <v>2.0855496800000002</v>
      </c>
    </row>
    <row r="16" spans="1:6" x14ac:dyDescent="0.35">
      <c r="A16" s="2" t="str">
        <f t="shared" si="0"/>
        <v>20-25</v>
      </c>
      <c r="B16" s="53">
        <v>20</v>
      </c>
      <c r="C16" s="53">
        <v>25</v>
      </c>
      <c r="D16" s="63">
        <v>0.12028422</v>
      </c>
      <c r="E16" s="61">
        <f t="shared" si="1"/>
        <v>0.12122143259618849</v>
      </c>
      <c r="F16" s="87">
        <v>2.673707345</v>
      </c>
    </row>
    <row r="17" spans="1:6" x14ac:dyDescent="0.35">
      <c r="A17" s="2" t="str">
        <f t="shared" si="0"/>
        <v>25-40</v>
      </c>
      <c r="B17" s="53">
        <v>25</v>
      </c>
      <c r="C17" s="53">
        <v>40</v>
      </c>
      <c r="D17" s="53">
        <v>0.28221631000000003</v>
      </c>
      <c r="E17" s="61">
        <f t="shared" si="1"/>
        <v>0.28441524083716085</v>
      </c>
      <c r="F17" s="87">
        <v>8.9195946849999999</v>
      </c>
    </row>
    <row r="18" spans="1:6" x14ac:dyDescent="0.35">
      <c r="A18" s="2" t="str">
        <f t="shared" si="0"/>
        <v>40-50</v>
      </c>
      <c r="B18" s="53">
        <v>40</v>
      </c>
      <c r="C18" s="53">
        <v>50</v>
      </c>
      <c r="D18" s="63">
        <v>0.10814319999999999</v>
      </c>
      <c r="E18" s="61">
        <f t="shared" si="1"/>
        <v>0.10898581401231293</v>
      </c>
      <c r="F18" s="87">
        <v>4.7920805900000003</v>
      </c>
    </row>
    <row r="19" spans="1:6" x14ac:dyDescent="0.35">
      <c r="A19" s="2" t="str">
        <f t="shared" si="0"/>
        <v>50-75</v>
      </c>
      <c r="B19" s="53">
        <v>50</v>
      </c>
      <c r="C19" s="53">
        <v>75</v>
      </c>
      <c r="D19" s="63">
        <v>0.10412152</v>
      </c>
      <c r="E19" s="61">
        <f t="shared" si="1"/>
        <v>0.10493279848755466</v>
      </c>
      <c r="F19" s="87">
        <v>6.1538009000000002</v>
      </c>
    </row>
    <row r="20" spans="1:6" x14ac:dyDescent="0.35">
      <c r="A20" s="2" t="str">
        <f t="shared" si="0"/>
        <v>75-100</v>
      </c>
      <c r="B20" s="53">
        <v>75</v>
      </c>
      <c r="C20" s="53">
        <v>100</v>
      </c>
      <c r="D20" s="63">
        <v>1.967582E-2</v>
      </c>
      <c r="E20" s="61">
        <f t="shared" si="1"/>
        <v>1.9829127111642222E-2</v>
      </c>
      <c r="F20" s="87">
        <v>1.64693245</v>
      </c>
    </row>
    <row r="21" spans="1:6" x14ac:dyDescent="0.35">
      <c r="A21" s="2" t="str">
        <f t="shared" si="0"/>
        <v>100-150</v>
      </c>
      <c r="B21" s="53">
        <v>100</v>
      </c>
      <c r="C21" s="53">
        <v>150</v>
      </c>
      <c r="D21" s="63">
        <v>3.4110099999999999E-3</v>
      </c>
      <c r="E21" s="61">
        <f t="shared" si="1"/>
        <v>3.4375873975815356E-3</v>
      </c>
      <c r="F21" s="87">
        <v>0.37942913499999997</v>
      </c>
    </row>
    <row r="22" spans="1:6" x14ac:dyDescent="0.35">
      <c r="A22" s="2" t="str">
        <f t="shared" si="0"/>
        <v>150-200</v>
      </c>
      <c r="B22" s="53">
        <v>150</v>
      </c>
      <c r="C22" s="53">
        <v>200</v>
      </c>
      <c r="D22" s="63">
        <v>5.2439999999999999E-5</v>
      </c>
      <c r="E22" s="61">
        <f t="shared" si="1"/>
        <v>5.2848594149291777E-5</v>
      </c>
      <c r="F22" s="87">
        <v>8.4065849999999994E-3</v>
      </c>
    </row>
    <row r="23" spans="1:6" x14ac:dyDescent="0.35">
      <c r="A23" s="2" t="str">
        <f t="shared" si="0"/>
        <v>200-300</v>
      </c>
      <c r="B23" s="53">
        <v>200</v>
      </c>
      <c r="C23" s="53">
        <v>300</v>
      </c>
      <c r="D23" s="63">
        <v>4.8999999999999997E-7</v>
      </c>
      <c r="E23" s="61">
        <f t="shared" si="1"/>
        <v>4.938179087176386E-7</v>
      </c>
      <c r="F23" s="65">
        <v>1.0257E-4</v>
      </c>
    </row>
    <row r="24" spans="1:6" x14ac:dyDescent="0.35">
      <c r="A24" s="2" t="str">
        <f t="shared" si="0"/>
        <v>300-400</v>
      </c>
      <c r="B24" s="53">
        <v>300</v>
      </c>
      <c r="C24" s="53">
        <v>400</v>
      </c>
      <c r="D24" s="63">
        <v>0</v>
      </c>
      <c r="E24" s="61">
        <f t="shared" si="1"/>
        <v>0</v>
      </c>
      <c r="F24" s="65">
        <v>0</v>
      </c>
    </row>
    <row r="25" spans="1:6" x14ac:dyDescent="0.35">
      <c r="A25" s="2" t="str">
        <f t="shared" si="0"/>
        <v>400-500</v>
      </c>
      <c r="B25" s="53">
        <v>400</v>
      </c>
      <c r="C25" s="53">
        <v>500</v>
      </c>
      <c r="D25" s="63">
        <v>0</v>
      </c>
      <c r="E25" s="61">
        <f t="shared" si="1"/>
        <v>0</v>
      </c>
      <c r="F25" s="87">
        <v>0</v>
      </c>
    </row>
    <row r="26" spans="1:6" x14ac:dyDescent="0.35">
      <c r="A26" s="2" t="str">
        <f t="shared" si="0"/>
        <v>500-20000</v>
      </c>
      <c r="B26" s="53">
        <v>500</v>
      </c>
      <c r="C26" s="53">
        <v>20000</v>
      </c>
      <c r="D26" s="63">
        <v>0</v>
      </c>
      <c r="E26" s="61">
        <f t="shared" si="1"/>
        <v>0</v>
      </c>
      <c r="F26" s="87">
        <v>0</v>
      </c>
    </row>
    <row r="27" spans="1:6" x14ac:dyDescent="0.35">
      <c r="C27" t="s">
        <v>11</v>
      </c>
      <c r="D27" s="64">
        <f>SUM(D3:D26)</f>
        <v>0.99226859000000001</v>
      </c>
      <c r="E27" s="60">
        <f>SUM(E3:E26)</f>
        <v>0.99999999999999989</v>
      </c>
      <c r="F27" s="87">
        <f>SUM(F3:F26)</f>
        <v>28.718256244999999</v>
      </c>
    </row>
    <row r="28" spans="1:6" x14ac:dyDescent="0.35">
      <c r="E28" s="60"/>
    </row>
    <row r="30" spans="1:6" x14ac:dyDescent="0.35">
      <c r="C30" s="1"/>
      <c r="D30" s="40"/>
    </row>
    <row r="31" spans="1:6" x14ac:dyDescent="0.35">
      <c r="C31" s="1"/>
    </row>
    <row r="32" spans="1:6" x14ac:dyDescent="0.35">
      <c r="C32" s="1"/>
    </row>
    <row r="33" spans="1:6" ht="18.5" x14ac:dyDescent="0.45">
      <c r="B33" s="47"/>
      <c r="E33" s="51"/>
      <c r="F33" s="51"/>
    </row>
    <row r="34" spans="1:6" x14ac:dyDescent="0.35">
      <c r="B34" s="1"/>
      <c r="C34" s="58"/>
      <c r="D34" s="9"/>
      <c r="E34" s="1"/>
      <c r="F34" s="1"/>
    </row>
    <row r="35" spans="1:6" x14ac:dyDescent="0.35">
      <c r="E35" s="29"/>
      <c r="F35" s="80"/>
    </row>
    <row r="36" spans="1:6" x14ac:dyDescent="0.35">
      <c r="A36" s="2"/>
      <c r="E36" s="80"/>
      <c r="F36" s="29"/>
    </row>
    <row r="37" spans="1:6" x14ac:dyDescent="0.35">
      <c r="A37" s="2"/>
      <c r="E37" s="80"/>
      <c r="F37" s="29"/>
    </row>
    <row r="38" spans="1:6" x14ac:dyDescent="0.35">
      <c r="A38" s="2"/>
      <c r="E38" s="80"/>
      <c r="F38" s="29"/>
    </row>
    <row r="39" spans="1:6" x14ac:dyDescent="0.35">
      <c r="A39" s="2"/>
      <c r="B39" s="1"/>
      <c r="C39" s="1"/>
      <c r="E39" s="80"/>
      <c r="F39" s="29"/>
    </row>
    <row r="40" spans="1:6" x14ac:dyDescent="0.35">
      <c r="A40" s="2"/>
      <c r="B40" s="1"/>
      <c r="C40" s="1"/>
      <c r="E40" s="80"/>
      <c r="F40" s="29"/>
    </row>
    <row r="41" spans="1:6" x14ac:dyDescent="0.35">
      <c r="A41" s="2"/>
      <c r="E41" s="80"/>
      <c r="F41" s="29"/>
    </row>
    <row r="42" spans="1:6" x14ac:dyDescent="0.35">
      <c r="A42" s="2"/>
      <c r="E42" s="80"/>
      <c r="F42" s="29"/>
    </row>
    <row r="43" spans="1:6" x14ac:dyDescent="0.35">
      <c r="A43" s="2"/>
      <c r="E43" s="80"/>
      <c r="F43" s="29"/>
    </row>
    <row r="44" spans="1:6" x14ac:dyDescent="0.35">
      <c r="A44" s="2"/>
      <c r="E44" s="80"/>
      <c r="F44" s="29"/>
    </row>
    <row r="45" spans="1:6" x14ac:dyDescent="0.35">
      <c r="A45" s="2"/>
      <c r="E45" s="80"/>
      <c r="F45" s="29"/>
    </row>
    <row r="46" spans="1:6" x14ac:dyDescent="0.35">
      <c r="A46" s="2"/>
      <c r="E46" s="80"/>
      <c r="F46" s="29"/>
    </row>
    <row r="47" spans="1:6" x14ac:dyDescent="0.35">
      <c r="A47" s="2"/>
      <c r="E47" s="80"/>
      <c r="F47" s="29"/>
    </row>
    <row r="48" spans="1:6" x14ac:dyDescent="0.35">
      <c r="A48" s="2"/>
      <c r="E48" s="80"/>
      <c r="F48" s="29"/>
    </row>
    <row r="49" spans="1:6" x14ac:dyDescent="0.35">
      <c r="A49" s="2"/>
      <c r="E49" s="80"/>
      <c r="F49" s="29"/>
    </row>
    <row r="50" spans="1:6" x14ac:dyDescent="0.35">
      <c r="A50" s="2"/>
      <c r="D50" s="98"/>
      <c r="E50" s="80"/>
      <c r="F50" s="29"/>
    </row>
    <row r="51" spans="1:6" x14ac:dyDescent="0.35">
      <c r="A51" s="2"/>
      <c r="D51" s="98"/>
      <c r="E51" s="80"/>
      <c r="F51" s="29"/>
    </row>
    <row r="52" spans="1:6" x14ac:dyDescent="0.35">
      <c r="A52" s="2"/>
      <c r="D52" s="98"/>
      <c r="E52" s="80"/>
      <c r="F52" s="29"/>
    </row>
    <row r="53" spans="1:6" x14ac:dyDescent="0.35">
      <c r="A53" s="2"/>
      <c r="D53" s="98"/>
      <c r="E53" s="80"/>
      <c r="F53" s="29"/>
    </row>
    <row r="54" spans="1:6" x14ac:dyDescent="0.35">
      <c r="A54" s="2"/>
      <c r="D54" s="98"/>
      <c r="E54" s="80"/>
      <c r="F54" s="29"/>
    </row>
    <row r="55" spans="1:6" x14ac:dyDescent="0.35">
      <c r="A55" s="2"/>
      <c r="D55" s="98"/>
      <c r="E55" s="80"/>
      <c r="F55" s="100"/>
    </row>
    <row r="56" spans="1:6" x14ac:dyDescent="0.35">
      <c r="A56" s="2"/>
      <c r="D56" s="98"/>
      <c r="E56" s="80"/>
      <c r="F56" s="100"/>
    </row>
    <row r="57" spans="1:6" x14ac:dyDescent="0.35">
      <c r="A57" s="2"/>
      <c r="D57" s="98"/>
      <c r="E57" s="80"/>
      <c r="F57" s="100"/>
    </row>
    <row r="58" spans="1:6" x14ac:dyDescent="0.35">
      <c r="A58" s="2"/>
      <c r="D58" s="98"/>
      <c r="E58" s="80"/>
      <c r="F58" s="29"/>
    </row>
    <row r="59" spans="1:6" x14ac:dyDescent="0.35">
      <c r="D59" s="99"/>
      <c r="E59" s="80"/>
      <c r="F59" s="29"/>
    </row>
    <row r="65" spans="1:6" ht="18.5" x14ac:dyDescent="0.45">
      <c r="B65" s="47"/>
      <c r="E65" s="51"/>
      <c r="F65" s="51"/>
    </row>
    <row r="66" spans="1:6" x14ac:dyDescent="0.35">
      <c r="B66" s="1"/>
      <c r="C66" s="58"/>
      <c r="D66" s="9"/>
      <c r="E66" s="1"/>
      <c r="F66" s="1"/>
    </row>
    <row r="67" spans="1:6" x14ac:dyDescent="0.35">
      <c r="E67" s="29"/>
      <c r="F67" s="80"/>
    </row>
    <row r="68" spans="1:6" x14ac:dyDescent="0.35">
      <c r="A68" s="2"/>
      <c r="E68" s="80"/>
      <c r="F68" s="29"/>
    </row>
    <row r="69" spans="1:6" x14ac:dyDescent="0.35">
      <c r="A69" s="2"/>
      <c r="E69" s="80"/>
      <c r="F69" s="29"/>
    </row>
    <row r="70" spans="1:6" x14ac:dyDescent="0.35">
      <c r="A70" s="2"/>
      <c r="E70" s="80"/>
      <c r="F70" s="29"/>
    </row>
    <row r="71" spans="1:6" x14ac:dyDescent="0.35">
      <c r="A71" s="2"/>
      <c r="B71" s="1"/>
      <c r="C71" s="1"/>
      <c r="E71" s="80"/>
      <c r="F71" s="29"/>
    </row>
    <row r="72" spans="1:6" x14ac:dyDescent="0.35">
      <c r="A72" s="2"/>
      <c r="B72" s="1"/>
      <c r="C72" s="1"/>
      <c r="E72" s="80"/>
      <c r="F72" s="29"/>
    </row>
    <row r="73" spans="1:6" x14ac:dyDescent="0.35">
      <c r="A73" s="2"/>
      <c r="E73" s="80"/>
      <c r="F73" s="29"/>
    </row>
    <row r="74" spans="1:6" x14ac:dyDescent="0.35">
      <c r="A74" s="2"/>
      <c r="E74" s="80"/>
      <c r="F74" s="29"/>
    </row>
    <row r="75" spans="1:6" x14ac:dyDescent="0.35">
      <c r="A75" s="2"/>
      <c r="E75" s="80"/>
      <c r="F75" s="29"/>
    </row>
    <row r="76" spans="1:6" x14ac:dyDescent="0.35">
      <c r="A76" s="2"/>
      <c r="E76" s="80"/>
      <c r="F76" s="29"/>
    </row>
    <row r="77" spans="1:6" x14ac:dyDescent="0.35">
      <c r="A77" s="2"/>
      <c r="E77" s="80"/>
      <c r="F77" s="29"/>
    </row>
    <row r="78" spans="1:6" x14ac:dyDescent="0.35">
      <c r="A78" s="2"/>
      <c r="E78" s="80"/>
      <c r="F78" s="29"/>
    </row>
    <row r="79" spans="1:6" x14ac:dyDescent="0.35">
      <c r="A79" s="2"/>
      <c r="E79" s="80"/>
      <c r="F79" s="29"/>
    </row>
    <row r="80" spans="1:6" x14ac:dyDescent="0.35">
      <c r="A80" s="2"/>
      <c r="E80" s="80"/>
      <c r="F80" s="29"/>
    </row>
    <row r="81" spans="1:6" x14ac:dyDescent="0.35">
      <c r="A81" s="2"/>
      <c r="E81" s="80"/>
      <c r="F81" s="29"/>
    </row>
    <row r="82" spans="1:6" x14ac:dyDescent="0.35">
      <c r="A82" s="2"/>
      <c r="E82" s="80"/>
      <c r="F82" s="29"/>
    </row>
    <row r="83" spans="1:6" x14ac:dyDescent="0.35">
      <c r="A83" s="2"/>
      <c r="E83" s="80"/>
      <c r="F83" s="29"/>
    </row>
    <row r="84" spans="1:6" x14ac:dyDescent="0.35">
      <c r="A84" s="2"/>
      <c r="D84" s="98"/>
      <c r="E84" s="80"/>
      <c r="F84" s="29"/>
    </row>
    <row r="85" spans="1:6" x14ac:dyDescent="0.35">
      <c r="A85" s="2"/>
      <c r="D85" s="98"/>
      <c r="E85" s="80"/>
      <c r="F85" s="29"/>
    </row>
    <row r="86" spans="1:6" x14ac:dyDescent="0.35">
      <c r="A86" s="2"/>
      <c r="D86" s="98"/>
      <c r="E86" s="80"/>
      <c r="F86" s="29"/>
    </row>
    <row r="87" spans="1:6" x14ac:dyDescent="0.35">
      <c r="A87" s="2"/>
      <c r="D87" s="98"/>
      <c r="E87" s="80"/>
      <c r="F87" s="29"/>
    </row>
    <row r="88" spans="1:6" x14ac:dyDescent="0.35">
      <c r="A88" s="2"/>
      <c r="D88" s="98"/>
      <c r="E88" s="80"/>
      <c r="F88" s="29"/>
    </row>
    <row r="89" spans="1:6" x14ac:dyDescent="0.35">
      <c r="A89" s="2"/>
      <c r="D89" s="98"/>
      <c r="E89" s="80"/>
      <c r="F89" s="29"/>
    </row>
    <row r="90" spans="1:6" x14ac:dyDescent="0.35">
      <c r="A90" s="2"/>
      <c r="D90" s="98"/>
      <c r="E90" s="80"/>
      <c r="F90" s="29"/>
    </row>
    <row r="91" spans="1:6" x14ac:dyDescent="0.35">
      <c r="D91" s="99"/>
      <c r="E91" s="80"/>
      <c r="F91" s="29"/>
    </row>
    <row r="92" spans="1:6" x14ac:dyDescent="0.35">
      <c r="E92" s="80"/>
    </row>
    <row r="94" spans="1:6" x14ac:dyDescent="0.35">
      <c r="C94" s="1"/>
      <c r="D94" s="29"/>
    </row>
    <row r="97" spans="1:6" ht="18.5" x14ac:dyDescent="0.45">
      <c r="B97" s="47"/>
      <c r="E97" s="51"/>
      <c r="F97" s="51"/>
    </row>
    <row r="98" spans="1:6" x14ac:dyDescent="0.35">
      <c r="B98" s="1"/>
      <c r="C98" s="58"/>
      <c r="D98" s="9"/>
      <c r="E98" s="1"/>
      <c r="F98" s="1"/>
    </row>
    <row r="99" spans="1:6" x14ac:dyDescent="0.35">
      <c r="E99" s="29"/>
      <c r="F99" s="80"/>
    </row>
    <row r="100" spans="1:6" x14ac:dyDescent="0.35">
      <c r="A100" s="2"/>
      <c r="E100" s="80"/>
      <c r="F100" s="29"/>
    </row>
    <row r="101" spans="1:6" x14ac:dyDescent="0.35">
      <c r="A101" s="2"/>
      <c r="E101" s="80"/>
      <c r="F101" s="29"/>
    </row>
    <row r="102" spans="1:6" x14ac:dyDescent="0.35">
      <c r="A102" s="2"/>
      <c r="E102" s="80"/>
      <c r="F102" s="29"/>
    </row>
    <row r="103" spans="1:6" x14ac:dyDescent="0.35">
      <c r="A103" s="2"/>
      <c r="B103" s="1"/>
      <c r="C103" s="1"/>
      <c r="E103" s="80"/>
      <c r="F103" s="29"/>
    </row>
    <row r="104" spans="1:6" x14ac:dyDescent="0.35">
      <c r="A104" s="2"/>
      <c r="B104" s="1"/>
      <c r="C104" s="1"/>
      <c r="E104" s="80"/>
      <c r="F104" s="29"/>
    </row>
    <row r="105" spans="1:6" x14ac:dyDescent="0.35">
      <c r="A105" s="2"/>
      <c r="E105" s="80"/>
      <c r="F105" s="29"/>
    </row>
    <row r="106" spans="1:6" x14ac:dyDescent="0.35">
      <c r="A106" s="2"/>
      <c r="E106" s="80"/>
      <c r="F106" s="29"/>
    </row>
    <row r="107" spans="1:6" x14ac:dyDescent="0.35">
      <c r="A107" s="2"/>
      <c r="E107" s="80"/>
      <c r="F107" s="29"/>
    </row>
    <row r="108" spans="1:6" x14ac:dyDescent="0.35">
      <c r="A108" s="2"/>
      <c r="E108" s="80"/>
      <c r="F108" s="29"/>
    </row>
    <row r="109" spans="1:6" x14ac:dyDescent="0.35">
      <c r="A109" s="2"/>
      <c r="E109" s="80"/>
      <c r="F109" s="29"/>
    </row>
    <row r="110" spans="1:6" x14ac:dyDescent="0.35">
      <c r="A110" s="2"/>
      <c r="E110" s="80"/>
      <c r="F110" s="29"/>
    </row>
    <row r="111" spans="1:6" x14ac:dyDescent="0.35">
      <c r="A111" s="2"/>
      <c r="E111" s="80"/>
      <c r="F111" s="29"/>
    </row>
    <row r="112" spans="1:6" x14ac:dyDescent="0.35">
      <c r="A112" s="2"/>
      <c r="E112" s="80"/>
      <c r="F112" s="29"/>
    </row>
    <row r="113" spans="1:6" x14ac:dyDescent="0.35">
      <c r="A113" s="2"/>
      <c r="E113" s="80"/>
      <c r="F113" s="29"/>
    </row>
    <row r="114" spans="1:6" x14ac:dyDescent="0.35">
      <c r="A114" s="2"/>
      <c r="E114" s="80"/>
      <c r="F114" s="29"/>
    </row>
    <row r="115" spans="1:6" x14ac:dyDescent="0.35">
      <c r="A115" s="2"/>
      <c r="E115" s="80"/>
      <c r="F115" s="29"/>
    </row>
    <row r="116" spans="1:6" x14ac:dyDescent="0.35">
      <c r="A116" s="2"/>
      <c r="D116" s="98"/>
      <c r="E116" s="80"/>
      <c r="F116" s="29"/>
    </row>
    <row r="117" spans="1:6" x14ac:dyDescent="0.35">
      <c r="A117" s="2"/>
      <c r="D117" s="98"/>
      <c r="E117" s="80"/>
      <c r="F117" s="29"/>
    </row>
    <row r="118" spans="1:6" x14ac:dyDescent="0.35">
      <c r="A118" s="2"/>
      <c r="D118" s="98"/>
      <c r="E118" s="80"/>
      <c r="F118" s="29"/>
    </row>
    <row r="119" spans="1:6" x14ac:dyDescent="0.35">
      <c r="A119" s="2"/>
      <c r="D119" s="98"/>
      <c r="E119" s="80"/>
      <c r="F119" s="29"/>
    </row>
    <row r="120" spans="1:6" x14ac:dyDescent="0.35">
      <c r="A120" s="2"/>
      <c r="D120" s="98"/>
      <c r="E120" s="80"/>
      <c r="F120" s="29"/>
    </row>
    <row r="121" spans="1:6" x14ac:dyDescent="0.35">
      <c r="A121" s="2"/>
      <c r="D121" s="98"/>
      <c r="E121" s="80"/>
      <c r="F121" s="100"/>
    </row>
    <row r="122" spans="1:6" x14ac:dyDescent="0.35">
      <c r="A122" s="2"/>
      <c r="D122" s="98"/>
      <c r="E122" s="80"/>
      <c r="F122" s="29"/>
    </row>
    <row r="123" spans="1:6" x14ac:dyDescent="0.35">
      <c r="D123" s="99"/>
      <c r="E123" s="80"/>
      <c r="F123" s="29"/>
    </row>
    <row r="126" spans="1:6" ht="18.5" x14ac:dyDescent="0.45">
      <c r="B126" s="47"/>
      <c r="E126" s="51"/>
      <c r="F126" s="51"/>
    </row>
    <row r="127" spans="1:6" x14ac:dyDescent="0.35">
      <c r="B127" s="1"/>
      <c r="C127" s="58"/>
      <c r="D127" s="9"/>
      <c r="E127" s="1"/>
      <c r="F127" s="1"/>
    </row>
    <row r="128" spans="1:6" x14ac:dyDescent="0.35">
      <c r="E128" s="29"/>
      <c r="F128" s="80"/>
    </row>
    <row r="129" spans="1:6" x14ac:dyDescent="0.35">
      <c r="A129" s="2"/>
      <c r="E129" s="80"/>
      <c r="F129" s="29"/>
    </row>
    <row r="130" spans="1:6" x14ac:dyDescent="0.35">
      <c r="A130" s="2"/>
      <c r="E130" s="80"/>
      <c r="F130" s="29"/>
    </row>
    <row r="131" spans="1:6" x14ac:dyDescent="0.35">
      <c r="A131" s="2"/>
      <c r="E131" s="80"/>
      <c r="F131" s="29"/>
    </row>
    <row r="132" spans="1:6" x14ac:dyDescent="0.35">
      <c r="A132" s="2"/>
      <c r="B132" s="1"/>
      <c r="C132" s="1"/>
      <c r="E132" s="80"/>
      <c r="F132" s="29"/>
    </row>
    <row r="133" spans="1:6" x14ac:dyDescent="0.35">
      <c r="A133" s="2"/>
      <c r="B133" s="1"/>
      <c r="C133" s="1"/>
      <c r="E133" s="80"/>
      <c r="F133" s="29"/>
    </row>
    <row r="134" spans="1:6" x14ac:dyDescent="0.35">
      <c r="A134" s="2"/>
      <c r="E134" s="80"/>
      <c r="F134" s="29"/>
    </row>
    <row r="135" spans="1:6" x14ac:dyDescent="0.35">
      <c r="A135" s="2"/>
      <c r="E135" s="80"/>
      <c r="F135" s="29"/>
    </row>
    <row r="136" spans="1:6" x14ac:dyDescent="0.35">
      <c r="A136" s="2"/>
      <c r="E136" s="80"/>
      <c r="F136" s="29"/>
    </row>
    <row r="137" spans="1:6" x14ac:dyDescent="0.35">
      <c r="A137" s="2"/>
      <c r="E137" s="80"/>
      <c r="F137" s="29"/>
    </row>
    <row r="138" spans="1:6" x14ac:dyDescent="0.35">
      <c r="A138" s="2"/>
      <c r="E138" s="80"/>
      <c r="F138" s="29"/>
    </row>
    <row r="139" spans="1:6" x14ac:dyDescent="0.35">
      <c r="A139" s="2"/>
      <c r="E139" s="80"/>
      <c r="F139" s="29"/>
    </row>
    <row r="140" spans="1:6" x14ac:dyDescent="0.35">
      <c r="A140" s="2"/>
      <c r="E140" s="80"/>
      <c r="F140" s="29"/>
    </row>
    <row r="141" spans="1:6" x14ac:dyDescent="0.35">
      <c r="A141" s="2"/>
      <c r="E141" s="80"/>
      <c r="F141" s="29"/>
    </row>
    <row r="142" spans="1:6" x14ac:dyDescent="0.35">
      <c r="A142" s="2"/>
      <c r="E142" s="80"/>
      <c r="F142" s="29"/>
    </row>
    <row r="143" spans="1:6" x14ac:dyDescent="0.35">
      <c r="A143" s="2"/>
      <c r="E143" s="80"/>
      <c r="F143" s="29"/>
    </row>
    <row r="144" spans="1:6" x14ac:dyDescent="0.35">
      <c r="A144" s="2"/>
      <c r="E144" s="80"/>
      <c r="F144" s="29"/>
    </row>
    <row r="145" spans="1:6" x14ac:dyDescent="0.35">
      <c r="A145" s="2"/>
      <c r="D145" s="98"/>
      <c r="E145" s="80"/>
      <c r="F145" s="29"/>
    </row>
    <row r="146" spans="1:6" x14ac:dyDescent="0.35">
      <c r="A146" s="2"/>
      <c r="D146" s="98"/>
      <c r="E146" s="80"/>
      <c r="F146" s="29"/>
    </row>
    <row r="147" spans="1:6" x14ac:dyDescent="0.35">
      <c r="A147" s="2"/>
      <c r="D147" s="98"/>
      <c r="E147" s="80"/>
      <c r="F147" s="29"/>
    </row>
    <row r="148" spans="1:6" x14ac:dyDescent="0.35">
      <c r="A148" s="2"/>
      <c r="D148" s="98"/>
      <c r="E148" s="80"/>
      <c r="F148" s="29"/>
    </row>
    <row r="149" spans="1:6" x14ac:dyDescent="0.35">
      <c r="A149" s="2"/>
      <c r="D149" s="98"/>
      <c r="E149" s="80"/>
      <c r="F149" s="29"/>
    </row>
    <row r="150" spans="1:6" x14ac:dyDescent="0.35">
      <c r="A150" s="2"/>
      <c r="D150" s="98"/>
      <c r="E150" s="80"/>
      <c r="F150" s="29"/>
    </row>
    <row r="151" spans="1:6" x14ac:dyDescent="0.35">
      <c r="A151" s="2"/>
      <c r="D151" s="98"/>
      <c r="E151" s="80"/>
      <c r="F151" s="29"/>
    </row>
    <row r="152" spans="1:6" x14ac:dyDescent="0.35">
      <c r="D152" s="99"/>
      <c r="E152" s="80"/>
      <c r="F152" s="29"/>
    </row>
  </sheetData>
  <pageMargins left="0.7" right="0.7" top="0.75" bottom="0.75" header="0.3" footer="0.3"/>
  <pageSetup paperSize="9" orientation="portrait"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CE089-B8B4-45BF-BD45-EE9F6383635E}">
  <sheetPr codeName="Sheet26"/>
  <dimension ref="A1:F152"/>
  <sheetViews>
    <sheetView zoomScale="90" zoomScaleNormal="90" workbookViewId="0">
      <selection activeCell="J38" sqref="J38"/>
    </sheetView>
  </sheetViews>
  <sheetFormatPr defaultRowHeight="14.5" x14ac:dyDescent="0.35"/>
  <cols>
    <col min="1" max="1" width="12.81640625" customWidth="1"/>
    <col min="2" max="2" width="20.54296875" customWidth="1"/>
    <col min="3" max="3" width="18" customWidth="1"/>
    <col min="4" max="4" width="18.26953125" customWidth="1"/>
    <col min="5" max="5" width="14.1796875" customWidth="1"/>
    <col min="6" max="6" width="17.7265625" customWidth="1"/>
  </cols>
  <sheetData>
    <row r="1" spans="1:6" ht="18.5" x14ac:dyDescent="0.45">
      <c r="B1" s="47" t="s">
        <v>189</v>
      </c>
      <c r="E1" s="51"/>
      <c r="F1" s="51"/>
    </row>
    <row r="2" spans="1:6" x14ac:dyDescent="0.35">
      <c r="B2" s="1" t="s">
        <v>31</v>
      </c>
      <c r="C2" s="58" t="s">
        <v>32</v>
      </c>
      <c r="D2" s="9" t="s">
        <v>33</v>
      </c>
      <c r="E2" s="1" t="s">
        <v>34</v>
      </c>
      <c r="F2" s="1" t="s">
        <v>35</v>
      </c>
    </row>
    <row r="3" spans="1:6" x14ac:dyDescent="0.35">
      <c r="B3" s="53"/>
      <c r="C3" s="53"/>
      <c r="D3" s="53"/>
      <c r="E3" s="59"/>
      <c r="F3" s="87"/>
    </row>
    <row r="4" spans="1:6" x14ac:dyDescent="0.35">
      <c r="A4" s="2" t="str">
        <f>B4&amp;"-"&amp;C4</f>
        <v>0-1</v>
      </c>
      <c r="B4" s="53">
        <v>0</v>
      </c>
      <c r="C4" s="53">
        <v>1</v>
      </c>
      <c r="D4" s="53">
        <v>2.8318000000000002E-3</v>
      </c>
      <c r="E4" s="61">
        <f>D4/D$27</f>
        <v>2.8538392300684811E-3</v>
      </c>
      <c r="F4" s="87">
        <v>1.4159000000000001E-3</v>
      </c>
    </row>
    <row r="5" spans="1:6" x14ac:dyDescent="0.35">
      <c r="A5" s="2" t="str">
        <f t="shared" ref="A5:A26" si="0">B5&amp;"-"&amp;C5</f>
        <v>1-2</v>
      </c>
      <c r="B5" s="53">
        <v>1</v>
      </c>
      <c r="C5" s="53">
        <v>2</v>
      </c>
      <c r="D5" s="53">
        <v>8.3202999999999992E-3</v>
      </c>
      <c r="E5" s="61">
        <f t="shared" ref="E5:E26" si="1">D5/D$27</f>
        <v>8.3850549282925273E-3</v>
      </c>
      <c r="F5" s="87">
        <v>1.0387155E-2</v>
      </c>
    </row>
    <row r="6" spans="1:6" x14ac:dyDescent="0.35">
      <c r="A6" s="2" t="str">
        <f t="shared" si="0"/>
        <v>2-3</v>
      </c>
      <c r="B6" s="53">
        <v>2</v>
      </c>
      <c r="C6" s="53">
        <v>3</v>
      </c>
      <c r="D6" s="53">
        <v>1.0030890000000001E-2</v>
      </c>
      <c r="E6" s="61">
        <f t="shared" si="1"/>
        <v>1.0108958045943084E-2</v>
      </c>
      <c r="F6" s="87">
        <v>2.2608755000000001E-2</v>
      </c>
    </row>
    <row r="7" spans="1:6" x14ac:dyDescent="0.35">
      <c r="A7" s="2" t="str">
        <f t="shared" si="0"/>
        <v>3-4</v>
      </c>
      <c r="B7" s="62">
        <v>3</v>
      </c>
      <c r="C7" s="62">
        <v>4</v>
      </c>
      <c r="D7" s="53">
        <v>1.1653780000000001E-2</v>
      </c>
      <c r="E7" s="61">
        <f t="shared" si="1"/>
        <v>1.1744478615222638E-2</v>
      </c>
      <c r="F7" s="87">
        <v>3.7927839999999997E-2</v>
      </c>
    </row>
    <row r="8" spans="1:6" x14ac:dyDescent="0.35">
      <c r="A8" s="2" t="str">
        <f t="shared" si="0"/>
        <v>4-5</v>
      </c>
      <c r="B8" s="62">
        <v>4</v>
      </c>
      <c r="C8" s="62">
        <v>5</v>
      </c>
      <c r="D8" s="53">
        <v>1.323469E-2</v>
      </c>
      <c r="E8" s="61">
        <f t="shared" si="1"/>
        <v>1.3337692464084691E-2</v>
      </c>
      <c r="F8" s="87">
        <v>5.6274310000000001E-2</v>
      </c>
    </row>
    <row r="9" spans="1:6" x14ac:dyDescent="0.35">
      <c r="A9" s="2" t="str">
        <f t="shared" si="0"/>
        <v>5-6</v>
      </c>
      <c r="B9" s="53">
        <v>5</v>
      </c>
      <c r="C9" s="53">
        <v>6</v>
      </c>
      <c r="D9" s="53">
        <v>1.4763E-2</v>
      </c>
      <c r="E9" s="61">
        <f t="shared" si="1"/>
        <v>1.4877896939579414E-2</v>
      </c>
      <c r="F9" s="87">
        <v>7.7529694999999996E-2</v>
      </c>
    </row>
    <row r="10" spans="1:6" x14ac:dyDescent="0.35">
      <c r="A10" s="2" t="str">
        <f t="shared" si="0"/>
        <v>6-7</v>
      </c>
      <c r="B10" s="53">
        <v>6</v>
      </c>
      <c r="C10" s="53">
        <v>7</v>
      </c>
      <c r="D10" s="63">
        <v>1.6279289999999998E-2</v>
      </c>
      <c r="E10" s="61">
        <f t="shared" si="1"/>
        <v>1.6405987866255214E-2</v>
      </c>
      <c r="F10" s="87">
        <v>0.10176278</v>
      </c>
    </row>
    <row r="11" spans="1:6" x14ac:dyDescent="0.35">
      <c r="A11" s="2" t="str">
        <f t="shared" si="0"/>
        <v>7-8</v>
      </c>
      <c r="B11" s="53">
        <v>7</v>
      </c>
      <c r="C11" s="53">
        <v>8</v>
      </c>
      <c r="D11" s="63">
        <v>1.77007E-2</v>
      </c>
      <c r="E11" s="61">
        <f t="shared" si="1"/>
        <v>1.7838460364317098E-2</v>
      </c>
      <c r="F11" s="87">
        <v>0.12834783999999999</v>
      </c>
    </row>
    <row r="12" spans="1:6" x14ac:dyDescent="0.35">
      <c r="A12" s="2" t="str">
        <f t="shared" si="0"/>
        <v>8-9</v>
      </c>
      <c r="B12" s="53">
        <v>8</v>
      </c>
      <c r="C12" s="53">
        <v>9</v>
      </c>
      <c r="D12" s="63">
        <v>1.904254E-2</v>
      </c>
      <c r="E12" s="61">
        <f t="shared" si="1"/>
        <v>1.9190743587876351E-2</v>
      </c>
      <c r="F12" s="87">
        <v>0.15711937500000001</v>
      </c>
    </row>
    <row r="13" spans="1:6" x14ac:dyDescent="0.35">
      <c r="A13" s="2" t="str">
        <f t="shared" si="0"/>
        <v>9-10</v>
      </c>
      <c r="B13" s="53">
        <v>9</v>
      </c>
      <c r="C13" s="53">
        <v>10</v>
      </c>
      <c r="D13" s="63">
        <v>2.0276639999999999E-2</v>
      </c>
      <c r="E13" s="61">
        <f t="shared" si="1"/>
        <v>2.0434448296481306E-2</v>
      </c>
      <c r="F13" s="87">
        <v>0.18756616000000001</v>
      </c>
    </row>
    <row r="14" spans="1:6" x14ac:dyDescent="0.35">
      <c r="A14" s="2" t="str">
        <f t="shared" si="0"/>
        <v>10-15</v>
      </c>
      <c r="B14" s="53">
        <v>10</v>
      </c>
      <c r="C14" s="53">
        <v>15</v>
      </c>
      <c r="D14" s="53">
        <v>0.11531249</v>
      </c>
      <c r="E14" s="61">
        <f t="shared" si="1"/>
        <v>0.11620993985411379</v>
      </c>
      <c r="F14" s="87">
        <v>1.4198571950000001</v>
      </c>
    </row>
    <row r="15" spans="1:6" x14ac:dyDescent="0.35">
      <c r="A15" s="2" t="str">
        <f t="shared" si="0"/>
        <v>15-20</v>
      </c>
      <c r="B15" s="53">
        <v>15</v>
      </c>
      <c r="C15" s="53">
        <v>20</v>
      </c>
      <c r="D15" s="53">
        <v>0.12451413</v>
      </c>
      <c r="E15" s="61">
        <f t="shared" si="1"/>
        <v>0.12548319404331051</v>
      </c>
      <c r="F15" s="87">
        <v>2.1475123150000002</v>
      </c>
    </row>
    <row r="16" spans="1:6" x14ac:dyDescent="0.35">
      <c r="A16" s="2" t="str">
        <f t="shared" si="0"/>
        <v>20-25</v>
      </c>
      <c r="B16" s="53">
        <v>20</v>
      </c>
      <c r="C16" s="53">
        <v>25</v>
      </c>
      <c r="D16" s="63">
        <v>0.11768196</v>
      </c>
      <c r="E16" s="61">
        <f t="shared" si="1"/>
        <v>0.11859785087906977</v>
      </c>
      <c r="F16" s="87">
        <v>2.61282652</v>
      </c>
    </row>
    <row r="17" spans="1:6" x14ac:dyDescent="0.35">
      <c r="A17" s="2" t="str">
        <f t="shared" si="0"/>
        <v>25-40</v>
      </c>
      <c r="B17" s="53">
        <v>25</v>
      </c>
      <c r="C17" s="53">
        <v>40</v>
      </c>
      <c r="D17" s="53">
        <v>0.25274687000000001</v>
      </c>
      <c r="E17" s="61">
        <f t="shared" si="1"/>
        <v>0.25471393914931084</v>
      </c>
      <c r="F17" s="87">
        <v>7.9521217399999999</v>
      </c>
    </row>
    <row r="18" spans="1:6" x14ac:dyDescent="0.35">
      <c r="A18" s="2" t="str">
        <f t="shared" si="0"/>
        <v>40-50</v>
      </c>
      <c r="B18" s="53">
        <v>40</v>
      </c>
      <c r="C18" s="53">
        <v>50</v>
      </c>
      <c r="D18" s="63">
        <v>9.2753530000000001E-2</v>
      </c>
      <c r="E18" s="61">
        <f t="shared" si="1"/>
        <v>9.3475408800527487E-2</v>
      </c>
      <c r="F18" s="87">
        <v>4.1112104499999997</v>
      </c>
    </row>
    <row r="19" spans="1:6" x14ac:dyDescent="0.35">
      <c r="A19" s="2" t="str">
        <f t="shared" si="0"/>
        <v>50-75</v>
      </c>
      <c r="B19" s="53">
        <v>50</v>
      </c>
      <c r="C19" s="53">
        <v>75</v>
      </c>
      <c r="D19" s="63">
        <v>0.10104352</v>
      </c>
      <c r="E19" s="61">
        <f t="shared" si="1"/>
        <v>0.10182991783325417</v>
      </c>
      <c r="F19" s="87">
        <v>6.0364048300000004</v>
      </c>
    </row>
    <row r="20" spans="1:6" x14ac:dyDescent="0.35">
      <c r="A20" s="2" t="str">
        <f t="shared" si="0"/>
        <v>75-100</v>
      </c>
      <c r="B20" s="53">
        <v>75</v>
      </c>
      <c r="C20" s="53">
        <v>100</v>
      </c>
      <c r="D20" s="63">
        <v>3.1334180000000003E-2</v>
      </c>
      <c r="E20" s="61">
        <f t="shared" si="1"/>
        <v>3.1578046516712761E-2</v>
      </c>
      <c r="F20" s="87">
        <v>2.6637827249999999</v>
      </c>
    </row>
    <row r="21" spans="1:6" x14ac:dyDescent="0.35">
      <c r="A21" s="2" t="str">
        <f t="shared" si="0"/>
        <v>100-150</v>
      </c>
      <c r="B21" s="53">
        <v>100</v>
      </c>
      <c r="C21" s="53">
        <v>150</v>
      </c>
      <c r="D21" s="63">
        <v>1.6588970000000001E-2</v>
      </c>
      <c r="E21" s="61">
        <f t="shared" si="1"/>
        <v>1.6718078032498456E-2</v>
      </c>
      <c r="F21" s="87">
        <v>1.9613734</v>
      </c>
    </row>
    <row r="22" spans="1:6" x14ac:dyDescent="0.35">
      <c r="A22" s="2" t="str">
        <f t="shared" si="0"/>
        <v>150-200</v>
      </c>
      <c r="B22" s="53">
        <v>150</v>
      </c>
      <c r="C22" s="53">
        <v>200</v>
      </c>
      <c r="D22" s="63">
        <v>3.7895099999999998E-3</v>
      </c>
      <c r="E22" s="61">
        <f t="shared" si="1"/>
        <v>3.8190028606316863E-3</v>
      </c>
      <c r="F22" s="87">
        <v>0.64218054000000002</v>
      </c>
    </row>
    <row r="23" spans="1:6" x14ac:dyDescent="0.35">
      <c r="A23" s="2" t="str">
        <f t="shared" si="0"/>
        <v>200-300</v>
      </c>
      <c r="B23" s="53">
        <v>200</v>
      </c>
      <c r="C23" s="53">
        <v>300</v>
      </c>
      <c r="D23" s="63">
        <v>1.77366E-3</v>
      </c>
      <c r="E23" s="61">
        <f t="shared" si="1"/>
        <v>1.7874639765531684E-3</v>
      </c>
      <c r="F23" s="87">
        <v>0.41933515500000001</v>
      </c>
    </row>
    <row r="24" spans="1:6" x14ac:dyDescent="0.35">
      <c r="A24" s="2" t="str">
        <f t="shared" si="0"/>
        <v>300-400</v>
      </c>
      <c r="B24" s="53">
        <v>300</v>
      </c>
      <c r="C24" s="53">
        <v>400</v>
      </c>
      <c r="D24" s="63">
        <v>3.7269000000000001E-4</v>
      </c>
      <c r="E24" s="61">
        <f t="shared" si="1"/>
        <v>3.7559055818003466E-4</v>
      </c>
      <c r="F24" s="65">
        <v>0.12622040500000001</v>
      </c>
    </row>
    <row r="25" spans="1:6" x14ac:dyDescent="0.35">
      <c r="A25" s="2" t="str">
        <f t="shared" si="0"/>
        <v>400-500</v>
      </c>
      <c r="B25" s="53">
        <v>400</v>
      </c>
      <c r="C25" s="53">
        <v>500</v>
      </c>
      <c r="D25" s="63">
        <v>1.2354999999999999E-4</v>
      </c>
      <c r="E25" s="61">
        <f t="shared" si="1"/>
        <v>1.2451156044740477E-4</v>
      </c>
      <c r="F25" s="87">
        <v>5.4768114999999999E-2</v>
      </c>
    </row>
    <row r="26" spans="1:6" x14ac:dyDescent="0.35">
      <c r="A26" s="2" t="str">
        <f t="shared" si="0"/>
        <v>500-20000</v>
      </c>
      <c r="B26" s="53">
        <v>500</v>
      </c>
      <c r="C26" s="53">
        <v>20000</v>
      </c>
      <c r="D26" s="63">
        <v>1.0865E-4</v>
      </c>
      <c r="E26" s="61">
        <f t="shared" si="1"/>
        <v>1.0949559726920703E-4</v>
      </c>
      <c r="F26" s="87">
        <v>7.5177850000000004E-2</v>
      </c>
    </row>
    <row r="27" spans="1:6" x14ac:dyDescent="0.35">
      <c r="C27" t="s">
        <v>11</v>
      </c>
      <c r="D27" s="64">
        <f>SUM(D3:D26)</f>
        <v>0.9922773399999999</v>
      </c>
      <c r="E27" s="60">
        <f>SUM(E3:E26)</f>
        <v>1.0000000000000002</v>
      </c>
      <c r="F27" s="87">
        <f>SUM(F3:F26)</f>
        <v>31.003711050000007</v>
      </c>
    </row>
    <row r="28" spans="1:6" x14ac:dyDescent="0.35">
      <c r="E28" s="60"/>
    </row>
    <row r="30" spans="1:6" x14ac:dyDescent="0.35">
      <c r="C30" s="1"/>
      <c r="D30" s="40"/>
    </row>
    <row r="31" spans="1:6" x14ac:dyDescent="0.35">
      <c r="C31" s="1"/>
    </row>
    <row r="32" spans="1:6" x14ac:dyDescent="0.35">
      <c r="C32" s="1"/>
    </row>
    <row r="33" spans="1:6" ht="18.5" x14ac:dyDescent="0.45">
      <c r="B33" s="47"/>
      <c r="E33" s="51"/>
      <c r="F33" s="51"/>
    </row>
    <row r="34" spans="1:6" x14ac:dyDescent="0.35">
      <c r="B34" s="1"/>
      <c r="C34" s="58"/>
      <c r="D34" s="9"/>
      <c r="E34" s="1"/>
      <c r="F34" s="1"/>
    </row>
    <row r="35" spans="1:6" x14ac:dyDescent="0.35">
      <c r="E35" s="29"/>
      <c r="F35" s="80"/>
    </row>
    <row r="36" spans="1:6" x14ac:dyDescent="0.35">
      <c r="A36" s="2"/>
      <c r="E36" s="80"/>
      <c r="F36" s="29"/>
    </row>
    <row r="37" spans="1:6" x14ac:dyDescent="0.35">
      <c r="A37" s="2"/>
      <c r="E37" s="80"/>
      <c r="F37" s="29"/>
    </row>
    <row r="38" spans="1:6" x14ac:dyDescent="0.35">
      <c r="A38" s="2"/>
      <c r="E38" s="80"/>
      <c r="F38" s="29"/>
    </row>
    <row r="39" spans="1:6" x14ac:dyDescent="0.35">
      <c r="A39" s="2"/>
      <c r="B39" s="1"/>
      <c r="C39" s="1"/>
      <c r="E39" s="80"/>
      <c r="F39" s="29"/>
    </row>
    <row r="40" spans="1:6" x14ac:dyDescent="0.35">
      <c r="A40" s="2"/>
      <c r="B40" s="1"/>
      <c r="C40" s="1"/>
      <c r="E40" s="80"/>
      <c r="F40" s="29"/>
    </row>
    <row r="41" spans="1:6" x14ac:dyDescent="0.35">
      <c r="A41" s="2"/>
      <c r="E41" s="80"/>
      <c r="F41" s="29"/>
    </row>
    <row r="42" spans="1:6" x14ac:dyDescent="0.35">
      <c r="A42" s="2"/>
      <c r="E42" s="80"/>
      <c r="F42" s="29"/>
    </row>
    <row r="43" spans="1:6" x14ac:dyDescent="0.35">
      <c r="A43" s="2"/>
      <c r="E43" s="80"/>
      <c r="F43" s="29"/>
    </row>
    <row r="44" spans="1:6" x14ac:dyDescent="0.35">
      <c r="A44" s="2"/>
      <c r="E44" s="80"/>
      <c r="F44" s="29"/>
    </row>
    <row r="45" spans="1:6" x14ac:dyDescent="0.35">
      <c r="A45" s="2"/>
      <c r="E45" s="80"/>
      <c r="F45" s="29"/>
    </row>
    <row r="46" spans="1:6" x14ac:dyDescent="0.35">
      <c r="A46" s="2"/>
      <c r="E46" s="80"/>
      <c r="F46" s="29"/>
    </row>
    <row r="47" spans="1:6" x14ac:dyDescent="0.35">
      <c r="A47" s="2"/>
      <c r="E47" s="80"/>
      <c r="F47" s="29"/>
    </row>
    <row r="48" spans="1:6" x14ac:dyDescent="0.35">
      <c r="A48" s="2"/>
      <c r="E48" s="80"/>
      <c r="F48" s="29"/>
    </row>
    <row r="49" spans="1:6" x14ac:dyDescent="0.35">
      <c r="A49" s="2"/>
      <c r="E49" s="80"/>
      <c r="F49" s="29"/>
    </row>
    <row r="50" spans="1:6" x14ac:dyDescent="0.35">
      <c r="A50" s="2"/>
      <c r="D50" s="98"/>
      <c r="E50" s="80"/>
      <c r="F50" s="29"/>
    </row>
    <row r="51" spans="1:6" x14ac:dyDescent="0.35">
      <c r="A51" s="2"/>
      <c r="D51" s="98"/>
      <c r="E51" s="80"/>
      <c r="F51" s="29"/>
    </row>
    <row r="52" spans="1:6" x14ac:dyDescent="0.35">
      <c r="A52" s="2"/>
      <c r="D52" s="98"/>
      <c r="E52" s="80"/>
      <c r="F52" s="29"/>
    </row>
    <row r="53" spans="1:6" x14ac:dyDescent="0.35">
      <c r="A53" s="2"/>
      <c r="D53" s="98"/>
      <c r="E53" s="80"/>
      <c r="F53" s="29"/>
    </row>
    <row r="54" spans="1:6" x14ac:dyDescent="0.35">
      <c r="A54" s="2"/>
      <c r="D54" s="98"/>
      <c r="E54" s="80"/>
      <c r="F54" s="29"/>
    </row>
    <row r="55" spans="1:6" x14ac:dyDescent="0.35">
      <c r="A55" s="2"/>
      <c r="D55" s="98"/>
      <c r="E55" s="80"/>
      <c r="F55" s="100"/>
    </row>
    <row r="56" spans="1:6" x14ac:dyDescent="0.35">
      <c r="A56" s="2"/>
      <c r="D56" s="98"/>
      <c r="E56" s="80"/>
      <c r="F56" s="100"/>
    </row>
    <row r="57" spans="1:6" x14ac:dyDescent="0.35">
      <c r="A57" s="2"/>
      <c r="D57" s="98"/>
      <c r="E57" s="80"/>
      <c r="F57" s="100"/>
    </row>
    <row r="58" spans="1:6" x14ac:dyDescent="0.35">
      <c r="A58" s="2"/>
      <c r="D58" s="98"/>
      <c r="E58" s="80"/>
      <c r="F58" s="29"/>
    </row>
    <row r="59" spans="1:6" x14ac:dyDescent="0.35">
      <c r="D59" s="99"/>
      <c r="E59" s="80"/>
      <c r="F59" s="29"/>
    </row>
    <row r="65" spans="1:6" ht="18.5" x14ac:dyDescent="0.45">
      <c r="B65" s="47"/>
      <c r="E65" s="51"/>
      <c r="F65" s="51"/>
    </row>
    <row r="66" spans="1:6" x14ac:dyDescent="0.35">
      <c r="B66" s="1"/>
      <c r="C66" s="58"/>
      <c r="D66" s="9"/>
      <c r="E66" s="1"/>
      <c r="F66" s="1"/>
    </row>
    <row r="67" spans="1:6" x14ac:dyDescent="0.35">
      <c r="E67" s="29"/>
      <c r="F67" s="80"/>
    </row>
    <row r="68" spans="1:6" x14ac:dyDescent="0.35">
      <c r="A68" s="2"/>
      <c r="E68" s="80"/>
      <c r="F68" s="29"/>
    </row>
    <row r="69" spans="1:6" x14ac:dyDescent="0.35">
      <c r="A69" s="2"/>
      <c r="E69" s="80"/>
      <c r="F69" s="29"/>
    </row>
    <row r="70" spans="1:6" x14ac:dyDescent="0.35">
      <c r="A70" s="2"/>
      <c r="E70" s="80"/>
      <c r="F70" s="29"/>
    </row>
    <row r="71" spans="1:6" x14ac:dyDescent="0.35">
      <c r="A71" s="2"/>
      <c r="B71" s="1"/>
      <c r="C71" s="1"/>
      <c r="E71" s="80"/>
      <c r="F71" s="29"/>
    </row>
    <row r="72" spans="1:6" x14ac:dyDescent="0.35">
      <c r="A72" s="2"/>
      <c r="B72" s="1"/>
      <c r="C72" s="1"/>
      <c r="E72" s="80"/>
      <c r="F72" s="29"/>
    </row>
    <row r="73" spans="1:6" x14ac:dyDescent="0.35">
      <c r="A73" s="2"/>
      <c r="E73" s="80"/>
      <c r="F73" s="29"/>
    </row>
    <row r="74" spans="1:6" x14ac:dyDescent="0.35">
      <c r="A74" s="2"/>
      <c r="E74" s="80"/>
      <c r="F74" s="29"/>
    </row>
    <row r="75" spans="1:6" x14ac:dyDescent="0.35">
      <c r="A75" s="2"/>
      <c r="E75" s="80"/>
      <c r="F75" s="29"/>
    </row>
    <row r="76" spans="1:6" x14ac:dyDescent="0.35">
      <c r="A76" s="2"/>
      <c r="E76" s="80"/>
      <c r="F76" s="29"/>
    </row>
    <row r="77" spans="1:6" x14ac:dyDescent="0.35">
      <c r="A77" s="2"/>
      <c r="E77" s="80"/>
      <c r="F77" s="29"/>
    </row>
    <row r="78" spans="1:6" x14ac:dyDescent="0.35">
      <c r="A78" s="2"/>
      <c r="E78" s="80"/>
      <c r="F78" s="29"/>
    </row>
    <row r="79" spans="1:6" x14ac:dyDescent="0.35">
      <c r="A79" s="2"/>
      <c r="E79" s="80"/>
      <c r="F79" s="29"/>
    </row>
    <row r="80" spans="1:6" x14ac:dyDescent="0.35">
      <c r="A80" s="2"/>
      <c r="E80" s="80"/>
      <c r="F80" s="29"/>
    </row>
    <row r="81" spans="1:6" x14ac:dyDescent="0.35">
      <c r="A81" s="2"/>
      <c r="E81" s="80"/>
      <c r="F81" s="29"/>
    </row>
    <row r="82" spans="1:6" x14ac:dyDescent="0.35">
      <c r="A82" s="2"/>
      <c r="E82" s="80"/>
      <c r="F82" s="29"/>
    </row>
    <row r="83" spans="1:6" x14ac:dyDescent="0.35">
      <c r="A83" s="2"/>
      <c r="E83" s="80"/>
      <c r="F83" s="29"/>
    </row>
    <row r="84" spans="1:6" x14ac:dyDescent="0.35">
      <c r="A84" s="2"/>
      <c r="D84" s="98"/>
      <c r="E84" s="80"/>
      <c r="F84" s="29"/>
    </row>
    <row r="85" spans="1:6" x14ac:dyDescent="0.35">
      <c r="A85" s="2"/>
      <c r="D85" s="98"/>
      <c r="E85" s="80"/>
      <c r="F85" s="29"/>
    </row>
    <row r="86" spans="1:6" x14ac:dyDescent="0.35">
      <c r="A86" s="2"/>
      <c r="D86" s="98"/>
      <c r="E86" s="80"/>
      <c r="F86" s="29"/>
    </row>
    <row r="87" spans="1:6" x14ac:dyDescent="0.35">
      <c r="A87" s="2"/>
      <c r="D87" s="98"/>
      <c r="E87" s="80"/>
      <c r="F87" s="29"/>
    </row>
    <row r="88" spans="1:6" x14ac:dyDescent="0.35">
      <c r="A88" s="2"/>
      <c r="D88" s="98"/>
      <c r="E88" s="80"/>
      <c r="F88" s="29"/>
    </row>
    <row r="89" spans="1:6" x14ac:dyDescent="0.35">
      <c r="A89" s="2"/>
      <c r="D89" s="98"/>
      <c r="E89" s="80"/>
      <c r="F89" s="29"/>
    </row>
    <row r="90" spans="1:6" x14ac:dyDescent="0.35">
      <c r="A90" s="2"/>
      <c r="D90" s="98"/>
      <c r="E90" s="80"/>
      <c r="F90" s="29"/>
    </row>
    <row r="91" spans="1:6" x14ac:dyDescent="0.35">
      <c r="D91" s="99"/>
      <c r="E91" s="80"/>
      <c r="F91" s="29"/>
    </row>
    <row r="92" spans="1:6" x14ac:dyDescent="0.35">
      <c r="E92" s="80"/>
    </row>
    <row r="94" spans="1:6" x14ac:dyDescent="0.35">
      <c r="C94" s="1"/>
      <c r="D94" s="29"/>
    </row>
    <row r="97" spans="1:6" ht="18.5" x14ac:dyDescent="0.45">
      <c r="B97" s="47"/>
      <c r="E97" s="51"/>
      <c r="F97" s="51"/>
    </row>
    <row r="98" spans="1:6" x14ac:dyDescent="0.35">
      <c r="B98" s="1"/>
      <c r="C98" s="58"/>
      <c r="D98" s="9"/>
      <c r="E98" s="1"/>
      <c r="F98" s="1"/>
    </row>
    <row r="99" spans="1:6" x14ac:dyDescent="0.35">
      <c r="E99" s="29"/>
      <c r="F99" s="80"/>
    </row>
    <row r="100" spans="1:6" x14ac:dyDescent="0.35">
      <c r="A100" s="2"/>
      <c r="E100" s="80"/>
      <c r="F100" s="29"/>
    </row>
    <row r="101" spans="1:6" x14ac:dyDescent="0.35">
      <c r="A101" s="2"/>
      <c r="E101" s="80"/>
      <c r="F101" s="29"/>
    </row>
    <row r="102" spans="1:6" x14ac:dyDescent="0.35">
      <c r="A102" s="2"/>
      <c r="E102" s="80"/>
      <c r="F102" s="29"/>
    </row>
    <row r="103" spans="1:6" x14ac:dyDescent="0.35">
      <c r="A103" s="2"/>
      <c r="B103" s="1"/>
      <c r="C103" s="1"/>
      <c r="E103" s="80"/>
      <c r="F103" s="29"/>
    </row>
    <row r="104" spans="1:6" x14ac:dyDescent="0.35">
      <c r="A104" s="2"/>
      <c r="B104" s="1"/>
      <c r="C104" s="1"/>
      <c r="E104" s="80"/>
      <c r="F104" s="29"/>
    </row>
    <row r="105" spans="1:6" x14ac:dyDescent="0.35">
      <c r="A105" s="2"/>
      <c r="E105" s="80"/>
      <c r="F105" s="29"/>
    </row>
    <row r="106" spans="1:6" x14ac:dyDescent="0.35">
      <c r="A106" s="2"/>
      <c r="E106" s="80"/>
      <c r="F106" s="29"/>
    </row>
    <row r="107" spans="1:6" x14ac:dyDescent="0.35">
      <c r="A107" s="2"/>
      <c r="E107" s="80"/>
      <c r="F107" s="29"/>
    </row>
    <row r="108" spans="1:6" x14ac:dyDescent="0.35">
      <c r="A108" s="2"/>
      <c r="E108" s="80"/>
      <c r="F108" s="29"/>
    </row>
    <row r="109" spans="1:6" x14ac:dyDescent="0.35">
      <c r="A109" s="2"/>
      <c r="E109" s="80"/>
      <c r="F109" s="29"/>
    </row>
    <row r="110" spans="1:6" x14ac:dyDescent="0.35">
      <c r="A110" s="2"/>
      <c r="E110" s="80"/>
      <c r="F110" s="29"/>
    </row>
    <row r="111" spans="1:6" x14ac:dyDescent="0.35">
      <c r="A111" s="2"/>
      <c r="E111" s="80"/>
      <c r="F111" s="29"/>
    </row>
    <row r="112" spans="1:6" x14ac:dyDescent="0.35">
      <c r="A112" s="2"/>
      <c r="E112" s="80"/>
      <c r="F112" s="29"/>
    </row>
    <row r="113" spans="1:6" x14ac:dyDescent="0.35">
      <c r="A113" s="2"/>
      <c r="E113" s="80"/>
      <c r="F113" s="29"/>
    </row>
    <row r="114" spans="1:6" x14ac:dyDescent="0.35">
      <c r="A114" s="2"/>
      <c r="E114" s="80"/>
      <c r="F114" s="29"/>
    </row>
    <row r="115" spans="1:6" x14ac:dyDescent="0.35">
      <c r="A115" s="2"/>
      <c r="E115" s="80"/>
      <c r="F115" s="29"/>
    </row>
    <row r="116" spans="1:6" x14ac:dyDescent="0.35">
      <c r="A116" s="2"/>
      <c r="D116" s="98"/>
      <c r="E116" s="80"/>
      <c r="F116" s="29"/>
    </row>
    <row r="117" spans="1:6" x14ac:dyDescent="0.35">
      <c r="A117" s="2"/>
      <c r="D117" s="98"/>
      <c r="E117" s="80"/>
      <c r="F117" s="29"/>
    </row>
    <row r="118" spans="1:6" x14ac:dyDescent="0.35">
      <c r="A118" s="2"/>
      <c r="D118" s="98"/>
      <c r="E118" s="80"/>
      <c r="F118" s="29"/>
    </row>
    <row r="119" spans="1:6" x14ac:dyDescent="0.35">
      <c r="A119" s="2"/>
      <c r="D119" s="98"/>
      <c r="E119" s="80"/>
      <c r="F119" s="29"/>
    </row>
    <row r="120" spans="1:6" x14ac:dyDescent="0.35">
      <c r="A120" s="2"/>
      <c r="D120" s="98"/>
      <c r="E120" s="80"/>
      <c r="F120" s="29"/>
    </row>
    <row r="121" spans="1:6" x14ac:dyDescent="0.35">
      <c r="A121" s="2"/>
      <c r="D121" s="98"/>
      <c r="E121" s="80"/>
      <c r="F121" s="100"/>
    </row>
    <row r="122" spans="1:6" x14ac:dyDescent="0.35">
      <c r="A122" s="2"/>
      <c r="D122" s="98"/>
      <c r="E122" s="80"/>
      <c r="F122" s="29"/>
    </row>
    <row r="123" spans="1:6" x14ac:dyDescent="0.35">
      <c r="D123" s="99"/>
      <c r="E123" s="80"/>
      <c r="F123" s="29"/>
    </row>
    <row r="126" spans="1:6" ht="18.5" x14ac:dyDescent="0.45">
      <c r="B126" s="47"/>
      <c r="E126" s="51"/>
      <c r="F126" s="51"/>
    </row>
    <row r="127" spans="1:6" x14ac:dyDescent="0.35">
      <c r="B127" s="1"/>
      <c r="C127" s="58"/>
      <c r="D127" s="9"/>
      <c r="E127" s="1"/>
      <c r="F127" s="1"/>
    </row>
    <row r="128" spans="1:6" x14ac:dyDescent="0.35">
      <c r="E128" s="29"/>
      <c r="F128" s="80"/>
    </row>
    <row r="129" spans="1:6" x14ac:dyDescent="0.35">
      <c r="A129" s="2"/>
      <c r="E129" s="80"/>
      <c r="F129" s="29"/>
    </row>
    <row r="130" spans="1:6" x14ac:dyDescent="0.35">
      <c r="A130" s="2"/>
      <c r="E130" s="80"/>
      <c r="F130" s="29"/>
    </row>
    <row r="131" spans="1:6" x14ac:dyDescent="0.35">
      <c r="A131" s="2"/>
      <c r="E131" s="80"/>
      <c r="F131" s="29"/>
    </row>
    <row r="132" spans="1:6" x14ac:dyDescent="0.35">
      <c r="A132" s="2"/>
      <c r="B132" s="1"/>
      <c r="C132" s="1"/>
      <c r="E132" s="80"/>
      <c r="F132" s="29"/>
    </row>
    <row r="133" spans="1:6" x14ac:dyDescent="0.35">
      <c r="A133" s="2"/>
      <c r="B133" s="1"/>
      <c r="C133" s="1"/>
      <c r="E133" s="80"/>
      <c r="F133" s="29"/>
    </row>
    <row r="134" spans="1:6" x14ac:dyDescent="0.35">
      <c r="A134" s="2"/>
      <c r="E134" s="80"/>
      <c r="F134" s="29"/>
    </row>
    <row r="135" spans="1:6" x14ac:dyDescent="0.35">
      <c r="A135" s="2"/>
      <c r="E135" s="80"/>
      <c r="F135" s="29"/>
    </row>
    <row r="136" spans="1:6" x14ac:dyDescent="0.35">
      <c r="A136" s="2"/>
      <c r="E136" s="80"/>
      <c r="F136" s="29"/>
    </row>
    <row r="137" spans="1:6" x14ac:dyDescent="0.35">
      <c r="A137" s="2"/>
      <c r="E137" s="80"/>
      <c r="F137" s="29"/>
    </row>
    <row r="138" spans="1:6" x14ac:dyDescent="0.35">
      <c r="A138" s="2"/>
      <c r="E138" s="80"/>
      <c r="F138" s="29"/>
    </row>
    <row r="139" spans="1:6" x14ac:dyDescent="0.35">
      <c r="A139" s="2"/>
      <c r="E139" s="80"/>
      <c r="F139" s="29"/>
    </row>
    <row r="140" spans="1:6" x14ac:dyDescent="0.35">
      <c r="A140" s="2"/>
      <c r="E140" s="80"/>
      <c r="F140" s="29"/>
    </row>
    <row r="141" spans="1:6" x14ac:dyDescent="0.35">
      <c r="A141" s="2"/>
      <c r="E141" s="80"/>
      <c r="F141" s="29"/>
    </row>
    <row r="142" spans="1:6" x14ac:dyDescent="0.35">
      <c r="A142" s="2"/>
      <c r="E142" s="80"/>
      <c r="F142" s="29"/>
    </row>
    <row r="143" spans="1:6" x14ac:dyDescent="0.35">
      <c r="A143" s="2"/>
      <c r="E143" s="80"/>
      <c r="F143" s="29"/>
    </row>
    <row r="144" spans="1:6" x14ac:dyDescent="0.35">
      <c r="A144" s="2"/>
      <c r="E144" s="80"/>
      <c r="F144" s="29"/>
    </row>
    <row r="145" spans="1:6" x14ac:dyDescent="0.35">
      <c r="A145" s="2"/>
      <c r="D145" s="98"/>
      <c r="E145" s="80"/>
      <c r="F145" s="29"/>
    </row>
    <row r="146" spans="1:6" x14ac:dyDescent="0.35">
      <c r="A146" s="2"/>
      <c r="D146" s="98"/>
      <c r="E146" s="80"/>
      <c r="F146" s="29"/>
    </row>
    <row r="147" spans="1:6" x14ac:dyDescent="0.35">
      <c r="A147" s="2"/>
      <c r="D147" s="98"/>
      <c r="E147" s="80"/>
      <c r="F147" s="29"/>
    </row>
    <row r="148" spans="1:6" x14ac:dyDescent="0.35">
      <c r="A148" s="2"/>
      <c r="D148" s="98"/>
      <c r="E148" s="80"/>
      <c r="F148" s="29"/>
    </row>
    <row r="149" spans="1:6" x14ac:dyDescent="0.35">
      <c r="A149" s="2"/>
      <c r="D149" s="98"/>
      <c r="E149" s="80"/>
      <c r="F149" s="29"/>
    </row>
    <row r="150" spans="1:6" x14ac:dyDescent="0.35">
      <c r="A150" s="2"/>
      <c r="D150" s="98"/>
      <c r="E150" s="80"/>
      <c r="F150" s="29"/>
    </row>
    <row r="151" spans="1:6" x14ac:dyDescent="0.35">
      <c r="A151" s="2"/>
      <c r="D151" s="98"/>
      <c r="E151" s="80"/>
      <c r="F151" s="29"/>
    </row>
    <row r="152" spans="1:6" x14ac:dyDescent="0.35">
      <c r="D152" s="99"/>
      <c r="E152" s="80"/>
      <c r="F152" s="29"/>
    </row>
  </sheetData>
  <pageMargins left="0.7" right="0.7" top="0.75" bottom="0.75" header="0.3" footer="0.3"/>
  <pageSetup paperSize="9" orientation="portrait"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5BB36-AE2F-44E9-A362-AA307BBCB47C}">
  <sheetPr codeName="Sheet27"/>
  <dimension ref="A1:F152"/>
  <sheetViews>
    <sheetView zoomScale="90" zoomScaleNormal="90" workbookViewId="0">
      <selection activeCell="U33" sqref="U33"/>
    </sheetView>
  </sheetViews>
  <sheetFormatPr defaultRowHeight="14.5" x14ac:dyDescent="0.35"/>
  <cols>
    <col min="1" max="1" width="12.81640625" customWidth="1"/>
    <col min="2" max="2" width="20.54296875" customWidth="1"/>
    <col min="3" max="3" width="18" customWidth="1"/>
    <col min="4" max="4" width="18.26953125" customWidth="1"/>
    <col min="5" max="5" width="14.1796875" customWidth="1"/>
    <col min="6" max="6" width="17.7265625" customWidth="1"/>
  </cols>
  <sheetData>
    <row r="1" spans="1:6" ht="18.5" x14ac:dyDescent="0.45">
      <c r="B1" s="47" t="s">
        <v>180</v>
      </c>
      <c r="E1" s="51"/>
      <c r="F1" s="51"/>
    </row>
    <row r="2" spans="1:6" x14ac:dyDescent="0.35">
      <c r="B2" s="1" t="s">
        <v>31</v>
      </c>
      <c r="C2" s="58" t="s">
        <v>32</v>
      </c>
      <c r="D2" s="9" t="s">
        <v>33</v>
      </c>
      <c r="E2" s="1" t="s">
        <v>34</v>
      </c>
      <c r="F2" s="1" t="s">
        <v>35</v>
      </c>
    </row>
    <row r="3" spans="1:6" x14ac:dyDescent="0.35">
      <c r="B3" s="53"/>
      <c r="C3" s="53"/>
      <c r="D3" s="53"/>
      <c r="E3" s="59"/>
      <c r="F3" s="87"/>
    </row>
    <row r="4" spans="1:6" x14ac:dyDescent="0.35">
      <c r="A4" s="2" t="str">
        <f>B4&amp;"-"&amp;C4</f>
        <v>0-1</v>
      </c>
      <c r="B4" s="53">
        <v>0</v>
      </c>
      <c r="C4" s="53">
        <v>1</v>
      </c>
      <c r="D4" s="53">
        <v>2.8205299999999999E-3</v>
      </c>
      <c r="E4" s="61">
        <f>D4/D$27</f>
        <v>2.8424754740209524E-3</v>
      </c>
      <c r="F4" s="87">
        <v>1.410265E-3</v>
      </c>
    </row>
    <row r="5" spans="1:6" x14ac:dyDescent="0.35">
      <c r="A5" s="2" t="str">
        <f t="shared" ref="A5:A26" si="0">B5&amp;"-"&amp;C5</f>
        <v>1-2</v>
      </c>
      <c r="B5" s="53">
        <v>1</v>
      </c>
      <c r="C5" s="53">
        <v>2</v>
      </c>
      <c r="D5" s="53">
        <v>8.2889899999999996E-3</v>
      </c>
      <c r="E5" s="61">
        <f t="shared" ref="E5:E26" si="1">D5/D$27</f>
        <v>8.3534834869350549E-3</v>
      </c>
      <c r="F5" s="87">
        <v>1.0356445000000001E-2</v>
      </c>
    </row>
    <row r="6" spans="1:6" x14ac:dyDescent="0.35">
      <c r="A6" s="2" t="str">
        <f t="shared" si="0"/>
        <v>2-3</v>
      </c>
      <c r="B6" s="53">
        <v>2</v>
      </c>
      <c r="C6" s="53">
        <v>3</v>
      </c>
      <c r="D6" s="53">
        <v>9.9554900000000009E-3</v>
      </c>
      <c r="E6" s="61">
        <f t="shared" si="1"/>
        <v>1.0032949891283146E-2</v>
      </c>
      <c r="F6" s="87">
        <v>2.24513E-2</v>
      </c>
    </row>
    <row r="7" spans="1:6" x14ac:dyDescent="0.35">
      <c r="A7" s="2" t="str">
        <f t="shared" si="0"/>
        <v>3-4</v>
      </c>
      <c r="B7" s="62">
        <v>3</v>
      </c>
      <c r="C7" s="62">
        <v>4</v>
      </c>
      <c r="D7" s="53">
        <v>1.156107E-2</v>
      </c>
      <c r="E7" s="61">
        <f t="shared" si="1"/>
        <v>1.1651022300219962E-2</v>
      </c>
      <c r="F7" s="87">
        <v>3.7635815000000003E-2</v>
      </c>
    </row>
    <row r="8" spans="1:6" x14ac:dyDescent="0.35">
      <c r="A8" s="2" t="str">
        <f t="shared" si="0"/>
        <v>4-5</v>
      </c>
      <c r="B8" s="62">
        <v>4</v>
      </c>
      <c r="C8" s="62">
        <v>5</v>
      </c>
      <c r="D8" s="53">
        <v>1.309596E-2</v>
      </c>
      <c r="E8" s="61">
        <f t="shared" si="1"/>
        <v>1.3197854697081552E-2</v>
      </c>
      <c r="F8" s="87">
        <v>5.5693384999999998E-2</v>
      </c>
    </row>
    <row r="9" spans="1:6" x14ac:dyDescent="0.35">
      <c r="A9" s="2" t="str">
        <f t="shared" si="0"/>
        <v>5-6</v>
      </c>
      <c r="B9" s="53">
        <v>5</v>
      </c>
      <c r="C9" s="53">
        <v>6</v>
      </c>
      <c r="D9" s="53">
        <v>1.460082E-2</v>
      </c>
      <c r="E9" s="61">
        <f t="shared" si="1"/>
        <v>1.4714423441904394E-2</v>
      </c>
      <c r="F9" s="87">
        <v>7.6687035000000001E-2</v>
      </c>
    </row>
    <row r="10" spans="1:6" x14ac:dyDescent="0.35">
      <c r="A10" s="2" t="str">
        <f t="shared" si="0"/>
        <v>6-7</v>
      </c>
      <c r="B10" s="53">
        <v>6</v>
      </c>
      <c r="C10" s="53">
        <v>7</v>
      </c>
      <c r="D10" s="63">
        <v>1.606496E-2</v>
      </c>
      <c r="E10" s="61">
        <f t="shared" si="1"/>
        <v>1.6189955359853514E-2</v>
      </c>
      <c r="F10" s="87">
        <v>0.100428525</v>
      </c>
    </row>
    <row r="11" spans="1:6" x14ac:dyDescent="0.35">
      <c r="A11" s="2" t="str">
        <f t="shared" si="0"/>
        <v>7-8</v>
      </c>
      <c r="B11" s="53">
        <v>7</v>
      </c>
      <c r="C11" s="53">
        <v>8</v>
      </c>
      <c r="D11" s="63">
        <v>1.7409939999999999E-2</v>
      </c>
      <c r="E11" s="61">
        <f t="shared" si="1"/>
        <v>1.7545400139043491E-2</v>
      </c>
      <c r="F11" s="87">
        <v>0.12624936</v>
      </c>
    </row>
    <row r="12" spans="1:6" x14ac:dyDescent="0.35">
      <c r="A12" s="2" t="str">
        <f t="shared" si="0"/>
        <v>8-9</v>
      </c>
      <c r="B12" s="53">
        <v>8</v>
      </c>
      <c r="C12" s="53">
        <v>9</v>
      </c>
      <c r="D12" s="63">
        <v>1.8717379999999999E-2</v>
      </c>
      <c r="E12" s="61">
        <f t="shared" si="1"/>
        <v>1.886301283373348E-2</v>
      </c>
      <c r="F12" s="87">
        <v>0.15443522000000001</v>
      </c>
    </row>
    <row r="13" spans="1:6" x14ac:dyDescent="0.35">
      <c r="A13" s="2" t="str">
        <f t="shared" si="0"/>
        <v>9-10</v>
      </c>
      <c r="B13" s="53">
        <v>9</v>
      </c>
      <c r="C13" s="53">
        <v>10</v>
      </c>
      <c r="D13" s="63">
        <v>1.990457E-2</v>
      </c>
      <c r="E13" s="61">
        <f t="shared" si="1"/>
        <v>2.005943990878779E-2</v>
      </c>
      <c r="F13" s="87">
        <v>0.184128815</v>
      </c>
    </row>
    <row r="14" spans="1:6" x14ac:dyDescent="0.35">
      <c r="A14" s="2" t="str">
        <f t="shared" si="0"/>
        <v>10-15</v>
      </c>
      <c r="B14" s="53">
        <v>10</v>
      </c>
      <c r="C14" s="53">
        <v>15</v>
      </c>
      <c r="D14" s="53">
        <v>0.11286131000000001</v>
      </c>
      <c r="E14" s="61">
        <f t="shared" si="1"/>
        <v>0.1137394410415332</v>
      </c>
      <c r="F14" s="87">
        <v>1.3895694649999999</v>
      </c>
    </row>
    <row r="15" spans="1:6" x14ac:dyDescent="0.35">
      <c r="A15" s="2" t="str">
        <f t="shared" si="0"/>
        <v>15-20</v>
      </c>
      <c r="B15" s="53">
        <v>15</v>
      </c>
      <c r="C15" s="53">
        <v>20</v>
      </c>
      <c r="D15" s="53">
        <v>0.12155293</v>
      </c>
      <c r="E15" s="61">
        <f t="shared" si="1"/>
        <v>0.12249868723976899</v>
      </c>
      <c r="F15" s="87">
        <v>2.0964516899999999</v>
      </c>
    </row>
    <row r="16" spans="1:6" x14ac:dyDescent="0.35">
      <c r="A16" s="2" t="str">
        <f t="shared" si="0"/>
        <v>20-25</v>
      </c>
      <c r="B16" s="53">
        <v>20</v>
      </c>
      <c r="C16" s="53">
        <v>25</v>
      </c>
      <c r="D16" s="63">
        <v>0.11484205</v>
      </c>
      <c r="E16" s="61">
        <f t="shared" si="1"/>
        <v>0.11573559242812093</v>
      </c>
      <c r="F16" s="87">
        <v>2.5498993099999998</v>
      </c>
    </row>
    <row r="17" spans="1:6" x14ac:dyDescent="0.35">
      <c r="A17" s="2" t="str">
        <f t="shared" si="0"/>
        <v>25-40</v>
      </c>
      <c r="B17" s="53">
        <v>25</v>
      </c>
      <c r="C17" s="53">
        <v>40</v>
      </c>
      <c r="D17" s="53">
        <v>0.2477917</v>
      </c>
      <c r="E17" s="61">
        <f t="shared" si="1"/>
        <v>0.24971967322310262</v>
      </c>
      <c r="F17" s="87">
        <v>7.8007506800000002</v>
      </c>
    </row>
    <row r="18" spans="1:6" x14ac:dyDescent="0.35">
      <c r="A18" s="2" t="str">
        <f t="shared" si="0"/>
        <v>40-50</v>
      </c>
      <c r="B18" s="53">
        <v>40</v>
      </c>
      <c r="C18" s="53">
        <v>50</v>
      </c>
      <c r="D18" s="63">
        <v>9.254395E-2</v>
      </c>
      <c r="E18" s="61">
        <f t="shared" si="1"/>
        <v>9.3263999370338663E-2</v>
      </c>
      <c r="F18" s="87">
        <v>4.103302545</v>
      </c>
    </row>
    <row r="19" spans="1:6" x14ac:dyDescent="0.35">
      <c r="A19" s="2" t="str">
        <f t="shared" si="0"/>
        <v>50-75</v>
      </c>
      <c r="B19" s="53">
        <v>50</v>
      </c>
      <c r="C19" s="53">
        <v>75</v>
      </c>
      <c r="D19" s="63">
        <v>0.10458262</v>
      </c>
      <c r="E19" s="61">
        <f t="shared" si="1"/>
        <v>0.10539633769499106</v>
      </c>
      <c r="F19" s="87">
        <v>6.2615735399999997</v>
      </c>
    </row>
    <row r="20" spans="1:6" x14ac:dyDescent="0.35">
      <c r="A20" s="2" t="str">
        <f t="shared" si="0"/>
        <v>75-100</v>
      </c>
      <c r="B20" s="53">
        <v>75</v>
      </c>
      <c r="C20" s="53">
        <v>100</v>
      </c>
      <c r="D20" s="63">
        <v>3.494618E-2</v>
      </c>
      <c r="E20" s="61">
        <f t="shared" si="1"/>
        <v>3.5218082970477717E-2</v>
      </c>
      <c r="F20" s="87">
        <v>2.976619055</v>
      </c>
    </row>
    <row r="21" spans="1:6" x14ac:dyDescent="0.35">
      <c r="A21" s="2" t="str">
        <f t="shared" si="0"/>
        <v>100-150</v>
      </c>
      <c r="B21" s="53">
        <v>100</v>
      </c>
      <c r="C21" s="53">
        <v>150</v>
      </c>
      <c r="D21" s="63">
        <v>2.059795E-2</v>
      </c>
      <c r="E21" s="61">
        <f t="shared" si="1"/>
        <v>2.0758214835548593E-2</v>
      </c>
      <c r="F21" s="87">
        <v>2.4467384249999999</v>
      </c>
    </row>
    <row r="22" spans="1:6" x14ac:dyDescent="0.35">
      <c r="A22" s="2" t="str">
        <f t="shared" si="0"/>
        <v>150-200</v>
      </c>
      <c r="B22" s="53">
        <v>150</v>
      </c>
      <c r="C22" s="53">
        <v>200</v>
      </c>
      <c r="D22" s="63">
        <v>5.5652000000000002E-3</v>
      </c>
      <c r="E22" s="61">
        <f t="shared" si="1"/>
        <v>5.6085007101578091E-3</v>
      </c>
      <c r="F22" s="87">
        <v>0.94690571499999998</v>
      </c>
    </row>
    <row r="23" spans="1:6" x14ac:dyDescent="0.35">
      <c r="A23" s="2" t="str">
        <f t="shared" si="0"/>
        <v>200-300</v>
      </c>
      <c r="B23" s="53">
        <v>200</v>
      </c>
      <c r="C23" s="53">
        <v>300</v>
      </c>
      <c r="D23" s="63">
        <v>3.0764E-3</v>
      </c>
      <c r="E23" s="61">
        <f t="shared" si="1"/>
        <v>3.1003363014320208E-3</v>
      </c>
      <c r="F23" s="87">
        <v>0.73096296500000002</v>
      </c>
    </row>
    <row r="24" spans="1:6" x14ac:dyDescent="0.35">
      <c r="A24" s="2" t="str">
        <f t="shared" si="0"/>
        <v>300-400</v>
      </c>
      <c r="B24" s="53">
        <v>300</v>
      </c>
      <c r="C24" s="53">
        <v>400</v>
      </c>
      <c r="D24" s="63">
        <v>8.1501999999999996E-4</v>
      </c>
      <c r="E24" s="61">
        <f t="shared" si="1"/>
        <v>8.2136136145921385E-4</v>
      </c>
      <c r="F24" s="87">
        <v>0.27774884999999999</v>
      </c>
    </row>
    <row r="25" spans="1:6" x14ac:dyDescent="0.35">
      <c r="A25" s="2" t="str">
        <f t="shared" si="0"/>
        <v>400-500</v>
      </c>
      <c r="B25" s="53">
        <v>400</v>
      </c>
      <c r="C25" s="53">
        <v>500</v>
      </c>
      <c r="D25" s="63">
        <v>3.1185000000000002E-4</v>
      </c>
      <c r="E25" s="61">
        <f t="shared" si="1"/>
        <v>3.142763865562267E-4</v>
      </c>
      <c r="F25" s="87">
        <v>0.13816081</v>
      </c>
    </row>
    <row r="26" spans="1:6" x14ac:dyDescent="0.35">
      <c r="A26" s="2" t="str">
        <f t="shared" si="0"/>
        <v>500-20000</v>
      </c>
      <c r="B26" s="53">
        <v>500</v>
      </c>
      <c r="C26" s="53">
        <v>20000</v>
      </c>
      <c r="D26" s="63">
        <v>3.7258000000000001E-4</v>
      </c>
      <c r="E26" s="61">
        <f t="shared" si="1"/>
        <v>3.7547890364957167E-4</v>
      </c>
      <c r="F26" s="87">
        <v>0.29423650499999998</v>
      </c>
    </row>
    <row r="27" spans="1:6" x14ac:dyDescent="0.35">
      <c r="C27" t="s">
        <v>11</v>
      </c>
      <c r="D27" s="64">
        <f>SUM(D3:D26)</f>
        <v>0.99227945000000006</v>
      </c>
      <c r="E27" s="60">
        <f>SUM(E3:E26)</f>
        <v>0.99999999999999989</v>
      </c>
      <c r="F27" s="87">
        <f>SUM(F3:F26)</f>
        <v>32.782395720000011</v>
      </c>
    </row>
    <row r="28" spans="1:6" x14ac:dyDescent="0.35">
      <c r="E28" s="60"/>
    </row>
    <row r="30" spans="1:6" x14ac:dyDescent="0.35">
      <c r="C30" s="1"/>
      <c r="D30" s="40"/>
    </row>
    <row r="31" spans="1:6" x14ac:dyDescent="0.35">
      <c r="C31" s="1"/>
    </row>
    <row r="32" spans="1:6" x14ac:dyDescent="0.35">
      <c r="C32" s="1"/>
    </row>
    <row r="33" spans="1:6" ht="18.5" x14ac:dyDescent="0.45">
      <c r="B33" s="47"/>
      <c r="E33" s="51"/>
      <c r="F33" s="51"/>
    </row>
    <row r="34" spans="1:6" x14ac:dyDescent="0.35">
      <c r="B34" s="1"/>
      <c r="C34" s="58"/>
      <c r="D34" s="9"/>
      <c r="E34" s="1"/>
      <c r="F34" s="1"/>
    </row>
    <row r="35" spans="1:6" x14ac:dyDescent="0.35">
      <c r="E35" s="29"/>
      <c r="F35" s="80"/>
    </row>
    <row r="36" spans="1:6" x14ac:dyDescent="0.35">
      <c r="A36" s="2"/>
      <c r="E36" s="80"/>
      <c r="F36" s="29"/>
    </row>
    <row r="37" spans="1:6" x14ac:dyDescent="0.35">
      <c r="A37" s="2"/>
      <c r="E37" s="80"/>
      <c r="F37" s="29"/>
    </row>
    <row r="38" spans="1:6" x14ac:dyDescent="0.35">
      <c r="A38" s="2"/>
      <c r="E38" s="80"/>
      <c r="F38" s="29"/>
    </row>
    <row r="39" spans="1:6" x14ac:dyDescent="0.35">
      <c r="A39" s="2"/>
      <c r="B39" s="1"/>
      <c r="C39" s="1"/>
      <c r="E39" s="80"/>
      <c r="F39" s="29"/>
    </row>
    <row r="40" spans="1:6" x14ac:dyDescent="0.35">
      <c r="A40" s="2"/>
      <c r="B40" s="1"/>
      <c r="C40" s="1"/>
      <c r="E40" s="80"/>
      <c r="F40" s="29"/>
    </row>
    <row r="41" spans="1:6" x14ac:dyDescent="0.35">
      <c r="A41" s="2"/>
      <c r="E41" s="80"/>
      <c r="F41" s="29"/>
    </row>
    <row r="42" spans="1:6" x14ac:dyDescent="0.35">
      <c r="A42" s="2"/>
      <c r="E42" s="80"/>
      <c r="F42" s="29"/>
    </row>
    <row r="43" spans="1:6" x14ac:dyDescent="0.35">
      <c r="A43" s="2"/>
      <c r="E43" s="80"/>
      <c r="F43" s="29"/>
    </row>
    <row r="44" spans="1:6" x14ac:dyDescent="0.35">
      <c r="A44" s="2"/>
      <c r="E44" s="80"/>
      <c r="F44" s="29"/>
    </row>
    <row r="45" spans="1:6" x14ac:dyDescent="0.35">
      <c r="A45" s="2"/>
      <c r="E45" s="80"/>
      <c r="F45" s="29"/>
    </row>
    <row r="46" spans="1:6" x14ac:dyDescent="0.35">
      <c r="A46" s="2"/>
      <c r="E46" s="80"/>
      <c r="F46" s="29"/>
    </row>
    <row r="47" spans="1:6" x14ac:dyDescent="0.35">
      <c r="A47" s="2"/>
      <c r="E47" s="80"/>
      <c r="F47" s="29"/>
    </row>
    <row r="48" spans="1:6" x14ac:dyDescent="0.35">
      <c r="A48" s="2"/>
      <c r="E48" s="80"/>
      <c r="F48" s="29"/>
    </row>
    <row r="49" spans="1:6" x14ac:dyDescent="0.35">
      <c r="A49" s="2"/>
      <c r="E49" s="80"/>
      <c r="F49" s="29"/>
    </row>
    <row r="50" spans="1:6" x14ac:dyDescent="0.35">
      <c r="A50" s="2"/>
      <c r="D50" s="98"/>
      <c r="E50" s="80"/>
      <c r="F50" s="29"/>
    </row>
    <row r="51" spans="1:6" x14ac:dyDescent="0.35">
      <c r="A51" s="2"/>
      <c r="D51" s="98"/>
      <c r="E51" s="80"/>
      <c r="F51" s="29"/>
    </row>
    <row r="52" spans="1:6" x14ac:dyDescent="0.35">
      <c r="A52" s="2"/>
      <c r="D52" s="98"/>
      <c r="E52" s="80"/>
      <c r="F52" s="29"/>
    </row>
    <row r="53" spans="1:6" x14ac:dyDescent="0.35">
      <c r="A53" s="2"/>
      <c r="D53" s="98"/>
      <c r="E53" s="80"/>
      <c r="F53" s="29"/>
    </row>
    <row r="54" spans="1:6" x14ac:dyDescent="0.35">
      <c r="A54" s="2"/>
      <c r="D54" s="98"/>
      <c r="E54" s="80"/>
      <c r="F54" s="29"/>
    </row>
    <row r="55" spans="1:6" x14ac:dyDescent="0.35">
      <c r="A55" s="2"/>
      <c r="D55" s="98"/>
      <c r="E55" s="80"/>
      <c r="F55" s="100"/>
    </row>
    <row r="56" spans="1:6" x14ac:dyDescent="0.35">
      <c r="A56" s="2"/>
      <c r="D56" s="98"/>
      <c r="E56" s="80"/>
      <c r="F56" s="100"/>
    </row>
    <row r="57" spans="1:6" x14ac:dyDescent="0.35">
      <c r="A57" s="2"/>
      <c r="D57" s="98"/>
      <c r="E57" s="80"/>
      <c r="F57" s="100"/>
    </row>
    <row r="58" spans="1:6" x14ac:dyDescent="0.35">
      <c r="A58" s="2"/>
      <c r="D58" s="98"/>
      <c r="E58" s="80"/>
      <c r="F58" s="29"/>
    </row>
    <row r="59" spans="1:6" x14ac:dyDescent="0.35">
      <c r="D59" s="99"/>
      <c r="E59" s="80"/>
      <c r="F59" s="29"/>
    </row>
    <row r="65" spans="1:6" ht="18.5" x14ac:dyDescent="0.45">
      <c r="B65" s="47"/>
      <c r="E65" s="51"/>
      <c r="F65" s="51"/>
    </row>
    <row r="66" spans="1:6" x14ac:dyDescent="0.35">
      <c r="B66" s="1"/>
      <c r="C66" s="58"/>
      <c r="D66" s="9"/>
      <c r="E66" s="1"/>
      <c r="F66" s="1"/>
    </row>
    <row r="67" spans="1:6" x14ac:dyDescent="0.35">
      <c r="E67" s="29"/>
      <c r="F67" s="80"/>
    </row>
    <row r="68" spans="1:6" x14ac:dyDescent="0.35">
      <c r="A68" s="2"/>
      <c r="E68" s="80"/>
      <c r="F68" s="29"/>
    </row>
    <row r="69" spans="1:6" x14ac:dyDescent="0.35">
      <c r="A69" s="2"/>
      <c r="E69" s="80"/>
      <c r="F69" s="29"/>
    </row>
    <row r="70" spans="1:6" x14ac:dyDescent="0.35">
      <c r="A70" s="2"/>
      <c r="E70" s="80"/>
      <c r="F70" s="29"/>
    </row>
    <row r="71" spans="1:6" x14ac:dyDescent="0.35">
      <c r="A71" s="2"/>
      <c r="B71" s="1"/>
      <c r="C71" s="1"/>
      <c r="E71" s="80"/>
      <c r="F71" s="29"/>
    </row>
    <row r="72" spans="1:6" x14ac:dyDescent="0.35">
      <c r="A72" s="2"/>
      <c r="B72" s="1"/>
      <c r="C72" s="1"/>
      <c r="E72" s="80"/>
      <c r="F72" s="29"/>
    </row>
    <row r="73" spans="1:6" x14ac:dyDescent="0.35">
      <c r="A73" s="2"/>
      <c r="E73" s="80"/>
      <c r="F73" s="29"/>
    </row>
    <row r="74" spans="1:6" x14ac:dyDescent="0.35">
      <c r="A74" s="2"/>
      <c r="E74" s="80"/>
      <c r="F74" s="29"/>
    </row>
    <row r="75" spans="1:6" x14ac:dyDescent="0.35">
      <c r="A75" s="2"/>
      <c r="E75" s="80"/>
      <c r="F75" s="29"/>
    </row>
    <row r="76" spans="1:6" x14ac:dyDescent="0.35">
      <c r="A76" s="2"/>
      <c r="E76" s="80"/>
      <c r="F76" s="29"/>
    </row>
    <row r="77" spans="1:6" x14ac:dyDescent="0.35">
      <c r="A77" s="2"/>
      <c r="E77" s="80"/>
      <c r="F77" s="29"/>
    </row>
    <row r="78" spans="1:6" x14ac:dyDescent="0.35">
      <c r="A78" s="2"/>
      <c r="E78" s="80"/>
      <c r="F78" s="29"/>
    </row>
    <row r="79" spans="1:6" x14ac:dyDescent="0.35">
      <c r="A79" s="2"/>
      <c r="E79" s="80"/>
      <c r="F79" s="29"/>
    </row>
    <row r="80" spans="1:6" x14ac:dyDescent="0.35">
      <c r="A80" s="2"/>
      <c r="E80" s="80"/>
      <c r="F80" s="29"/>
    </row>
    <row r="81" spans="1:6" x14ac:dyDescent="0.35">
      <c r="A81" s="2"/>
      <c r="E81" s="80"/>
      <c r="F81" s="29"/>
    </row>
    <row r="82" spans="1:6" x14ac:dyDescent="0.35">
      <c r="A82" s="2"/>
      <c r="E82" s="80"/>
      <c r="F82" s="29"/>
    </row>
    <row r="83" spans="1:6" x14ac:dyDescent="0.35">
      <c r="A83" s="2"/>
      <c r="E83" s="80"/>
      <c r="F83" s="29"/>
    </row>
    <row r="84" spans="1:6" x14ac:dyDescent="0.35">
      <c r="A84" s="2"/>
      <c r="D84" s="98"/>
      <c r="E84" s="80"/>
      <c r="F84" s="29"/>
    </row>
    <row r="85" spans="1:6" x14ac:dyDescent="0.35">
      <c r="A85" s="2"/>
      <c r="D85" s="98"/>
      <c r="E85" s="80"/>
      <c r="F85" s="29"/>
    </row>
    <row r="86" spans="1:6" x14ac:dyDescent="0.35">
      <c r="A86" s="2"/>
      <c r="D86" s="98"/>
      <c r="E86" s="80"/>
      <c r="F86" s="29"/>
    </row>
    <row r="87" spans="1:6" x14ac:dyDescent="0.35">
      <c r="A87" s="2"/>
      <c r="D87" s="98"/>
      <c r="E87" s="80"/>
      <c r="F87" s="29"/>
    </row>
    <row r="88" spans="1:6" x14ac:dyDescent="0.35">
      <c r="A88" s="2"/>
      <c r="D88" s="98"/>
      <c r="E88" s="80"/>
      <c r="F88" s="29"/>
    </row>
    <row r="89" spans="1:6" x14ac:dyDescent="0.35">
      <c r="A89" s="2"/>
      <c r="D89" s="98"/>
      <c r="E89" s="80"/>
      <c r="F89" s="29"/>
    </row>
    <row r="90" spans="1:6" x14ac:dyDescent="0.35">
      <c r="A90" s="2"/>
      <c r="D90" s="98"/>
      <c r="E90" s="80"/>
      <c r="F90" s="29"/>
    </row>
    <row r="91" spans="1:6" x14ac:dyDescent="0.35">
      <c r="D91" s="99"/>
      <c r="E91" s="80"/>
      <c r="F91" s="29"/>
    </row>
    <row r="92" spans="1:6" x14ac:dyDescent="0.35">
      <c r="E92" s="80"/>
    </row>
    <row r="94" spans="1:6" x14ac:dyDescent="0.35">
      <c r="C94" s="1"/>
      <c r="D94" s="29"/>
    </row>
    <row r="97" spans="1:6" ht="18.5" x14ac:dyDescent="0.45">
      <c r="B97" s="47"/>
      <c r="E97" s="51"/>
      <c r="F97" s="51"/>
    </row>
    <row r="98" spans="1:6" x14ac:dyDescent="0.35">
      <c r="B98" s="1"/>
      <c r="C98" s="58"/>
      <c r="D98" s="9"/>
      <c r="E98" s="1"/>
      <c r="F98" s="1"/>
    </row>
    <row r="99" spans="1:6" x14ac:dyDescent="0.35">
      <c r="E99" s="29"/>
      <c r="F99" s="80"/>
    </row>
    <row r="100" spans="1:6" x14ac:dyDescent="0.35">
      <c r="A100" s="2"/>
      <c r="E100" s="80"/>
      <c r="F100" s="29"/>
    </row>
    <row r="101" spans="1:6" x14ac:dyDescent="0.35">
      <c r="A101" s="2"/>
      <c r="E101" s="80"/>
      <c r="F101" s="29"/>
    </row>
    <row r="102" spans="1:6" x14ac:dyDescent="0.35">
      <c r="A102" s="2"/>
      <c r="E102" s="80"/>
      <c r="F102" s="29"/>
    </row>
    <row r="103" spans="1:6" x14ac:dyDescent="0.35">
      <c r="A103" s="2"/>
      <c r="B103" s="1"/>
      <c r="C103" s="1"/>
      <c r="E103" s="80"/>
      <c r="F103" s="29"/>
    </row>
    <row r="104" spans="1:6" x14ac:dyDescent="0.35">
      <c r="A104" s="2"/>
      <c r="B104" s="1"/>
      <c r="C104" s="1"/>
      <c r="E104" s="80"/>
      <c r="F104" s="29"/>
    </row>
    <row r="105" spans="1:6" x14ac:dyDescent="0.35">
      <c r="A105" s="2"/>
      <c r="E105" s="80"/>
      <c r="F105" s="29"/>
    </row>
    <row r="106" spans="1:6" x14ac:dyDescent="0.35">
      <c r="A106" s="2"/>
      <c r="E106" s="80"/>
      <c r="F106" s="29"/>
    </row>
    <row r="107" spans="1:6" x14ac:dyDescent="0.35">
      <c r="A107" s="2"/>
      <c r="E107" s="80"/>
      <c r="F107" s="29"/>
    </row>
    <row r="108" spans="1:6" x14ac:dyDescent="0.35">
      <c r="A108" s="2"/>
      <c r="E108" s="80"/>
      <c r="F108" s="29"/>
    </row>
    <row r="109" spans="1:6" x14ac:dyDescent="0.35">
      <c r="A109" s="2"/>
      <c r="E109" s="80"/>
      <c r="F109" s="29"/>
    </row>
    <row r="110" spans="1:6" x14ac:dyDescent="0.35">
      <c r="A110" s="2"/>
      <c r="E110" s="80"/>
      <c r="F110" s="29"/>
    </row>
    <row r="111" spans="1:6" x14ac:dyDescent="0.35">
      <c r="A111" s="2"/>
      <c r="E111" s="80"/>
      <c r="F111" s="29"/>
    </row>
    <row r="112" spans="1:6" x14ac:dyDescent="0.35">
      <c r="A112" s="2"/>
      <c r="E112" s="80"/>
      <c r="F112" s="29"/>
    </row>
    <row r="113" spans="1:6" x14ac:dyDescent="0.35">
      <c r="A113" s="2"/>
      <c r="E113" s="80"/>
      <c r="F113" s="29"/>
    </row>
    <row r="114" spans="1:6" x14ac:dyDescent="0.35">
      <c r="A114" s="2"/>
      <c r="E114" s="80"/>
      <c r="F114" s="29"/>
    </row>
    <row r="115" spans="1:6" x14ac:dyDescent="0.35">
      <c r="A115" s="2"/>
      <c r="E115" s="80"/>
      <c r="F115" s="29"/>
    </row>
    <row r="116" spans="1:6" x14ac:dyDescent="0.35">
      <c r="A116" s="2"/>
      <c r="D116" s="98"/>
      <c r="E116" s="80"/>
      <c r="F116" s="29"/>
    </row>
    <row r="117" spans="1:6" x14ac:dyDescent="0.35">
      <c r="A117" s="2"/>
      <c r="D117" s="98"/>
      <c r="E117" s="80"/>
      <c r="F117" s="29"/>
    </row>
    <row r="118" spans="1:6" x14ac:dyDescent="0.35">
      <c r="A118" s="2"/>
      <c r="D118" s="98"/>
      <c r="E118" s="80"/>
      <c r="F118" s="29"/>
    </row>
    <row r="119" spans="1:6" x14ac:dyDescent="0.35">
      <c r="A119" s="2"/>
      <c r="D119" s="98"/>
      <c r="E119" s="80"/>
      <c r="F119" s="29"/>
    </row>
    <row r="120" spans="1:6" x14ac:dyDescent="0.35">
      <c r="A120" s="2"/>
      <c r="D120" s="98"/>
      <c r="E120" s="80"/>
      <c r="F120" s="29"/>
    </row>
    <row r="121" spans="1:6" x14ac:dyDescent="0.35">
      <c r="A121" s="2"/>
      <c r="D121" s="98"/>
      <c r="E121" s="80"/>
      <c r="F121" s="100"/>
    </row>
    <row r="122" spans="1:6" x14ac:dyDescent="0.35">
      <c r="A122" s="2"/>
      <c r="D122" s="98"/>
      <c r="E122" s="80"/>
      <c r="F122" s="29"/>
    </row>
    <row r="123" spans="1:6" x14ac:dyDescent="0.35">
      <c r="D123" s="99"/>
      <c r="E123" s="80"/>
      <c r="F123" s="29"/>
    </row>
    <row r="126" spans="1:6" ht="18.5" x14ac:dyDescent="0.45">
      <c r="B126" s="47"/>
      <c r="E126" s="51"/>
      <c r="F126" s="51"/>
    </row>
    <row r="127" spans="1:6" x14ac:dyDescent="0.35">
      <c r="B127" s="1"/>
      <c r="C127" s="58"/>
      <c r="D127" s="9"/>
      <c r="E127" s="1"/>
      <c r="F127" s="1"/>
    </row>
    <row r="128" spans="1:6" x14ac:dyDescent="0.35">
      <c r="E128" s="29"/>
      <c r="F128" s="80"/>
    </row>
    <row r="129" spans="1:6" x14ac:dyDescent="0.35">
      <c r="A129" s="2"/>
      <c r="E129" s="80"/>
      <c r="F129" s="29"/>
    </row>
    <row r="130" spans="1:6" x14ac:dyDescent="0.35">
      <c r="A130" s="2"/>
      <c r="E130" s="80"/>
      <c r="F130" s="29"/>
    </row>
    <row r="131" spans="1:6" x14ac:dyDescent="0.35">
      <c r="A131" s="2"/>
      <c r="E131" s="80"/>
      <c r="F131" s="29"/>
    </row>
    <row r="132" spans="1:6" x14ac:dyDescent="0.35">
      <c r="A132" s="2"/>
      <c r="B132" s="1"/>
      <c r="C132" s="1"/>
      <c r="E132" s="80"/>
      <c r="F132" s="29"/>
    </row>
    <row r="133" spans="1:6" x14ac:dyDescent="0.35">
      <c r="A133" s="2"/>
      <c r="B133" s="1"/>
      <c r="C133" s="1"/>
      <c r="E133" s="80"/>
      <c r="F133" s="29"/>
    </row>
    <row r="134" spans="1:6" x14ac:dyDescent="0.35">
      <c r="A134" s="2"/>
      <c r="E134" s="80"/>
      <c r="F134" s="29"/>
    </row>
    <row r="135" spans="1:6" x14ac:dyDescent="0.35">
      <c r="A135" s="2"/>
      <c r="E135" s="80"/>
      <c r="F135" s="29"/>
    </row>
    <row r="136" spans="1:6" x14ac:dyDescent="0.35">
      <c r="A136" s="2"/>
      <c r="E136" s="80"/>
      <c r="F136" s="29"/>
    </row>
    <row r="137" spans="1:6" x14ac:dyDescent="0.35">
      <c r="A137" s="2"/>
      <c r="E137" s="80"/>
      <c r="F137" s="29"/>
    </row>
    <row r="138" spans="1:6" x14ac:dyDescent="0.35">
      <c r="A138" s="2"/>
      <c r="E138" s="80"/>
      <c r="F138" s="29"/>
    </row>
    <row r="139" spans="1:6" x14ac:dyDescent="0.35">
      <c r="A139" s="2"/>
      <c r="E139" s="80"/>
      <c r="F139" s="29"/>
    </row>
    <row r="140" spans="1:6" x14ac:dyDescent="0.35">
      <c r="A140" s="2"/>
      <c r="E140" s="80"/>
      <c r="F140" s="29"/>
    </row>
    <row r="141" spans="1:6" x14ac:dyDescent="0.35">
      <c r="A141" s="2"/>
      <c r="E141" s="80"/>
      <c r="F141" s="29"/>
    </row>
    <row r="142" spans="1:6" x14ac:dyDescent="0.35">
      <c r="A142" s="2"/>
      <c r="E142" s="80"/>
      <c r="F142" s="29"/>
    </row>
    <row r="143" spans="1:6" x14ac:dyDescent="0.35">
      <c r="A143" s="2"/>
      <c r="E143" s="80"/>
      <c r="F143" s="29"/>
    </row>
    <row r="144" spans="1:6" x14ac:dyDescent="0.35">
      <c r="A144" s="2"/>
      <c r="E144" s="80"/>
      <c r="F144" s="29"/>
    </row>
    <row r="145" spans="1:6" x14ac:dyDescent="0.35">
      <c r="A145" s="2"/>
      <c r="D145" s="98"/>
      <c r="E145" s="80"/>
      <c r="F145" s="29"/>
    </row>
    <row r="146" spans="1:6" x14ac:dyDescent="0.35">
      <c r="A146" s="2"/>
      <c r="D146" s="98"/>
      <c r="E146" s="80"/>
      <c r="F146" s="29"/>
    </row>
    <row r="147" spans="1:6" x14ac:dyDescent="0.35">
      <c r="A147" s="2"/>
      <c r="D147" s="98"/>
      <c r="E147" s="80"/>
      <c r="F147" s="29"/>
    </row>
    <row r="148" spans="1:6" x14ac:dyDescent="0.35">
      <c r="A148" s="2"/>
      <c r="D148" s="98"/>
      <c r="E148" s="80"/>
      <c r="F148" s="29"/>
    </row>
    <row r="149" spans="1:6" x14ac:dyDescent="0.35">
      <c r="A149" s="2"/>
      <c r="D149" s="98"/>
      <c r="E149" s="80"/>
      <c r="F149" s="29"/>
    </row>
    <row r="150" spans="1:6" x14ac:dyDescent="0.35">
      <c r="A150" s="2"/>
      <c r="D150" s="98"/>
      <c r="E150" s="80"/>
      <c r="F150" s="29"/>
    </row>
    <row r="151" spans="1:6" x14ac:dyDescent="0.35">
      <c r="A151" s="2"/>
      <c r="D151" s="98"/>
      <c r="E151" s="80"/>
      <c r="F151" s="29"/>
    </row>
    <row r="152" spans="1:6" x14ac:dyDescent="0.35">
      <c r="D152" s="99"/>
      <c r="E152" s="80"/>
      <c r="F152" s="29"/>
    </row>
  </sheetData>
  <pageMargins left="0.7" right="0.7" top="0.75" bottom="0.75" header="0.3" footer="0.3"/>
  <pageSetup paperSize="9" orientation="portrait"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0477-A699-4B82-AA8A-CEBBF939D824}">
  <sheetPr codeName="Sheet29"/>
  <dimension ref="A1:F152"/>
  <sheetViews>
    <sheetView zoomScale="90" zoomScaleNormal="90" workbookViewId="0">
      <selection activeCell="M35" sqref="M35"/>
    </sheetView>
  </sheetViews>
  <sheetFormatPr defaultRowHeight="14.5" x14ac:dyDescent="0.35"/>
  <cols>
    <col min="1" max="1" width="12.81640625" customWidth="1"/>
    <col min="2" max="2" width="20.54296875" customWidth="1"/>
    <col min="3" max="3" width="18" customWidth="1"/>
    <col min="4" max="4" width="18.26953125" customWidth="1"/>
    <col min="5" max="5" width="14.1796875" customWidth="1"/>
    <col min="6" max="6" width="17.7265625" customWidth="1"/>
  </cols>
  <sheetData>
    <row r="1" spans="1:6" ht="18.5" x14ac:dyDescent="0.45">
      <c r="B1" s="47" t="s">
        <v>277</v>
      </c>
      <c r="E1" s="51"/>
      <c r="F1" s="51"/>
    </row>
    <row r="2" spans="1:6" x14ac:dyDescent="0.35">
      <c r="B2" s="1" t="s">
        <v>31</v>
      </c>
      <c r="C2" s="58" t="s">
        <v>32</v>
      </c>
      <c r="D2" s="9" t="s">
        <v>33</v>
      </c>
      <c r="E2" s="1" t="s">
        <v>34</v>
      </c>
      <c r="F2" s="1" t="s">
        <v>35</v>
      </c>
    </row>
    <row r="3" spans="1:6" x14ac:dyDescent="0.35">
      <c r="B3" s="53"/>
      <c r="C3" s="53"/>
      <c r="D3" s="53"/>
      <c r="E3" s="59"/>
      <c r="F3" s="87"/>
    </row>
    <row r="4" spans="1:6" x14ac:dyDescent="0.35">
      <c r="A4" s="2" t="str">
        <f>B4&amp;"-"&amp;C4</f>
        <v>0-1</v>
      </c>
      <c r="B4" s="53">
        <v>0</v>
      </c>
      <c r="C4" s="53">
        <v>1</v>
      </c>
      <c r="D4" s="53">
        <v>1.5883399999999999E-3</v>
      </c>
      <c r="E4" s="61">
        <f>D4/D$27</f>
        <v>1.5962937892117538E-3</v>
      </c>
      <c r="F4" s="87">
        <v>7.9416999999999997E-4</v>
      </c>
    </row>
    <row r="5" spans="1:6" x14ac:dyDescent="0.35">
      <c r="A5" s="2" t="str">
        <f t="shared" ref="A5:A26" si="0">B5&amp;"-"&amp;C5</f>
        <v>1-2</v>
      </c>
      <c r="B5" s="53">
        <v>1</v>
      </c>
      <c r="C5" s="53">
        <v>2</v>
      </c>
      <c r="D5" s="53">
        <v>4.5132999999999996E-3</v>
      </c>
      <c r="E5" s="61">
        <f t="shared" ref="E5:E26" si="1">D5/D$27</f>
        <v>4.5359008517379205E-3</v>
      </c>
      <c r="F5" s="87">
        <v>5.6271949999999998E-3</v>
      </c>
    </row>
    <row r="6" spans="1:6" x14ac:dyDescent="0.35">
      <c r="A6" s="2" t="str">
        <f t="shared" si="0"/>
        <v>2-3</v>
      </c>
      <c r="B6" s="53">
        <v>2</v>
      </c>
      <c r="C6" s="53">
        <v>3</v>
      </c>
      <c r="D6" s="53">
        <v>5.2334499999999997E-3</v>
      </c>
      <c r="E6" s="61">
        <f t="shared" si="1"/>
        <v>5.2596570829609862E-3</v>
      </c>
      <c r="F6" s="87">
        <v>1.180399E-2</v>
      </c>
    </row>
    <row r="7" spans="1:6" x14ac:dyDescent="0.35">
      <c r="A7" s="2" t="str">
        <f t="shared" si="0"/>
        <v>3-4</v>
      </c>
      <c r="B7" s="62">
        <v>3</v>
      </c>
      <c r="C7" s="62">
        <v>4</v>
      </c>
      <c r="D7" s="53">
        <v>5.9912000000000003E-3</v>
      </c>
      <c r="E7" s="61">
        <f t="shared" si="1"/>
        <v>6.021201600366081E-3</v>
      </c>
      <c r="F7" s="87">
        <v>1.951309E-2</v>
      </c>
    </row>
    <row r="8" spans="1:6" x14ac:dyDescent="0.35">
      <c r="A8" s="2" t="str">
        <f t="shared" si="0"/>
        <v>4-5</v>
      </c>
      <c r="B8" s="62">
        <v>4</v>
      </c>
      <c r="C8" s="62">
        <v>5</v>
      </c>
      <c r="D8" s="53">
        <v>6.7654799999999999E-3</v>
      </c>
      <c r="E8" s="61">
        <f t="shared" si="1"/>
        <v>6.799358893584709E-3</v>
      </c>
      <c r="F8" s="87">
        <v>2.8787690000000001E-2</v>
      </c>
    </row>
    <row r="9" spans="1:6" x14ac:dyDescent="0.35">
      <c r="A9" s="2" t="str">
        <f t="shared" si="0"/>
        <v>5-6</v>
      </c>
      <c r="B9" s="53">
        <v>5</v>
      </c>
      <c r="C9" s="53">
        <v>6</v>
      </c>
      <c r="D9" s="53">
        <v>7.6128400000000001E-3</v>
      </c>
      <c r="E9" s="61">
        <f t="shared" si="1"/>
        <v>7.6509621430315977E-3</v>
      </c>
      <c r="F9" s="87">
        <v>4.0004184999999998E-2</v>
      </c>
    </row>
    <row r="10" spans="1:6" x14ac:dyDescent="0.35">
      <c r="A10" s="2" t="str">
        <f t="shared" si="0"/>
        <v>6-7</v>
      </c>
      <c r="B10" s="53">
        <v>6</v>
      </c>
      <c r="C10" s="53">
        <v>7</v>
      </c>
      <c r="D10" s="63">
        <v>8.5102200000000006E-3</v>
      </c>
      <c r="E10" s="61">
        <f t="shared" si="1"/>
        <v>8.5528358731919198E-3</v>
      </c>
      <c r="F10" s="87">
        <v>5.3226969999999998E-2</v>
      </c>
    </row>
    <row r="11" spans="1:6" x14ac:dyDescent="0.35">
      <c r="A11" s="2" t="str">
        <f t="shared" si="0"/>
        <v>7-8</v>
      </c>
      <c r="B11" s="53">
        <v>7</v>
      </c>
      <c r="C11" s="53">
        <v>8</v>
      </c>
      <c r="D11" s="63">
        <v>9.4372599999999994E-3</v>
      </c>
      <c r="E11" s="61">
        <f t="shared" si="1"/>
        <v>9.4845181291011472E-3</v>
      </c>
      <c r="F11" s="87">
        <v>6.8466689999999997E-2</v>
      </c>
    </row>
    <row r="12" spans="1:6" x14ac:dyDescent="0.35">
      <c r="A12" s="2" t="str">
        <f t="shared" si="0"/>
        <v>8-9</v>
      </c>
      <c r="B12" s="53">
        <v>8</v>
      </c>
      <c r="C12" s="53">
        <v>9</v>
      </c>
      <c r="D12" s="63">
        <v>1.0398579999999999E-2</v>
      </c>
      <c r="E12" s="61">
        <f t="shared" si="1"/>
        <v>1.045065204592314E-2</v>
      </c>
      <c r="F12" s="87">
        <v>8.5836549999999998E-2</v>
      </c>
    </row>
    <row r="13" spans="1:6" x14ac:dyDescent="0.35">
      <c r="A13" s="2" t="str">
        <f t="shared" si="0"/>
        <v>9-10</v>
      </c>
      <c r="B13" s="53">
        <v>9</v>
      </c>
      <c r="C13" s="53">
        <v>10</v>
      </c>
      <c r="D13" s="63">
        <v>1.137499E-2</v>
      </c>
      <c r="E13" s="61">
        <f t="shared" si="1"/>
        <v>1.1431951527598504E-2</v>
      </c>
      <c r="F13" s="87">
        <v>0.105272545</v>
      </c>
    </row>
    <row r="14" spans="1:6" x14ac:dyDescent="0.35">
      <c r="A14" s="2" t="str">
        <f t="shared" si="0"/>
        <v>10-15</v>
      </c>
      <c r="B14" s="53">
        <v>10</v>
      </c>
      <c r="C14" s="53">
        <v>15</v>
      </c>
      <c r="D14" s="53">
        <v>7.170435E-2</v>
      </c>
      <c r="E14" s="61">
        <f t="shared" si="1"/>
        <v>7.2063417507879812E-2</v>
      </c>
      <c r="F14" s="87">
        <v>0.88841537999999998</v>
      </c>
    </row>
    <row r="15" spans="1:6" x14ac:dyDescent="0.35">
      <c r="A15" s="2" t="str">
        <f t="shared" si="0"/>
        <v>15-20</v>
      </c>
      <c r="B15" s="53">
        <v>15</v>
      </c>
      <c r="C15" s="53">
        <v>20</v>
      </c>
      <c r="D15" s="53">
        <v>9.4005619999999998E-2</v>
      </c>
      <c r="E15" s="61">
        <f t="shared" si="1"/>
        <v>9.4476363597844434E-2</v>
      </c>
      <c r="F15" s="87">
        <v>1.629532285</v>
      </c>
    </row>
    <row r="16" spans="1:6" x14ac:dyDescent="0.35">
      <c r="A16" s="2" t="str">
        <f t="shared" si="0"/>
        <v>20-25</v>
      </c>
      <c r="B16" s="53">
        <v>20</v>
      </c>
      <c r="C16" s="53">
        <v>25</v>
      </c>
      <c r="D16" s="63">
        <v>0.10908386</v>
      </c>
      <c r="E16" s="61">
        <f t="shared" si="1"/>
        <v>0.10963010956170875</v>
      </c>
      <c r="F16" s="87">
        <v>2.4314218849999998</v>
      </c>
    </row>
    <row r="17" spans="1:6" x14ac:dyDescent="0.35">
      <c r="A17" s="2" t="str">
        <f t="shared" si="0"/>
        <v>25-40</v>
      </c>
      <c r="B17" s="53">
        <v>25</v>
      </c>
      <c r="C17" s="53">
        <v>40</v>
      </c>
      <c r="D17" s="53">
        <v>0.32035303999999998</v>
      </c>
      <c r="E17" s="61">
        <f t="shared" si="1"/>
        <v>0.32195724347879201</v>
      </c>
      <c r="F17" s="87">
        <v>10.234953750000001</v>
      </c>
    </row>
    <row r="18" spans="1:6" x14ac:dyDescent="0.35">
      <c r="A18" s="2" t="str">
        <f t="shared" si="0"/>
        <v>40-50</v>
      </c>
      <c r="B18" s="53">
        <v>40</v>
      </c>
      <c r="C18" s="53">
        <v>50</v>
      </c>
      <c r="D18" s="63">
        <v>0.14468781999999999</v>
      </c>
      <c r="E18" s="61">
        <f t="shared" si="1"/>
        <v>0.14541236035142865</v>
      </c>
      <c r="F18" s="87">
        <v>6.4191976100000003</v>
      </c>
    </row>
    <row r="19" spans="1:6" x14ac:dyDescent="0.35">
      <c r="A19" s="2" t="str">
        <f t="shared" si="0"/>
        <v>50-75</v>
      </c>
      <c r="B19" s="53">
        <v>50</v>
      </c>
      <c r="C19" s="53">
        <v>75</v>
      </c>
      <c r="D19" s="63">
        <v>0.14541074000000001</v>
      </c>
      <c r="E19" s="61">
        <f t="shared" si="1"/>
        <v>0.14613890045373482</v>
      </c>
      <c r="F19" s="87">
        <v>8.6016122599999996</v>
      </c>
    </row>
    <row r="20" spans="1:6" x14ac:dyDescent="0.35">
      <c r="A20" s="2" t="str">
        <f t="shared" si="0"/>
        <v>75-100</v>
      </c>
      <c r="B20" s="53">
        <v>75</v>
      </c>
      <c r="C20" s="53">
        <v>100</v>
      </c>
      <c r="D20" s="63">
        <v>3.0101780000000002E-2</v>
      </c>
      <c r="E20" s="61">
        <f t="shared" si="1"/>
        <v>3.0252518011394659E-2</v>
      </c>
      <c r="F20" s="87">
        <v>2.5306574999999998</v>
      </c>
    </row>
    <row r="21" spans="1:6" x14ac:dyDescent="0.35">
      <c r="A21" s="2" t="str">
        <f t="shared" si="0"/>
        <v>100-150</v>
      </c>
      <c r="B21" s="53">
        <v>100</v>
      </c>
      <c r="C21" s="53">
        <v>150</v>
      </c>
      <c r="D21" s="63">
        <v>7.8085999999999997E-3</v>
      </c>
      <c r="E21" s="61">
        <f t="shared" si="1"/>
        <v>7.8477024330048367E-3</v>
      </c>
      <c r="F21" s="87">
        <v>0.89365726499999998</v>
      </c>
    </row>
    <row r="22" spans="1:6" x14ac:dyDescent="0.35">
      <c r="A22" s="2" t="str">
        <f t="shared" si="0"/>
        <v>150-200</v>
      </c>
      <c r="B22" s="53">
        <v>150</v>
      </c>
      <c r="C22" s="53">
        <v>200</v>
      </c>
      <c r="D22" s="63">
        <v>4.2126000000000002E-4</v>
      </c>
      <c r="E22" s="61">
        <f t="shared" si="1"/>
        <v>4.2336950630428213E-4</v>
      </c>
      <c r="F22" s="87">
        <v>6.8538904999999997E-2</v>
      </c>
    </row>
    <row r="23" spans="1:6" x14ac:dyDescent="0.35">
      <c r="A23" s="2" t="str">
        <f t="shared" si="0"/>
        <v>200-300</v>
      </c>
      <c r="B23" s="53">
        <v>200</v>
      </c>
      <c r="C23" s="53">
        <v>300</v>
      </c>
      <c r="D23" s="63">
        <v>1.4569999999999999E-5</v>
      </c>
      <c r="E23" s="61">
        <f t="shared" si="1"/>
        <v>1.464296089553575E-5</v>
      </c>
      <c r="F23" s="87">
        <v>3.12247E-3</v>
      </c>
    </row>
    <row r="24" spans="1:6" x14ac:dyDescent="0.35">
      <c r="A24" s="2" t="str">
        <f t="shared" si="0"/>
        <v>300-400</v>
      </c>
      <c r="B24" s="53">
        <v>300</v>
      </c>
      <c r="C24" s="53">
        <v>400</v>
      </c>
      <c r="D24" s="63">
        <v>4.0000000000000001E-8</v>
      </c>
      <c r="E24" s="61">
        <f t="shared" si="1"/>
        <v>4.0200304448965685E-8</v>
      </c>
      <c r="F24" s="65">
        <v>1.2295E-5</v>
      </c>
    </row>
    <row r="25" spans="1:6" x14ac:dyDescent="0.35">
      <c r="A25" s="2" t="str">
        <f t="shared" si="0"/>
        <v>400-500</v>
      </c>
      <c r="B25" s="53">
        <v>400</v>
      </c>
      <c r="C25" s="53">
        <v>500</v>
      </c>
      <c r="D25" s="63">
        <v>0</v>
      </c>
      <c r="E25" s="61">
        <f t="shared" si="1"/>
        <v>0</v>
      </c>
      <c r="F25" s="87">
        <v>0</v>
      </c>
    </row>
    <row r="26" spans="1:6" x14ac:dyDescent="0.35">
      <c r="A26" s="2" t="str">
        <f t="shared" si="0"/>
        <v>500-20000</v>
      </c>
      <c r="B26" s="53">
        <v>500</v>
      </c>
      <c r="C26" s="53">
        <v>20000</v>
      </c>
      <c r="D26" s="63">
        <v>0</v>
      </c>
      <c r="E26" s="61">
        <f t="shared" si="1"/>
        <v>0</v>
      </c>
      <c r="F26" s="87">
        <v>0</v>
      </c>
    </row>
    <row r="27" spans="1:6" x14ac:dyDescent="0.35">
      <c r="C27" t="s">
        <v>11</v>
      </c>
      <c r="D27" s="64">
        <f>SUM(D3:D26)</f>
        <v>0.99501733999999997</v>
      </c>
      <c r="E27" s="60">
        <f>SUM(E3:E26)</f>
        <v>0.99999999999999989</v>
      </c>
      <c r="F27" s="87">
        <f>SUM(F3:F26)</f>
        <v>34.120454679999995</v>
      </c>
    </row>
    <row r="28" spans="1:6" x14ac:dyDescent="0.35">
      <c r="E28" s="60"/>
    </row>
    <row r="30" spans="1:6" x14ac:dyDescent="0.35">
      <c r="C30" s="1"/>
      <c r="D30" s="40"/>
    </row>
    <row r="31" spans="1:6" x14ac:dyDescent="0.35">
      <c r="C31" s="1"/>
    </row>
    <row r="32" spans="1:6" x14ac:dyDescent="0.35">
      <c r="C32" s="1"/>
    </row>
    <row r="33" spans="1:6" ht="18.5" x14ac:dyDescent="0.45">
      <c r="B33" s="47"/>
      <c r="E33" s="51"/>
      <c r="F33" s="51"/>
    </row>
    <row r="34" spans="1:6" x14ac:dyDescent="0.35">
      <c r="B34" s="1"/>
      <c r="C34" s="58"/>
      <c r="D34" s="9"/>
      <c r="E34" s="1"/>
      <c r="F34" s="1"/>
    </row>
    <row r="35" spans="1:6" x14ac:dyDescent="0.35">
      <c r="E35" s="29"/>
      <c r="F35" s="80"/>
    </row>
    <row r="36" spans="1:6" x14ac:dyDescent="0.35">
      <c r="A36" s="2"/>
      <c r="E36" s="80"/>
      <c r="F36" s="29"/>
    </row>
    <row r="37" spans="1:6" x14ac:dyDescent="0.35">
      <c r="A37" s="2"/>
      <c r="E37" s="80"/>
      <c r="F37" s="29"/>
    </row>
    <row r="38" spans="1:6" x14ac:dyDescent="0.35">
      <c r="A38" s="2"/>
      <c r="E38" s="80"/>
      <c r="F38" s="29"/>
    </row>
    <row r="39" spans="1:6" x14ac:dyDescent="0.35">
      <c r="A39" s="2"/>
      <c r="B39" s="1"/>
      <c r="C39" s="1"/>
      <c r="E39" s="80"/>
      <c r="F39" s="29"/>
    </row>
    <row r="40" spans="1:6" x14ac:dyDescent="0.35">
      <c r="A40" s="2"/>
      <c r="B40" s="1"/>
      <c r="C40" s="1"/>
      <c r="E40" s="80"/>
      <c r="F40" s="29"/>
    </row>
    <row r="41" spans="1:6" x14ac:dyDescent="0.35">
      <c r="A41" s="2"/>
      <c r="E41" s="80"/>
      <c r="F41" s="29"/>
    </row>
    <row r="42" spans="1:6" x14ac:dyDescent="0.35">
      <c r="A42" s="2"/>
      <c r="E42" s="80"/>
      <c r="F42" s="29"/>
    </row>
    <row r="43" spans="1:6" x14ac:dyDescent="0.35">
      <c r="A43" s="2"/>
      <c r="E43" s="80"/>
      <c r="F43" s="29"/>
    </row>
    <row r="44" spans="1:6" x14ac:dyDescent="0.35">
      <c r="A44" s="2"/>
      <c r="E44" s="80"/>
      <c r="F44" s="29"/>
    </row>
    <row r="45" spans="1:6" x14ac:dyDescent="0.35">
      <c r="A45" s="2"/>
      <c r="E45" s="80"/>
      <c r="F45" s="29"/>
    </row>
    <row r="46" spans="1:6" x14ac:dyDescent="0.35">
      <c r="A46" s="2"/>
      <c r="E46" s="80"/>
      <c r="F46" s="29"/>
    </row>
    <row r="47" spans="1:6" x14ac:dyDescent="0.35">
      <c r="A47" s="2"/>
      <c r="E47" s="80"/>
      <c r="F47" s="29"/>
    </row>
    <row r="48" spans="1:6" x14ac:dyDescent="0.35">
      <c r="A48" s="2"/>
      <c r="E48" s="80"/>
      <c r="F48" s="29"/>
    </row>
    <row r="49" spans="1:6" x14ac:dyDescent="0.35">
      <c r="A49" s="2"/>
      <c r="E49" s="80"/>
      <c r="F49" s="29"/>
    </row>
    <row r="50" spans="1:6" x14ac:dyDescent="0.35">
      <c r="A50" s="2"/>
      <c r="D50" s="98"/>
      <c r="E50" s="80"/>
      <c r="F50" s="29"/>
    </row>
    <row r="51" spans="1:6" x14ac:dyDescent="0.35">
      <c r="A51" s="2"/>
      <c r="D51" s="98"/>
      <c r="E51" s="80"/>
      <c r="F51" s="29"/>
    </row>
    <row r="52" spans="1:6" x14ac:dyDescent="0.35">
      <c r="A52" s="2"/>
      <c r="D52" s="98"/>
      <c r="E52" s="80"/>
      <c r="F52" s="29"/>
    </row>
    <row r="53" spans="1:6" x14ac:dyDescent="0.35">
      <c r="A53" s="2"/>
      <c r="D53" s="98"/>
      <c r="E53" s="80"/>
      <c r="F53" s="29"/>
    </row>
    <row r="54" spans="1:6" x14ac:dyDescent="0.35">
      <c r="A54" s="2"/>
      <c r="D54" s="98"/>
      <c r="E54" s="80"/>
      <c r="F54" s="29"/>
    </row>
    <row r="55" spans="1:6" x14ac:dyDescent="0.35">
      <c r="A55" s="2"/>
      <c r="D55" s="98"/>
      <c r="E55" s="80"/>
      <c r="F55" s="100"/>
    </row>
    <row r="56" spans="1:6" x14ac:dyDescent="0.35">
      <c r="A56" s="2"/>
      <c r="D56" s="98"/>
      <c r="E56" s="80"/>
      <c r="F56" s="100"/>
    </row>
    <row r="57" spans="1:6" x14ac:dyDescent="0.35">
      <c r="A57" s="2"/>
      <c r="D57" s="98"/>
      <c r="E57" s="80"/>
      <c r="F57" s="100"/>
    </row>
    <row r="58" spans="1:6" x14ac:dyDescent="0.35">
      <c r="A58" s="2"/>
      <c r="D58" s="98"/>
      <c r="E58" s="80"/>
      <c r="F58" s="29"/>
    </row>
    <row r="59" spans="1:6" x14ac:dyDescent="0.35">
      <c r="D59" s="99"/>
      <c r="E59" s="80"/>
      <c r="F59" s="29"/>
    </row>
    <row r="65" spans="1:6" ht="18.5" x14ac:dyDescent="0.45">
      <c r="B65" s="47"/>
      <c r="E65" s="51"/>
      <c r="F65" s="51"/>
    </row>
    <row r="66" spans="1:6" x14ac:dyDescent="0.35">
      <c r="B66" s="1"/>
      <c r="C66" s="58"/>
      <c r="D66" s="9"/>
      <c r="E66" s="1"/>
      <c r="F66" s="1"/>
    </row>
    <row r="67" spans="1:6" x14ac:dyDescent="0.35">
      <c r="E67" s="29"/>
      <c r="F67" s="80"/>
    </row>
    <row r="68" spans="1:6" x14ac:dyDescent="0.35">
      <c r="A68" s="2"/>
      <c r="E68" s="80"/>
      <c r="F68" s="29"/>
    </row>
    <row r="69" spans="1:6" x14ac:dyDescent="0.35">
      <c r="A69" s="2"/>
      <c r="E69" s="80"/>
      <c r="F69" s="29"/>
    </row>
    <row r="70" spans="1:6" x14ac:dyDescent="0.35">
      <c r="A70" s="2"/>
      <c r="E70" s="80"/>
      <c r="F70" s="29"/>
    </row>
    <row r="71" spans="1:6" x14ac:dyDescent="0.35">
      <c r="A71" s="2"/>
      <c r="B71" s="1"/>
      <c r="C71" s="1"/>
      <c r="E71" s="80"/>
      <c r="F71" s="29"/>
    </row>
    <row r="72" spans="1:6" x14ac:dyDescent="0.35">
      <c r="A72" s="2"/>
      <c r="B72" s="1"/>
      <c r="C72" s="1"/>
      <c r="E72" s="80"/>
      <c r="F72" s="29"/>
    </row>
    <row r="73" spans="1:6" x14ac:dyDescent="0.35">
      <c r="A73" s="2"/>
      <c r="E73" s="80"/>
      <c r="F73" s="29"/>
    </row>
    <row r="74" spans="1:6" x14ac:dyDescent="0.35">
      <c r="A74" s="2"/>
      <c r="E74" s="80"/>
      <c r="F74" s="29"/>
    </row>
    <row r="75" spans="1:6" x14ac:dyDescent="0.35">
      <c r="A75" s="2"/>
      <c r="E75" s="80"/>
      <c r="F75" s="29"/>
    </row>
    <row r="76" spans="1:6" x14ac:dyDescent="0.35">
      <c r="A76" s="2"/>
      <c r="E76" s="80"/>
      <c r="F76" s="29"/>
    </row>
    <row r="77" spans="1:6" x14ac:dyDescent="0.35">
      <c r="A77" s="2"/>
      <c r="E77" s="80"/>
      <c r="F77" s="29"/>
    </row>
    <row r="78" spans="1:6" x14ac:dyDescent="0.35">
      <c r="A78" s="2"/>
      <c r="E78" s="80"/>
      <c r="F78" s="29"/>
    </row>
    <row r="79" spans="1:6" x14ac:dyDescent="0.35">
      <c r="A79" s="2"/>
      <c r="E79" s="80"/>
      <c r="F79" s="29"/>
    </row>
    <row r="80" spans="1:6" x14ac:dyDescent="0.35">
      <c r="A80" s="2"/>
      <c r="E80" s="80"/>
      <c r="F80" s="29"/>
    </row>
    <row r="81" spans="1:6" x14ac:dyDescent="0.35">
      <c r="A81" s="2"/>
      <c r="E81" s="80"/>
      <c r="F81" s="29"/>
    </row>
    <row r="82" spans="1:6" x14ac:dyDescent="0.35">
      <c r="A82" s="2"/>
      <c r="E82" s="80"/>
      <c r="F82" s="29"/>
    </row>
    <row r="83" spans="1:6" x14ac:dyDescent="0.35">
      <c r="A83" s="2"/>
      <c r="E83" s="80"/>
      <c r="F83" s="29"/>
    </row>
    <row r="84" spans="1:6" x14ac:dyDescent="0.35">
      <c r="A84" s="2"/>
      <c r="D84" s="98"/>
      <c r="E84" s="80"/>
      <c r="F84" s="29"/>
    </row>
    <row r="85" spans="1:6" x14ac:dyDescent="0.35">
      <c r="A85" s="2"/>
      <c r="D85" s="98"/>
      <c r="E85" s="80"/>
      <c r="F85" s="29"/>
    </row>
    <row r="86" spans="1:6" x14ac:dyDescent="0.35">
      <c r="A86" s="2"/>
      <c r="D86" s="98"/>
      <c r="E86" s="80"/>
      <c r="F86" s="29"/>
    </row>
    <row r="87" spans="1:6" x14ac:dyDescent="0.35">
      <c r="A87" s="2"/>
      <c r="D87" s="98"/>
      <c r="E87" s="80"/>
      <c r="F87" s="29"/>
    </row>
    <row r="88" spans="1:6" x14ac:dyDescent="0.35">
      <c r="A88" s="2"/>
      <c r="D88" s="98"/>
      <c r="E88" s="80"/>
      <c r="F88" s="29"/>
    </row>
    <row r="89" spans="1:6" x14ac:dyDescent="0.35">
      <c r="A89" s="2"/>
      <c r="D89" s="98"/>
      <c r="E89" s="80"/>
      <c r="F89" s="29"/>
    </row>
    <row r="90" spans="1:6" x14ac:dyDescent="0.35">
      <c r="A90" s="2"/>
      <c r="D90" s="98"/>
      <c r="E90" s="80"/>
      <c r="F90" s="29"/>
    </row>
    <row r="91" spans="1:6" x14ac:dyDescent="0.35">
      <c r="D91" s="99"/>
      <c r="E91" s="80"/>
      <c r="F91" s="29"/>
    </row>
    <row r="92" spans="1:6" x14ac:dyDescent="0.35">
      <c r="E92" s="80"/>
    </row>
    <row r="94" spans="1:6" x14ac:dyDescent="0.35">
      <c r="C94" s="1"/>
      <c r="D94" s="29"/>
    </row>
    <row r="97" spans="1:6" ht="18.5" x14ac:dyDescent="0.45">
      <c r="B97" s="47"/>
      <c r="E97" s="51"/>
      <c r="F97" s="51"/>
    </row>
    <row r="98" spans="1:6" x14ac:dyDescent="0.35">
      <c r="B98" s="1"/>
      <c r="C98" s="58"/>
      <c r="D98" s="9"/>
      <c r="E98" s="1"/>
      <c r="F98" s="1"/>
    </row>
    <row r="99" spans="1:6" x14ac:dyDescent="0.35">
      <c r="E99" s="29"/>
      <c r="F99" s="80"/>
    </row>
    <row r="100" spans="1:6" x14ac:dyDescent="0.35">
      <c r="A100" s="2"/>
      <c r="E100" s="80"/>
      <c r="F100" s="29"/>
    </row>
    <row r="101" spans="1:6" x14ac:dyDescent="0.35">
      <c r="A101" s="2"/>
      <c r="E101" s="80"/>
      <c r="F101" s="29"/>
    </row>
    <row r="102" spans="1:6" x14ac:dyDescent="0.35">
      <c r="A102" s="2"/>
      <c r="E102" s="80"/>
      <c r="F102" s="29"/>
    </row>
    <row r="103" spans="1:6" x14ac:dyDescent="0.35">
      <c r="A103" s="2"/>
      <c r="B103" s="1"/>
      <c r="C103" s="1"/>
      <c r="E103" s="80"/>
      <c r="F103" s="29"/>
    </row>
    <row r="104" spans="1:6" x14ac:dyDescent="0.35">
      <c r="A104" s="2"/>
      <c r="B104" s="1"/>
      <c r="C104" s="1"/>
      <c r="E104" s="80"/>
      <c r="F104" s="29"/>
    </row>
    <row r="105" spans="1:6" x14ac:dyDescent="0.35">
      <c r="A105" s="2"/>
      <c r="E105" s="80"/>
      <c r="F105" s="29"/>
    </row>
    <row r="106" spans="1:6" x14ac:dyDescent="0.35">
      <c r="A106" s="2"/>
      <c r="E106" s="80"/>
      <c r="F106" s="29"/>
    </row>
    <row r="107" spans="1:6" x14ac:dyDescent="0.35">
      <c r="A107" s="2"/>
      <c r="E107" s="80"/>
      <c r="F107" s="29"/>
    </row>
    <row r="108" spans="1:6" x14ac:dyDescent="0.35">
      <c r="A108" s="2"/>
      <c r="E108" s="80"/>
      <c r="F108" s="29"/>
    </row>
    <row r="109" spans="1:6" x14ac:dyDescent="0.35">
      <c r="A109" s="2"/>
      <c r="E109" s="80"/>
      <c r="F109" s="29"/>
    </row>
    <row r="110" spans="1:6" x14ac:dyDescent="0.35">
      <c r="A110" s="2"/>
      <c r="E110" s="80"/>
      <c r="F110" s="29"/>
    </row>
    <row r="111" spans="1:6" x14ac:dyDescent="0.35">
      <c r="A111" s="2"/>
      <c r="E111" s="80"/>
      <c r="F111" s="29"/>
    </row>
    <row r="112" spans="1:6" x14ac:dyDescent="0.35">
      <c r="A112" s="2"/>
      <c r="E112" s="80"/>
      <c r="F112" s="29"/>
    </row>
    <row r="113" spans="1:6" x14ac:dyDescent="0.35">
      <c r="A113" s="2"/>
      <c r="E113" s="80"/>
      <c r="F113" s="29"/>
    </row>
    <row r="114" spans="1:6" x14ac:dyDescent="0.35">
      <c r="A114" s="2"/>
      <c r="E114" s="80"/>
      <c r="F114" s="29"/>
    </row>
    <row r="115" spans="1:6" x14ac:dyDescent="0.35">
      <c r="A115" s="2"/>
      <c r="E115" s="80"/>
      <c r="F115" s="29"/>
    </row>
    <row r="116" spans="1:6" x14ac:dyDescent="0.35">
      <c r="A116" s="2"/>
      <c r="D116" s="98"/>
      <c r="E116" s="80"/>
      <c r="F116" s="29"/>
    </row>
    <row r="117" spans="1:6" x14ac:dyDescent="0.35">
      <c r="A117" s="2"/>
      <c r="D117" s="98"/>
      <c r="E117" s="80"/>
      <c r="F117" s="29"/>
    </row>
    <row r="118" spans="1:6" x14ac:dyDescent="0.35">
      <c r="A118" s="2"/>
      <c r="D118" s="98"/>
      <c r="E118" s="80"/>
      <c r="F118" s="29"/>
    </row>
    <row r="119" spans="1:6" x14ac:dyDescent="0.35">
      <c r="A119" s="2"/>
      <c r="D119" s="98"/>
      <c r="E119" s="80"/>
      <c r="F119" s="29"/>
    </row>
    <row r="120" spans="1:6" x14ac:dyDescent="0.35">
      <c r="A120" s="2"/>
      <c r="D120" s="98"/>
      <c r="E120" s="80"/>
      <c r="F120" s="29"/>
    </row>
    <row r="121" spans="1:6" x14ac:dyDescent="0.35">
      <c r="A121" s="2"/>
      <c r="D121" s="98"/>
      <c r="E121" s="80"/>
      <c r="F121" s="100"/>
    </row>
    <row r="122" spans="1:6" x14ac:dyDescent="0.35">
      <c r="A122" s="2"/>
      <c r="D122" s="98"/>
      <c r="E122" s="80"/>
      <c r="F122" s="29"/>
    </row>
    <row r="123" spans="1:6" x14ac:dyDescent="0.35">
      <c r="D123" s="99"/>
      <c r="E123" s="80"/>
      <c r="F123" s="29"/>
    </row>
    <row r="126" spans="1:6" ht="18.5" x14ac:dyDescent="0.45">
      <c r="B126" s="47"/>
      <c r="E126" s="51"/>
      <c r="F126" s="51"/>
    </row>
    <row r="127" spans="1:6" x14ac:dyDescent="0.35">
      <c r="B127" s="1"/>
      <c r="C127" s="58"/>
      <c r="D127" s="9"/>
      <c r="E127" s="1"/>
      <c r="F127" s="1"/>
    </row>
    <row r="128" spans="1:6" x14ac:dyDescent="0.35">
      <c r="E128" s="29"/>
      <c r="F128" s="80"/>
    </row>
    <row r="129" spans="1:6" x14ac:dyDescent="0.35">
      <c r="A129" s="2"/>
      <c r="E129" s="80"/>
      <c r="F129" s="29"/>
    </row>
    <row r="130" spans="1:6" x14ac:dyDescent="0.35">
      <c r="A130" s="2"/>
      <c r="E130" s="80"/>
      <c r="F130" s="29"/>
    </row>
    <row r="131" spans="1:6" x14ac:dyDescent="0.35">
      <c r="A131" s="2"/>
      <c r="E131" s="80"/>
      <c r="F131" s="29"/>
    </row>
    <row r="132" spans="1:6" x14ac:dyDescent="0.35">
      <c r="A132" s="2"/>
      <c r="B132" s="1"/>
      <c r="C132" s="1"/>
      <c r="E132" s="80"/>
      <c r="F132" s="29"/>
    </row>
    <row r="133" spans="1:6" x14ac:dyDescent="0.35">
      <c r="A133" s="2"/>
      <c r="B133" s="1"/>
      <c r="C133" s="1"/>
      <c r="E133" s="80"/>
      <c r="F133" s="29"/>
    </row>
    <row r="134" spans="1:6" x14ac:dyDescent="0.35">
      <c r="A134" s="2"/>
      <c r="E134" s="80"/>
      <c r="F134" s="29"/>
    </row>
    <row r="135" spans="1:6" x14ac:dyDescent="0.35">
      <c r="A135" s="2"/>
      <c r="E135" s="80"/>
      <c r="F135" s="29"/>
    </row>
    <row r="136" spans="1:6" x14ac:dyDescent="0.35">
      <c r="A136" s="2"/>
      <c r="E136" s="80"/>
      <c r="F136" s="29"/>
    </row>
    <row r="137" spans="1:6" x14ac:dyDescent="0.35">
      <c r="A137" s="2"/>
      <c r="E137" s="80"/>
      <c r="F137" s="29"/>
    </row>
    <row r="138" spans="1:6" x14ac:dyDescent="0.35">
      <c r="A138" s="2"/>
      <c r="E138" s="80"/>
      <c r="F138" s="29"/>
    </row>
    <row r="139" spans="1:6" x14ac:dyDescent="0.35">
      <c r="A139" s="2"/>
      <c r="E139" s="80"/>
      <c r="F139" s="29"/>
    </row>
    <row r="140" spans="1:6" x14ac:dyDescent="0.35">
      <c r="A140" s="2"/>
      <c r="E140" s="80"/>
      <c r="F140" s="29"/>
    </row>
    <row r="141" spans="1:6" x14ac:dyDescent="0.35">
      <c r="A141" s="2"/>
      <c r="E141" s="80"/>
      <c r="F141" s="29"/>
    </row>
    <row r="142" spans="1:6" x14ac:dyDescent="0.35">
      <c r="A142" s="2"/>
      <c r="E142" s="80"/>
      <c r="F142" s="29"/>
    </row>
    <row r="143" spans="1:6" x14ac:dyDescent="0.35">
      <c r="A143" s="2"/>
      <c r="E143" s="80"/>
      <c r="F143" s="29"/>
    </row>
    <row r="144" spans="1:6" x14ac:dyDescent="0.35">
      <c r="A144" s="2"/>
      <c r="E144" s="80"/>
      <c r="F144" s="29"/>
    </row>
    <row r="145" spans="1:6" x14ac:dyDescent="0.35">
      <c r="A145" s="2"/>
      <c r="D145" s="98"/>
      <c r="E145" s="80"/>
      <c r="F145" s="29"/>
    </row>
    <row r="146" spans="1:6" x14ac:dyDescent="0.35">
      <c r="A146" s="2"/>
      <c r="D146" s="98"/>
      <c r="E146" s="80"/>
      <c r="F146" s="29"/>
    </row>
    <row r="147" spans="1:6" x14ac:dyDescent="0.35">
      <c r="A147" s="2"/>
      <c r="D147" s="98"/>
      <c r="E147" s="80"/>
      <c r="F147" s="29"/>
    </row>
    <row r="148" spans="1:6" x14ac:dyDescent="0.35">
      <c r="A148" s="2"/>
      <c r="D148" s="98"/>
      <c r="E148" s="80"/>
      <c r="F148" s="29"/>
    </row>
    <row r="149" spans="1:6" x14ac:dyDescent="0.35">
      <c r="A149" s="2"/>
      <c r="D149" s="98"/>
      <c r="E149" s="80"/>
      <c r="F149" s="29"/>
    </row>
    <row r="150" spans="1:6" x14ac:dyDescent="0.35">
      <c r="A150" s="2"/>
      <c r="D150" s="98"/>
      <c r="E150" s="80"/>
      <c r="F150" s="29"/>
    </row>
    <row r="151" spans="1:6" x14ac:dyDescent="0.35">
      <c r="A151" s="2"/>
      <c r="D151" s="98"/>
      <c r="E151" s="80"/>
      <c r="F151" s="29"/>
    </row>
    <row r="152" spans="1:6" x14ac:dyDescent="0.35">
      <c r="D152" s="99"/>
      <c r="E152" s="80"/>
      <c r="F152" s="29"/>
    </row>
  </sheetData>
  <pageMargins left="0.7" right="0.7" top="0.75" bottom="0.75" header="0.3" footer="0.3"/>
  <pageSetup paperSize="9"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38C9-8D0E-4EFF-BAB5-2E259952DC63}">
  <sheetPr codeName="Sheet1"/>
  <dimension ref="A1:AH48"/>
  <sheetViews>
    <sheetView zoomScale="60" zoomScaleNormal="60" workbookViewId="0">
      <selection activeCell="A2" sqref="A2"/>
    </sheetView>
  </sheetViews>
  <sheetFormatPr defaultRowHeight="14.5" x14ac:dyDescent="0.35"/>
  <cols>
    <col min="1" max="34" width="7.7265625" customWidth="1"/>
  </cols>
  <sheetData>
    <row r="1" spans="1:34" ht="31.5" customHeight="1" x14ac:dyDescent="0.45">
      <c r="A1" s="47" t="s">
        <v>432</v>
      </c>
    </row>
    <row r="3" spans="1:34" ht="19.899999999999999" customHeight="1" x14ac:dyDescent="0.35">
      <c r="A3" s="95">
        <v>1</v>
      </c>
      <c r="B3" s="96"/>
      <c r="C3" s="96"/>
      <c r="D3" s="96"/>
      <c r="E3" s="96"/>
      <c r="F3" s="96"/>
      <c r="G3" s="95"/>
      <c r="H3" s="95"/>
      <c r="I3" s="97"/>
      <c r="J3" s="97"/>
      <c r="K3" s="97"/>
      <c r="L3" s="97"/>
      <c r="M3" s="97"/>
      <c r="N3" s="95"/>
      <c r="O3" s="95"/>
      <c r="P3" s="97"/>
      <c r="Q3" s="97"/>
      <c r="R3" s="97"/>
      <c r="S3" s="97"/>
      <c r="T3" s="97"/>
      <c r="U3" s="95"/>
      <c r="V3" s="95"/>
      <c r="W3" s="97"/>
      <c r="X3" s="97"/>
      <c r="Y3" s="97"/>
      <c r="Z3" s="97"/>
      <c r="AA3" s="97"/>
      <c r="AB3" s="95"/>
      <c r="AC3" s="95">
        <v>5</v>
      </c>
      <c r="AD3" s="96"/>
      <c r="AE3" s="97"/>
      <c r="AF3" s="97"/>
      <c r="AG3" s="97"/>
      <c r="AH3" s="96"/>
    </row>
    <row r="4" spans="1:34" ht="19.899999999999999" customHeight="1" x14ac:dyDescent="0.35">
      <c r="A4" s="95"/>
      <c r="B4" s="97"/>
      <c r="C4" s="97"/>
      <c r="D4" s="97"/>
      <c r="E4" s="97"/>
      <c r="F4" s="97"/>
      <c r="G4" s="95"/>
      <c r="H4" s="95">
        <v>2</v>
      </c>
      <c r="I4" s="96"/>
      <c r="J4" s="96"/>
      <c r="K4" s="96"/>
      <c r="L4" s="96"/>
      <c r="M4" s="96"/>
      <c r="N4" s="95"/>
      <c r="O4" s="95"/>
      <c r="P4" s="97"/>
      <c r="Q4" s="97"/>
      <c r="R4" s="97"/>
      <c r="S4" s="97"/>
      <c r="T4" s="97"/>
      <c r="U4" s="95"/>
      <c r="V4" s="95"/>
      <c r="W4" s="97"/>
      <c r="X4" s="97"/>
      <c r="Y4" s="97"/>
      <c r="Z4" s="97"/>
      <c r="AA4" s="97"/>
      <c r="AB4" s="95"/>
      <c r="AC4" s="95"/>
      <c r="AD4" s="97"/>
      <c r="AE4" s="96"/>
      <c r="AF4" s="97"/>
      <c r="AG4" s="96"/>
      <c r="AH4" s="97"/>
    </row>
    <row r="5" spans="1:34" ht="19.899999999999999" customHeight="1" x14ac:dyDescent="0.35">
      <c r="A5" s="95"/>
      <c r="B5" s="97"/>
      <c r="C5" s="97"/>
      <c r="D5" s="97"/>
      <c r="E5" s="97"/>
      <c r="F5" s="97"/>
      <c r="G5" s="95"/>
      <c r="H5" s="95"/>
      <c r="I5" s="97"/>
      <c r="J5" s="97"/>
      <c r="K5" s="97"/>
      <c r="L5" s="97"/>
      <c r="M5" s="97"/>
      <c r="N5" s="95"/>
      <c r="O5" s="95">
        <v>3</v>
      </c>
      <c r="P5" s="96"/>
      <c r="Q5" s="96"/>
      <c r="R5" s="96"/>
      <c r="S5" s="96"/>
      <c r="T5" s="96"/>
      <c r="U5" s="95"/>
      <c r="V5" s="95"/>
      <c r="W5" s="97"/>
      <c r="X5" s="97"/>
      <c r="Y5" s="97"/>
      <c r="Z5" s="97"/>
      <c r="AA5" s="97"/>
      <c r="AB5" s="95"/>
      <c r="AC5" s="95"/>
      <c r="AD5" s="97"/>
      <c r="AE5" s="97"/>
      <c r="AF5" s="96"/>
      <c r="AG5" s="97"/>
      <c r="AH5" s="97"/>
    </row>
    <row r="6" spans="1:34" ht="19.899999999999999" customHeight="1" x14ac:dyDescent="0.35">
      <c r="A6" s="95"/>
      <c r="B6" s="97"/>
      <c r="C6" s="97"/>
      <c r="D6" s="97"/>
      <c r="E6" s="97"/>
      <c r="F6" s="97"/>
      <c r="G6" s="95"/>
      <c r="H6" s="95"/>
      <c r="I6" s="97"/>
      <c r="J6" s="97"/>
      <c r="K6" s="97"/>
      <c r="L6" s="97"/>
      <c r="M6" s="97"/>
      <c r="N6" s="95"/>
      <c r="O6" s="95"/>
      <c r="P6" s="97"/>
      <c r="Q6" s="97"/>
      <c r="R6" s="97"/>
      <c r="S6" s="97"/>
      <c r="T6" s="97"/>
      <c r="U6" s="95"/>
      <c r="V6" s="95">
        <v>4</v>
      </c>
      <c r="W6" s="96"/>
      <c r="X6" s="96"/>
      <c r="Y6" s="96"/>
      <c r="Z6" s="96"/>
      <c r="AA6" s="96"/>
      <c r="AB6" s="95"/>
      <c r="AC6" s="95"/>
      <c r="AD6" s="97"/>
      <c r="AE6" s="97"/>
      <c r="AF6" s="97"/>
      <c r="AG6" s="97"/>
      <c r="AH6" s="97"/>
    </row>
    <row r="7" spans="1:34" ht="19.899999999999999" customHeight="1" x14ac:dyDescent="0.35">
      <c r="A7" s="95"/>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row>
    <row r="8" spans="1:34" ht="19.899999999999999" customHeight="1" x14ac:dyDescent="0.35">
      <c r="A8" s="95"/>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row>
    <row r="9" spans="1:34" ht="19.899999999999999" customHeight="1" x14ac:dyDescent="0.35">
      <c r="A9" s="95"/>
      <c r="B9" s="97"/>
      <c r="C9" s="97"/>
      <c r="D9" s="97"/>
      <c r="E9" s="97"/>
      <c r="F9" s="97"/>
      <c r="G9" s="95"/>
      <c r="H9" s="95"/>
      <c r="I9" s="97"/>
      <c r="J9" s="97"/>
      <c r="K9" s="96"/>
      <c r="L9" s="97"/>
      <c r="M9" s="97"/>
      <c r="N9" s="95"/>
      <c r="O9" s="95"/>
      <c r="P9" s="97"/>
      <c r="Q9" s="97"/>
      <c r="R9" s="97"/>
      <c r="S9" s="97"/>
      <c r="T9" s="97"/>
      <c r="U9" s="95"/>
      <c r="V9" s="95">
        <v>9</v>
      </c>
      <c r="W9" s="96"/>
      <c r="X9" s="97"/>
      <c r="Y9" s="96"/>
      <c r="Z9" s="97"/>
      <c r="AA9" s="96"/>
      <c r="AB9" s="95"/>
      <c r="AC9" s="95"/>
      <c r="AD9" s="97"/>
      <c r="AE9" s="97"/>
      <c r="AF9" s="97"/>
      <c r="AG9" s="97"/>
      <c r="AH9" s="97"/>
    </row>
    <row r="10" spans="1:34" ht="19.899999999999999" customHeight="1" x14ac:dyDescent="0.35">
      <c r="A10" s="95">
        <v>6</v>
      </c>
      <c r="B10" s="96"/>
      <c r="C10" s="97"/>
      <c r="D10" s="97"/>
      <c r="E10" s="97"/>
      <c r="F10" s="96"/>
      <c r="G10" s="95"/>
      <c r="H10" s="95"/>
      <c r="I10" s="97"/>
      <c r="J10" s="96"/>
      <c r="K10" s="97"/>
      <c r="L10" s="96"/>
      <c r="M10" s="97"/>
      <c r="N10" s="95"/>
      <c r="O10" s="95"/>
      <c r="P10" s="97"/>
      <c r="Q10" s="97"/>
      <c r="R10" s="96"/>
      <c r="S10" s="97"/>
      <c r="T10" s="97"/>
      <c r="U10" s="95"/>
      <c r="V10" s="95"/>
      <c r="W10" s="97"/>
      <c r="X10" s="96"/>
      <c r="Y10" s="97"/>
      <c r="Z10" s="96"/>
      <c r="AA10" s="97"/>
      <c r="AB10" s="95"/>
      <c r="AC10" s="95">
        <v>10</v>
      </c>
      <c r="AD10" s="96"/>
      <c r="AE10" s="97"/>
      <c r="AF10" s="96"/>
      <c r="AG10" s="97"/>
      <c r="AH10" s="96"/>
    </row>
    <row r="11" spans="1:34" ht="19.899999999999999" customHeight="1" x14ac:dyDescent="0.35">
      <c r="A11" s="95"/>
      <c r="B11" s="97"/>
      <c r="C11" s="96"/>
      <c r="D11" s="97"/>
      <c r="E11" s="96"/>
      <c r="F11" s="97"/>
      <c r="G11" s="95"/>
      <c r="H11" s="95">
        <v>7</v>
      </c>
      <c r="I11" s="96"/>
      <c r="J11" s="97"/>
      <c r="K11" s="97"/>
      <c r="L11" s="97"/>
      <c r="M11" s="96"/>
      <c r="N11" s="95"/>
      <c r="O11" s="95"/>
      <c r="P11" s="97"/>
      <c r="Q11" s="96"/>
      <c r="R11" s="97"/>
      <c r="S11" s="96"/>
      <c r="T11" s="97"/>
      <c r="U11" s="95"/>
      <c r="V11" s="95"/>
      <c r="W11" s="97"/>
      <c r="X11" s="97"/>
      <c r="Y11" s="97"/>
      <c r="Z11" s="97"/>
      <c r="AA11" s="97"/>
      <c r="AB11" s="95"/>
      <c r="AC11" s="95"/>
      <c r="AD11" s="97"/>
      <c r="AE11" s="96"/>
      <c r="AF11" s="97"/>
      <c r="AG11" s="96"/>
      <c r="AH11" s="97"/>
    </row>
    <row r="12" spans="1:34" ht="19.899999999999999" customHeight="1" x14ac:dyDescent="0.35">
      <c r="A12" s="95"/>
      <c r="B12" s="97"/>
      <c r="C12" s="97"/>
      <c r="D12" s="96"/>
      <c r="E12" s="97"/>
      <c r="F12" s="97"/>
      <c r="G12" s="95"/>
      <c r="H12" s="95"/>
      <c r="I12" s="97"/>
      <c r="J12" s="97"/>
      <c r="K12" s="97"/>
      <c r="L12" s="97"/>
      <c r="M12" s="97"/>
      <c r="N12" s="95"/>
      <c r="O12" s="95">
        <v>8</v>
      </c>
      <c r="P12" s="96"/>
      <c r="Q12" s="97"/>
      <c r="R12" s="97"/>
      <c r="S12" s="97"/>
      <c r="T12" s="96"/>
      <c r="U12" s="95"/>
      <c r="V12" s="95"/>
      <c r="W12" s="97"/>
      <c r="X12" s="97"/>
      <c r="Y12" s="97"/>
      <c r="Z12" s="97"/>
      <c r="AA12" s="97"/>
      <c r="AB12" s="95"/>
      <c r="AC12" s="95"/>
      <c r="AD12" s="97"/>
      <c r="AE12" s="97"/>
      <c r="AF12" s="97"/>
      <c r="AG12" s="97"/>
      <c r="AH12" s="97"/>
    </row>
    <row r="13" spans="1:34" ht="19.899999999999999" customHeight="1" x14ac:dyDescent="0.35">
      <c r="A13" s="95"/>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row>
    <row r="14" spans="1:34" ht="19.899999999999999" customHeight="1" x14ac:dyDescent="0.35">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row>
    <row r="15" spans="1:34" ht="19.899999999999999" customHeight="1" x14ac:dyDescent="0.35">
      <c r="A15" s="95"/>
      <c r="B15" s="97"/>
      <c r="C15" s="97"/>
      <c r="D15" s="97"/>
      <c r="E15" s="97"/>
      <c r="F15" s="97"/>
      <c r="G15" s="95"/>
      <c r="H15" s="95"/>
      <c r="I15" s="97"/>
      <c r="J15" s="96"/>
      <c r="K15" s="97"/>
      <c r="L15" s="96"/>
      <c r="M15" s="97"/>
      <c r="N15" s="95"/>
      <c r="O15" s="95"/>
      <c r="P15" s="97"/>
      <c r="Q15" s="97"/>
      <c r="R15" s="97"/>
      <c r="S15" s="97"/>
      <c r="T15" s="97"/>
      <c r="U15" s="95"/>
      <c r="V15" s="95"/>
      <c r="W15" s="97"/>
      <c r="X15" s="97"/>
      <c r="Y15" s="97"/>
      <c r="Z15" s="97"/>
      <c r="AA15" s="97"/>
      <c r="AB15" s="95"/>
      <c r="AC15" s="95">
        <v>15</v>
      </c>
      <c r="AD15" s="96"/>
      <c r="AE15" s="97"/>
      <c r="AF15" s="97"/>
      <c r="AG15" s="97"/>
      <c r="AH15" s="96"/>
    </row>
    <row r="16" spans="1:34" ht="19.899999999999999" customHeight="1" x14ac:dyDescent="0.35">
      <c r="A16" s="95"/>
      <c r="B16" s="97"/>
      <c r="C16" s="97"/>
      <c r="D16" s="97"/>
      <c r="E16" s="97"/>
      <c r="F16" s="97"/>
      <c r="G16" s="95"/>
      <c r="H16" s="95">
        <v>12</v>
      </c>
      <c r="I16" s="96"/>
      <c r="J16" s="97"/>
      <c r="K16" s="96"/>
      <c r="L16" s="97"/>
      <c r="M16" s="96"/>
      <c r="N16" s="95"/>
      <c r="O16" s="95"/>
      <c r="P16" s="97"/>
      <c r="Q16" s="96"/>
      <c r="R16" s="97"/>
      <c r="S16" s="96"/>
      <c r="T16" s="97"/>
      <c r="U16" s="95"/>
      <c r="V16" s="95"/>
      <c r="W16" s="97"/>
      <c r="X16" s="97"/>
      <c r="Y16" s="97"/>
      <c r="Z16" s="97"/>
      <c r="AA16" s="97"/>
      <c r="AB16" s="95"/>
      <c r="AC16" s="95"/>
      <c r="AD16" s="97"/>
      <c r="AE16" s="96"/>
      <c r="AF16" s="96"/>
      <c r="AG16" s="96"/>
      <c r="AH16" s="97"/>
    </row>
    <row r="17" spans="1:34" ht="19.899999999999999" customHeight="1" x14ac:dyDescent="0.35">
      <c r="A17" s="95">
        <v>11</v>
      </c>
      <c r="B17" s="96"/>
      <c r="C17" s="97"/>
      <c r="D17" s="96"/>
      <c r="E17" s="97"/>
      <c r="F17" s="96"/>
      <c r="G17" s="95"/>
      <c r="H17" s="95"/>
      <c r="I17" s="97"/>
      <c r="J17" s="97"/>
      <c r="K17" s="97"/>
      <c r="L17" s="97"/>
      <c r="M17" s="97"/>
      <c r="N17" s="95"/>
      <c r="O17" s="95">
        <v>13</v>
      </c>
      <c r="P17" s="96"/>
      <c r="Q17" s="97"/>
      <c r="R17" s="96"/>
      <c r="S17" s="97"/>
      <c r="T17" s="96"/>
      <c r="U17" s="95"/>
      <c r="V17" s="95"/>
      <c r="W17" s="97"/>
      <c r="X17" s="96"/>
      <c r="Y17" s="97"/>
      <c r="Z17" s="96"/>
      <c r="AA17" s="97"/>
      <c r="AB17" s="95"/>
      <c r="AC17" s="95"/>
      <c r="AD17" s="97"/>
      <c r="AE17" s="97"/>
      <c r="AF17" s="97"/>
      <c r="AG17" s="97"/>
      <c r="AH17" s="97"/>
    </row>
    <row r="18" spans="1:34" ht="19.899999999999999" customHeight="1" x14ac:dyDescent="0.35">
      <c r="A18" s="95"/>
      <c r="B18" s="97"/>
      <c r="C18" s="96"/>
      <c r="D18" s="97"/>
      <c r="E18" s="96"/>
      <c r="F18" s="97"/>
      <c r="G18" s="95"/>
      <c r="H18" s="95"/>
      <c r="I18" s="97"/>
      <c r="J18" s="97"/>
      <c r="K18" s="97"/>
      <c r="L18" s="97"/>
      <c r="M18" s="97"/>
      <c r="N18" s="95"/>
      <c r="O18" s="95"/>
      <c r="P18" s="97"/>
      <c r="Q18" s="97"/>
      <c r="R18" s="97"/>
      <c r="S18" s="97"/>
      <c r="T18" s="97"/>
      <c r="U18" s="95"/>
      <c r="V18" s="95">
        <v>14</v>
      </c>
      <c r="W18" s="96"/>
      <c r="X18" s="97"/>
      <c r="Y18" s="96"/>
      <c r="Z18" s="97"/>
      <c r="AA18" s="96"/>
      <c r="AB18" s="95"/>
      <c r="AC18" s="95"/>
      <c r="AD18" s="97"/>
      <c r="AE18" s="97"/>
      <c r="AF18" s="97"/>
      <c r="AG18" s="97"/>
      <c r="AH18" s="97"/>
    </row>
    <row r="19" spans="1:34" ht="19.899999999999999" customHeight="1" x14ac:dyDescent="0.35">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row>
    <row r="20" spans="1:34" ht="19.899999999999999" customHeight="1" x14ac:dyDescent="0.35">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row>
    <row r="21" spans="1:34" ht="19.899999999999999" customHeight="1" x14ac:dyDescent="0.35">
      <c r="A21" s="95"/>
      <c r="B21" s="97"/>
      <c r="C21" s="97"/>
      <c r="D21" s="97"/>
      <c r="E21" s="97"/>
      <c r="F21" s="97"/>
      <c r="G21" s="95"/>
      <c r="H21" s="95"/>
      <c r="I21" s="97"/>
      <c r="J21" s="97"/>
      <c r="K21" s="97"/>
      <c r="L21" s="97"/>
      <c r="M21" s="97"/>
      <c r="N21" s="95"/>
      <c r="O21" s="95"/>
      <c r="P21" s="97"/>
      <c r="Q21" s="96"/>
      <c r="R21" s="96"/>
      <c r="S21" s="96"/>
      <c r="T21" s="97"/>
      <c r="U21" s="95"/>
      <c r="V21" s="95"/>
      <c r="W21" s="97"/>
      <c r="X21" s="97"/>
      <c r="Y21" s="97"/>
      <c r="Z21" s="97"/>
      <c r="AA21" s="97"/>
      <c r="AB21" s="95"/>
      <c r="AC21" s="95"/>
      <c r="AD21" s="97"/>
      <c r="AE21" s="97"/>
      <c r="AF21" s="97"/>
      <c r="AG21" s="97"/>
      <c r="AH21" s="97"/>
    </row>
    <row r="22" spans="1:34" ht="19.899999999999999" customHeight="1" x14ac:dyDescent="0.35">
      <c r="A22" s="95">
        <v>16</v>
      </c>
      <c r="B22" s="96"/>
      <c r="C22" s="97"/>
      <c r="D22" s="97"/>
      <c r="E22" s="97"/>
      <c r="F22" s="96"/>
      <c r="G22" s="95"/>
      <c r="H22" s="95"/>
      <c r="I22" s="97"/>
      <c r="J22" s="97"/>
      <c r="K22" s="97"/>
      <c r="L22" s="97"/>
      <c r="M22" s="97"/>
      <c r="N22" s="95"/>
      <c r="O22" s="95">
        <v>18</v>
      </c>
      <c r="P22" s="96"/>
      <c r="Q22" s="97"/>
      <c r="R22" s="97"/>
      <c r="S22" s="97"/>
      <c r="T22" s="96"/>
      <c r="U22" s="95"/>
      <c r="V22" s="95"/>
      <c r="W22" s="97"/>
      <c r="X22" s="96"/>
      <c r="Y22" s="96"/>
      <c r="Z22" s="96"/>
      <c r="AA22" s="97"/>
      <c r="AB22" s="95"/>
      <c r="AC22" s="95"/>
      <c r="AD22" s="97"/>
      <c r="AE22" s="97"/>
      <c r="AF22" s="97"/>
      <c r="AG22" s="97"/>
      <c r="AH22" s="97"/>
    </row>
    <row r="23" spans="1:34" ht="19.899999999999999" customHeight="1" x14ac:dyDescent="0.35">
      <c r="A23" s="95"/>
      <c r="B23" s="97"/>
      <c r="C23" s="96"/>
      <c r="D23" s="96"/>
      <c r="E23" s="96"/>
      <c r="F23" s="97"/>
      <c r="G23" s="95"/>
      <c r="H23" s="95">
        <v>17</v>
      </c>
      <c r="I23" s="96"/>
      <c r="J23" s="97"/>
      <c r="K23" s="97"/>
      <c r="L23" s="97"/>
      <c r="M23" s="96"/>
      <c r="N23" s="95"/>
      <c r="O23" s="95"/>
      <c r="P23" s="97"/>
      <c r="Q23" s="97"/>
      <c r="R23" s="97"/>
      <c r="S23" s="97"/>
      <c r="T23" s="97"/>
      <c r="U23" s="95"/>
      <c r="V23" s="95">
        <v>19</v>
      </c>
      <c r="W23" s="96"/>
      <c r="X23" s="97"/>
      <c r="Y23" s="97"/>
      <c r="Z23" s="97"/>
      <c r="AA23" s="96"/>
      <c r="AB23" s="95"/>
      <c r="AC23" s="95"/>
      <c r="AD23" s="97"/>
      <c r="AE23" s="96"/>
      <c r="AF23" s="96"/>
      <c r="AG23" s="96"/>
      <c r="AH23" s="97"/>
    </row>
    <row r="24" spans="1:34" ht="19.899999999999999" customHeight="1" x14ac:dyDescent="0.35">
      <c r="A24" s="95"/>
      <c r="B24" s="97"/>
      <c r="C24" s="97"/>
      <c r="D24" s="97"/>
      <c r="E24" s="97"/>
      <c r="F24" s="97"/>
      <c r="G24" s="95"/>
      <c r="H24" s="95"/>
      <c r="I24" s="97"/>
      <c r="J24" s="96"/>
      <c r="K24" s="96"/>
      <c r="L24" s="96"/>
      <c r="M24" s="97"/>
      <c r="N24" s="95"/>
      <c r="O24" s="95"/>
      <c r="P24" s="97"/>
      <c r="Q24" s="97"/>
      <c r="R24" s="97"/>
      <c r="S24" s="97"/>
      <c r="T24" s="97"/>
      <c r="U24" s="95"/>
      <c r="V24" s="95"/>
      <c r="W24" s="97"/>
      <c r="X24" s="97"/>
      <c r="Y24" s="97"/>
      <c r="Z24" s="97"/>
      <c r="AA24" s="97"/>
      <c r="AB24" s="95"/>
      <c r="AC24" s="95">
        <v>20</v>
      </c>
      <c r="AD24" s="96"/>
      <c r="AE24" s="97"/>
      <c r="AF24" s="97"/>
      <c r="AG24" s="97"/>
      <c r="AH24" s="96"/>
    </row>
    <row r="25" spans="1:34" ht="19.899999999999999" customHeight="1" x14ac:dyDescent="0.3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row>
    <row r="26" spans="1:34" ht="19.899999999999999" customHeight="1" x14ac:dyDescent="0.35">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row>
    <row r="27" spans="1:34" ht="19.899999999999999" customHeight="1" x14ac:dyDescent="0.35">
      <c r="A27" s="95">
        <v>21</v>
      </c>
      <c r="B27" s="96"/>
      <c r="C27" s="96"/>
      <c r="D27" s="97"/>
      <c r="E27" s="96"/>
      <c r="F27" s="96"/>
      <c r="G27" s="95"/>
      <c r="H27" s="95"/>
      <c r="I27" s="97"/>
      <c r="J27" s="97"/>
      <c r="K27" s="97"/>
      <c r="L27" s="97"/>
      <c r="M27" s="97"/>
      <c r="N27" s="95"/>
      <c r="O27" s="95"/>
      <c r="P27" s="97"/>
      <c r="Q27" s="97"/>
      <c r="R27" s="97"/>
      <c r="S27" s="97"/>
      <c r="T27" s="97"/>
      <c r="U27" s="95"/>
      <c r="V27" s="95"/>
      <c r="W27" s="97"/>
      <c r="X27" s="97"/>
      <c r="Y27" s="96"/>
      <c r="Z27" s="97"/>
      <c r="AA27" s="97"/>
      <c r="AB27" s="95"/>
      <c r="AC27" s="95"/>
      <c r="AD27" s="97"/>
      <c r="AE27" s="97"/>
      <c r="AF27" s="97"/>
      <c r="AG27" s="97"/>
      <c r="AH27" s="97"/>
    </row>
    <row r="28" spans="1:34" ht="19.899999999999999" customHeight="1" x14ac:dyDescent="0.35">
      <c r="A28" s="95"/>
      <c r="B28" s="97"/>
      <c r="C28" s="97"/>
      <c r="D28" s="96"/>
      <c r="E28" s="97"/>
      <c r="F28" s="97"/>
      <c r="G28" s="95"/>
      <c r="H28" s="95">
        <v>22</v>
      </c>
      <c r="I28" s="96"/>
      <c r="J28" s="96"/>
      <c r="K28" s="97"/>
      <c r="L28" s="96"/>
      <c r="M28" s="96"/>
      <c r="N28" s="95"/>
      <c r="O28" s="95"/>
      <c r="P28" s="97"/>
      <c r="Q28" s="97"/>
      <c r="R28" s="97"/>
      <c r="S28" s="97"/>
      <c r="T28" s="97"/>
      <c r="U28" s="95"/>
      <c r="V28" s="95">
        <v>24</v>
      </c>
      <c r="W28" s="96"/>
      <c r="X28" s="96"/>
      <c r="Y28" s="97"/>
      <c r="Z28" s="96"/>
      <c r="AA28" s="96"/>
      <c r="AB28" s="95"/>
      <c r="AC28" s="95"/>
      <c r="AD28" s="97"/>
      <c r="AE28" s="97"/>
      <c r="AF28" s="96"/>
      <c r="AG28" s="97"/>
      <c r="AH28" s="97"/>
    </row>
    <row r="29" spans="1:34" ht="19.899999999999999" customHeight="1" x14ac:dyDescent="0.35">
      <c r="A29" s="95"/>
      <c r="B29" s="97"/>
      <c r="C29" s="97"/>
      <c r="D29" s="97"/>
      <c r="E29" s="97"/>
      <c r="F29" s="97"/>
      <c r="G29" s="95"/>
      <c r="H29" s="95"/>
      <c r="I29" s="97"/>
      <c r="J29" s="97"/>
      <c r="K29" s="96"/>
      <c r="L29" s="97"/>
      <c r="M29" s="97"/>
      <c r="N29" s="95"/>
      <c r="O29" s="95">
        <v>23</v>
      </c>
      <c r="P29" s="96"/>
      <c r="Q29" s="96"/>
      <c r="R29" s="97"/>
      <c r="S29" s="96"/>
      <c r="T29" s="96"/>
      <c r="U29" s="95"/>
      <c r="V29" s="95"/>
      <c r="W29" s="97"/>
      <c r="X29" s="97"/>
      <c r="Y29" s="97"/>
      <c r="Z29" s="97"/>
      <c r="AA29" s="97"/>
      <c r="AB29" s="95"/>
      <c r="AC29" s="95">
        <v>25</v>
      </c>
      <c r="AD29" s="96"/>
      <c r="AE29" s="96"/>
      <c r="AF29" s="97"/>
      <c r="AG29" s="96"/>
      <c r="AH29" s="96"/>
    </row>
    <row r="30" spans="1:34" ht="19.899999999999999" customHeight="1" x14ac:dyDescent="0.35">
      <c r="A30" s="95"/>
      <c r="B30" s="97"/>
      <c r="C30" s="97"/>
      <c r="D30" s="97"/>
      <c r="E30" s="97"/>
      <c r="F30" s="97"/>
      <c r="G30" s="95"/>
      <c r="H30" s="95"/>
      <c r="I30" s="97"/>
      <c r="J30" s="97"/>
      <c r="K30" s="97"/>
      <c r="L30" s="97"/>
      <c r="M30" s="97"/>
      <c r="N30" s="95"/>
      <c r="O30" s="95"/>
      <c r="P30" s="97"/>
      <c r="Q30" s="97"/>
      <c r="R30" s="96"/>
      <c r="S30" s="97"/>
      <c r="T30" s="97"/>
      <c r="U30" s="95"/>
      <c r="V30" s="95"/>
      <c r="W30" s="97"/>
      <c r="X30" s="97"/>
      <c r="Y30" s="97"/>
      <c r="Z30" s="97"/>
      <c r="AA30" s="97"/>
      <c r="AB30" s="95"/>
      <c r="AC30" s="95"/>
      <c r="AD30" s="97"/>
      <c r="AE30" s="97"/>
      <c r="AF30" s="97"/>
      <c r="AG30" s="97"/>
      <c r="AH30" s="97"/>
    </row>
    <row r="31" spans="1:34" ht="19.899999999999999" customHeight="1" x14ac:dyDescent="0.35">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row>
    <row r="32" spans="1:34" ht="19.899999999999999" customHeight="1" x14ac:dyDescent="0.35">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row>
    <row r="33" spans="1:34" ht="19.899999999999999" customHeight="1" x14ac:dyDescent="0.35">
      <c r="A33" s="95"/>
      <c r="B33" s="97"/>
      <c r="C33" s="97"/>
      <c r="D33" s="97"/>
      <c r="E33" s="97"/>
      <c r="F33" s="97"/>
      <c r="G33" s="95"/>
      <c r="H33" s="95"/>
      <c r="I33" s="96"/>
      <c r="J33" s="96"/>
      <c r="K33" s="97"/>
      <c r="L33" s="97"/>
      <c r="M33" s="97"/>
      <c r="N33" s="95"/>
      <c r="O33" s="95"/>
      <c r="P33" s="11"/>
      <c r="Q33" s="11"/>
      <c r="R33" s="97"/>
      <c r="S33" s="97"/>
      <c r="T33" s="97"/>
      <c r="U33" s="95"/>
      <c r="V33" s="95">
        <v>29</v>
      </c>
      <c r="W33" s="97"/>
      <c r="X33" s="97"/>
      <c r="Y33" s="97"/>
      <c r="Z33" s="96"/>
      <c r="AA33" s="96"/>
      <c r="AB33" s="95"/>
      <c r="AC33" s="95"/>
      <c r="AD33" s="97"/>
      <c r="AE33" s="97"/>
      <c r="AF33" s="97"/>
      <c r="AG33" s="11"/>
      <c r="AH33" s="11"/>
    </row>
    <row r="34" spans="1:34" ht="19.899999999999999" customHeight="1" x14ac:dyDescent="0.35">
      <c r="A34" s="95"/>
      <c r="B34" s="97"/>
      <c r="C34" s="97"/>
      <c r="D34" s="97"/>
      <c r="E34" s="97"/>
      <c r="F34" s="97"/>
      <c r="G34" s="95"/>
      <c r="H34" s="95"/>
      <c r="I34" s="97"/>
      <c r="J34" s="97"/>
      <c r="K34" s="96"/>
      <c r="L34" s="97"/>
      <c r="M34" s="97"/>
      <c r="N34" s="95"/>
      <c r="O34" s="95"/>
      <c r="P34" s="96"/>
      <c r="Q34" s="96"/>
      <c r="R34" s="11"/>
      <c r="S34" s="97"/>
      <c r="T34" s="97"/>
      <c r="U34" s="95"/>
      <c r="V34" s="95"/>
      <c r="W34" s="97"/>
      <c r="X34" s="97"/>
      <c r="Y34" s="96"/>
      <c r="Z34" s="97"/>
      <c r="AA34" s="97"/>
      <c r="AB34" s="95"/>
      <c r="AC34" s="95">
        <v>30</v>
      </c>
      <c r="AD34" s="97"/>
      <c r="AE34" s="97"/>
      <c r="AF34" s="11"/>
      <c r="AG34" s="96"/>
      <c r="AH34" s="96"/>
    </row>
    <row r="35" spans="1:34" ht="19.899999999999999" customHeight="1" x14ac:dyDescent="0.35">
      <c r="A35" s="95"/>
      <c r="B35" s="97"/>
      <c r="C35" s="97"/>
      <c r="D35" s="96"/>
      <c r="E35" s="97"/>
      <c r="F35" s="97"/>
      <c r="G35" s="95"/>
      <c r="H35" s="95">
        <v>27</v>
      </c>
      <c r="I35" s="11"/>
      <c r="J35" s="11"/>
      <c r="K35" s="97"/>
      <c r="L35" s="96"/>
      <c r="M35" s="96"/>
      <c r="N35" s="95"/>
      <c r="O35" s="95"/>
      <c r="P35" s="11"/>
      <c r="Q35" s="11"/>
      <c r="R35" s="96"/>
      <c r="S35" s="11"/>
      <c r="T35" s="11"/>
      <c r="U35" s="95"/>
      <c r="V35" s="95"/>
      <c r="W35" s="96"/>
      <c r="X35" s="96"/>
      <c r="Y35" s="11"/>
      <c r="Z35" s="97"/>
      <c r="AA35" s="97"/>
      <c r="AB35" s="95"/>
      <c r="AC35" s="95"/>
      <c r="AD35" s="11"/>
      <c r="AE35" s="11"/>
      <c r="AF35" s="96"/>
      <c r="AG35" s="11"/>
      <c r="AH35" s="11"/>
    </row>
    <row r="36" spans="1:34" ht="19.899999999999999" customHeight="1" x14ac:dyDescent="0.35">
      <c r="A36" s="95">
        <v>26</v>
      </c>
      <c r="B36" s="96"/>
      <c r="C36" s="96"/>
      <c r="D36" s="97"/>
      <c r="E36" s="96"/>
      <c r="F36" s="96"/>
      <c r="G36" s="95"/>
      <c r="H36" s="95"/>
      <c r="I36" s="97"/>
      <c r="J36" s="97"/>
      <c r="K36" s="11"/>
      <c r="L36" s="97"/>
      <c r="M36" s="97"/>
      <c r="N36" s="95"/>
      <c r="O36" s="95">
        <v>28</v>
      </c>
      <c r="P36" s="97"/>
      <c r="Q36" s="97"/>
      <c r="R36" s="11"/>
      <c r="S36" s="96"/>
      <c r="T36" s="96"/>
      <c r="U36" s="95"/>
      <c r="V36" s="95"/>
      <c r="W36" s="11"/>
      <c r="X36" s="11"/>
      <c r="Y36" s="97"/>
      <c r="Z36" s="11"/>
      <c r="AA36" s="11"/>
      <c r="AB36" s="95"/>
      <c r="AC36" s="95"/>
      <c r="AD36" s="96"/>
      <c r="AE36" s="96"/>
      <c r="AF36" s="97"/>
      <c r="AG36" s="97"/>
      <c r="AH36" s="97"/>
    </row>
    <row r="37" spans="1:34" ht="19.899999999999999" customHeight="1" x14ac:dyDescent="0.35"/>
    <row r="38" spans="1:34" ht="19.899999999999999" customHeight="1" x14ac:dyDescent="0.35"/>
    <row r="39" spans="1:34" ht="19.899999999999999" customHeight="1" x14ac:dyDescent="0.35">
      <c r="A39" s="95"/>
      <c r="B39" s="97"/>
      <c r="C39" s="96"/>
      <c r="D39" s="97"/>
      <c r="E39" s="96"/>
      <c r="F39" s="97"/>
      <c r="G39" s="95"/>
      <c r="H39" s="95"/>
      <c r="I39" s="97"/>
      <c r="J39" s="97"/>
      <c r="K39" s="97"/>
      <c r="L39" s="97"/>
      <c r="M39" s="97"/>
      <c r="N39" s="95"/>
      <c r="O39" s="95"/>
      <c r="P39" s="96"/>
      <c r="Q39" s="97"/>
      <c r="R39" s="96"/>
      <c r="S39" s="97"/>
      <c r="T39" s="96"/>
      <c r="U39" s="95"/>
      <c r="V39" s="95"/>
      <c r="W39" s="11"/>
      <c r="X39" s="97"/>
      <c r="Y39" s="11"/>
      <c r="Z39" s="97"/>
      <c r="AA39" s="11"/>
      <c r="AB39" s="95"/>
      <c r="AC39" s="95"/>
      <c r="AD39" s="96"/>
      <c r="AE39" s="97"/>
      <c r="AF39" s="97"/>
      <c r="AG39" s="97"/>
      <c r="AH39" s="96"/>
    </row>
    <row r="40" spans="1:34" ht="19.899999999999999" customHeight="1" x14ac:dyDescent="0.35">
      <c r="A40" s="95"/>
      <c r="B40" s="97"/>
      <c r="D40" s="97"/>
      <c r="F40" s="97"/>
      <c r="G40" s="95"/>
      <c r="H40" s="95"/>
      <c r="I40" s="97"/>
      <c r="J40" s="96"/>
      <c r="K40" s="97"/>
      <c r="L40" s="96"/>
      <c r="M40" s="97"/>
      <c r="N40" s="95"/>
      <c r="O40" s="95"/>
      <c r="P40" s="97"/>
      <c r="Q40" s="11"/>
      <c r="R40" s="97"/>
      <c r="S40" s="11"/>
      <c r="T40" s="97"/>
      <c r="U40" s="95"/>
      <c r="V40" s="95"/>
      <c r="W40" s="96"/>
      <c r="X40" s="11"/>
      <c r="Y40" s="96"/>
      <c r="Z40" s="11"/>
      <c r="AA40" s="96"/>
      <c r="AB40" s="95"/>
      <c r="AC40" s="95"/>
      <c r="AD40" s="97"/>
      <c r="AE40" s="97"/>
      <c r="AF40" s="97"/>
      <c r="AG40" s="97"/>
      <c r="AH40" s="97"/>
    </row>
    <row r="41" spans="1:34" ht="19.899999999999999" customHeight="1" x14ac:dyDescent="0.35">
      <c r="A41" s="95">
        <v>31</v>
      </c>
      <c r="B41" s="96"/>
      <c r="C41" s="97"/>
      <c r="D41" s="96"/>
      <c r="E41" s="97"/>
      <c r="F41" s="96"/>
      <c r="G41" s="95"/>
      <c r="H41" s="95">
        <v>32</v>
      </c>
      <c r="I41" s="97"/>
      <c r="K41" s="97"/>
      <c r="M41" s="97"/>
      <c r="N41" s="95"/>
      <c r="O41" s="95">
        <v>33</v>
      </c>
      <c r="P41" s="97"/>
      <c r="Q41" s="96"/>
      <c r="R41" s="97"/>
      <c r="S41" s="96"/>
      <c r="T41" s="97"/>
      <c r="U41" s="95"/>
      <c r="V41" s="95">
        <v>34</v>
      </c>
      <c r="W41" s="97"/>
      <c r="X41" s="11"/>
      <c r="Y41" s="97"/>
      <c r="Z41" s="11"/>
      <c r="AA41" s="97"/>
      <c r="AB41" s="95"/>
      <c r="AC41" s="95">
        <v>35</v>
      </c>
      <c r="AD41" s="11"/>
      <c r="AE41" s="96"/>
      <c r="AF41" s="96"/>
      <c r="AG41" s="96"/>
      <c r="AH41" s="11"/>
    </row>
    <row r="42" spans="1:34" ht="19.899999999999999" customHeight="1" x14ac:dyDescent="0.35">
      <c r="A42" s="95"/>
      <c r="B42" s="97"/>
      <c r="C42" s="97"/>
      <c r="D42" s="97"/>
      <c r="E42" s="97"/>
      <c r="F42" s="97"/>
      <c r="G42" s="95"/>
      <c r="H42" s="95"/>
      <c r="I42" s="96"/>
      <c r="J42" s="97"/>
      <c r="K42" s="96"/>
      <c r="L42" s="97"/>
      <c r="M42" s="96"/>
      <c r="N42" s="95"/>
      <c r="O42" s="95"/>
      <c r="P42" s="11"/>
      <c r="Q42" s="97"/>
      <c r="R42" s="11"/>
      <c r="S42" s="97"/>
      <c r="T42" s="11"/>
      <c r="U42" s="95"/>
      <c r="V42" s="95"/>
      <c r="W42" s="11"/>
      <c r="X42" s="96"/>
      <c r="Y42" s="11"/>
      <c r="Z42" s="96"/>
      <c r="AA42" s="11"/>
      <c r="AB42" s="95"/>
      <c r="AC42" s="95"/>
      <c r="AD42" s="97"/>
      <c r="AE42" s="11"/>
      <c r="AF42" s="11"/>
      <c r="AG42" s="11"/>
      <c r="AH42" s="97"/>
    </row>
    <row r="43" spans="1:34" ht="19.899999999999999" customHeight="1" x14ac:dyDescent="0.35">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row>
    <row r="44" spans="1:34" ht="19.899999999999999" customHeight="1" x14ac:dyDescent="0.35">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row>
    <row r="45" spans="1:34" ht="19.899999999999999" customHeight="1" x14ac:dyDescent="0.35">
      <c r="A45" s="95"/>
      <c r="B45" s="97"/>
      <c r="C45" s="97"/>
      <c r="D45" s="97"/>
      <c r="E45" s="97"/>
      <c r="F45" s="97"/>
      <c r="G45" s="95"/>
      <c r="H45" s="95"/>
      <c r="I45" s="97"/>
      <c r="J45" s="97"/>
      <c r="K45" s="97"/>
      <c r="L45" s="97"/>
      <c r="M45" s="97"/>
      <c r="N45" s="95"/>
      <c r="O45" s="95"/>
      <c r="P45" s="97"/>
      <c r="Q45" s="96"/>
      <c r="R45" s="96"/>
      <c r="S45" s="96"/>
      <c r="T45" s="97"/>
      <c r="U45" s="95"/>
      <c r="V45" s="95"/>
      <c r="W45" s="96"/>
      <c r="X45" s="11"/>
      <c r="Y45" s="11"/>
      <c r="Z45" s="11"/>
      <c r="AA45" s="97"/>
      <c r="AB45" s="95"/>
      <c r="AC45" s="95"/>
      <c r="AD45" s="11"/>
      <c r="AE45" s="11"/>
      <c r="AF45" s="11"/>
      <c r="AG45" s="96"/>
      <c r="AH45" s="96"/>
    </row>
    <row r="46" spans="1:34" ht="19.899999999999999" customHeight="1" x14ac:dyDescent="0.35">
      <c r="A46" s="95"/>
      <c r="B46" s="96"/>
      <c r="C46" s="11"/>
      <c r="D46" s="11"/>
      <c r="E46" s="11"/>
      <c r="F46" s="96"/>
      <c r="G46" s="95"/>
      <c r="H46" s="95"/>
      <c r="I46" s="97"/>
      <c r="J46" s="96"/>
      <c r="K46" s="96"/>
      <c r="L46" s="96"/>
      <c r="M46" s="97"/>
      <c r="N46" s="95"/>
      <c r="O46" s="95"/>
      <c r="P46" s="97"/>
      <c r="Q46" s="11"/>
      <c r="R46" s="11"/>
      <c r="S46" s="11"/>
      <c r="T46" s="97"/>
      <c r="U46" s="95"/>
      <c r="V46" s="95"/>
      <c r="W46" s="97"/>
      <c r="X46" s="96"/>
      <c r="Y46" s="11"/>
      <c r="Z46" s="11"/>
      <c r="AA46" s="97"/>
      <c r="AB46" s="95"/>
      <c r="AC46" s="95"/>
      <c r="AD46" s="11"/>
      <c r="AE46" s="97"/>
      <c r="AF46" s="96"/>
      <c r="AG46" s="97"/>
      <c r="AH46" s="11"/>
    </row>
    <row r="47" spans="1:34" ht="19.899999999999999" customHeight="1" x14ac:dyDescent="0.35">
      <c r="A47" s="95">
        <v>36</v>
      </c>
      <c r="B47" s="11"/>
      <c r="C47" s="97"/>
      <c r="D47" s="97"/>
      <c r="E47" s="97"/>
      <c r="F47" s="11"/>
      <c r="G47" s="95"/>
      <c r="H47" s="95">
        <v>37</v>
      </c>
      <c r="I47" s="97"/>
      <c r="J47" s="11"/>
      <c r="K47" s="11"/>
      <c r="L47" s="11"/>
      <c r="M47" s="97"/>
      <c r="N47" s="95"/>
      <c r="O47" s="95">
        <v>38</v>
      </c>
      <c r="P47" s="96"/>
      <c r="Q47" s="11"/>
      <c r="R47" s="11"/>
      <c r="S47" s="11"/>
      <c r="T47" s="96"/>
      <c r="U47" s="95"/>
      <c r="V47" s="95">
        <v>39</v>
      </c>
      <c r="W47" s="97"/>
      <c r="X47" s="11"/>
      <c r="Y47" s="96"/>
      <c r="Z47" s="11"/>
      <c r="AA47" s="97"/>
      <c r="AB47" s="95"/>
      <c r="AC47" s="95">
        <v>40</v>
      </c>
      <c r="AD47" s="97"/>
      <c r="AE47" s="96"/>
      <c r="AF47" s="97"/>
      <c r="AG47" s="97"/>
      <c r="AH47" s="97"/>
    </row>
    <row r="48" spans="1:34" ht="19.899999999999999" customHeight="1" x14ac:dyDescent="0.35">
      <c r="A48" s="95"/>
      <c r="B48" s="97"/>
      <c r="C48" s="96"/>
      <c r="D48" s="96"/>
      <c r="E48" s="96"/>
      <c r="F48" s="97"/>
      <c r="G48" s="95"/>
      <c r="H48" s="95"/>
      <c r="I48" s="96"/>
      <c r="J48" s="97"/>
      <c r="K48" s="97"/>
      <c r="L48" s="97"/>
      <c r="M48" s="96"/>
      <c r="N48" s="95"/>
      <c r="O48" s="95"/>
      <c r="P48" s="11"/>
      <c r="Q48" s="97"/>
      <c r="R48" s="97"/>
      <c r="S48" s="97"/>
      <c r="T48" s="11"/>
      <c r="U48" s="95"/>
      <c r="V48" s="95"/>
      <c r="W48" s="11"/>
      <c r="X48" s="97"/>
      <c r="Y48" s="97"/>
      <c r="Z48" s="96"/>
      <c r="AA48" s="96"/>
      <c r="AB48" s="95"/>
      <c r="AC48" s="95"/>
      <c r="AD48" s="96"/>
      <c r="AE48" s="11"/>
      <c r="AF48" s="11"/>
      <c r="AG48" s="11"/>
      <c r="AH48" s="97"/>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9684-FEE5-48B9-9F4D-A179C851411A}">
  <sheetPr codeName="Sheet19"/>
  <dimension ref="A1:L10001"/>
  <sheetViews>
    <sheetView workbookViewId="0">
      <selection activeCell="F11" sqref="F11"/>
    </sheetView>
  </sheetViews>
  <sheetFormatPr defaultRowHeight="14.5" x14ac:dyDescent="0.35"/>
  <cols>
    <col min="1" max="1" width="29.81640625" customWidth="1"/>
    <col min="2" max="2" width="9.1796875" customWidth="1"/>
    <col min="4" max="4" width="12.54296875" customWidth="1"/>
    <col min="5" max="5" width="12.7265625" bestFit="1" customWidth="1"/>
    <col min="7" max="7" width="14.1796875" customWidth="1"/>
    <col min="10" max="10" width="40.81640625" customWidth="1"/>
    <col min="11" max="11" width="14.81640625" customWidth="1"/>
  </cols>
  <sheetData>
    <row r="1" spans="1:12" x14ac:dyDescent="0.35">
      <c r="A1" s="1" t="s">
        <v>129</v>
      </c>
    </row>
    <row r="2" spans="1:12" ht="18.5" x14ac:dyDescent="0.45">
      <c r="A2">
        <v>50</v>
      </c>
      <c r="B2">
        <v>1</v>
      </c>
      <c r="D2" s="47" t="s">
        <v>130</v>
      </c>
      <c r="E2" s="182">
        <v>10000</v>
      </c>
      <c r="F2" t="s">
        <v>131</v>
      </c>
    </row>
    <row r="3" spans="1:12" x14ac:dyDescent="0.35">
      <c r="A3">
        <v>51</v>
      </c>
      <c r="B3">
        <v>1</v>
      </c>
      <c r="D3" s="1" t="s">
        <v>132</v>
      </c>
    </row>
    <row r="4" spans="1:12" x14ac:dyDescent="0.35">
      <c r="A4">
        <v>51</v>
      </c>
      <c r="B4">
        <v>1</v>
      </c>
      <c r="D4" t="s">
        <v>133</v>
      </c>
      <c r="E4" t="s">
        <v>134</v>
      </c>
      <c r="F4" t="s">
        <v>135</v>
      </c>
      <c r="G4" t="s">
        <v>136</v>
      </c>
    </row>
    <row r="5" spans="1:12" x14ac:dyDescent="0.35">
      <c r="A5">
        <v>52</v>
      </c>
      <c r="B5">
        <v>1</v>
      </c>
      <c r="D5" s="139">
        <v>50</v>
      </c>
      <c r="E5" s="139">
        <v>100</v>
      </c>
      <c r="F5" s="139">
        <f>SUMIFS(B:B,A:A, "&gt;="&amp;D5,  A:A,  "&lt;="&amp;E5 )</f>
        <v>2157</v>
      </c>
      <c r="G5" s="183">
        <f t="shared" ref="G5:G32" si="0">F5/F$33</f>
        <v>0.2157</v>
      </c>
    </row>
    <row r="6" spans="1:12" x14ac:dyDescent="0.35">
      <c r="A6">
        <v>52</v>
      </c>
      <c r="B6">
        <v>1</v>
      </c>
      <c r="D6" s="184">
        <v>100</v>
      </c>
      <c r="E6" s="184">
        <v>200</v>
      </c>
      <c r="F6" s="139">
        <f>SUMIFS(B:B,A:A, "&gt;"&amp;D6,  A:A,  "&lt;="&amp;E6 )</f>
        <v>2759</v>
      </c>
      <c r="G6" s="183">
        <f t="shared" si="0"/>
        <v>0.27589999999999998</v>
      </c>
    </row>
    <row r="7" spans="1:12" ht="21" x14ac:dyDescent="0.5">
      <c r="A7">
        <v>52</v>
      </c>
      <c r="B7">
        <v>1</v>
      </c>
      <c r="D7" s="184">
        <f t="shared" ref="D7:D12" si="1">E6</f>
        <v>200</v>
      </c>
      <c r="E7" s="184">
        <v>300</v>
      </c>
      <c r="F7" s="139">
        <f t="shared" ref="F7:F31" si="2">SUMIFS(B:B,A:A, "&gt;"&amp;D7,  A:A,  "&lt;="&amp;E7 )</f>
        <v>1179</v>
      </c>
      <c r="G7" s="183">
        <f t="shared" si="0"/>
        <v>0.1179</v>
      </c>
      <c r="J7" s="185" t="s">
        <v>140</v>
      </c>
      <c r="K7" s="186">
        <f>SUM(A2002:A8001)/(E2 * 0.6)</f>
        <v>267.76650000000001</v>
      </c>
      <c r="L7" t="s">
        <v>124</v>
      </c>
    </row>
    <row r="8" spans="1:12" ht="21" x14ac:dyDescent="0.5">
      <c r="A8">
        <v>52</v>
      </c>
      <c r="B8">
        <v>1</v>
      </c>
      <c r="D8" s="184">
        <f t="shared" si="1"/>
        <v>300</v>
      </c>
      <c r="E8" s="184">
        <v>400</v>
      </c>
      <c r="F8" s="139">
        <f t="shared" si="2"/>
        <v>691</v>
      </c>
      <c r="G8" s="183">
        <f t="shared" si="0"/>
        <v>6.9099999999999995E-2</v>
      </c>
      <c r="J8" s="185" t="s">
        <v>137</v>
      </c>
      <c r="K8" s="187">
        <f>MEDIAN(A:A)</f>
        <v>205</v>
      </c>
      <c r="L8" t="s">
        <v>124</v>
      </c>
    </row>
    <row r="9" spans="1:12" ht="21" x14ac:dyDescent="0.5">
      <c r="A9">
        <v>52</v>
      </c>
      <c r="B9">
        <v>1</v>
      </c>
      <c r="D9" s="184">
        <f t="shared" si="1"/>
        <v>400</v>
      </c>
      <c r="E9" s="184">
        <v>500</v>
      </c>
      <c r="F9" s="139">
        <f t="shared" si="2"/>
        <v>485</v>
      </c>
      <c r="G9" s="183">
        <f t="shared" si="0"/>
        <v>4.8500000000000001E-2</v>
      </c>
      <c r="J9" s="185" t="s">
        <v>139</v>
      </c>
      <c r="K9" s="187">
        <f>MODE(A2:A10001)</f>
        <v>75</v>
      </c>
      <c r="L9" t="s">
        <v>124</v>
      </c>
    </row>
    <row r="10" spans="1:12" x14ac:dyDescent="0.35">
      <c r="A10">
        <v>53</v>
      </c>
      <c r="B10">
        <v>1</v>
      </c>
      <c r="D10" s="184">
        <f t="shared" si="1"/>
        <v>500</v>
      </c>
      <c r="E10" s="184">
        <v>600</v>
      </c>
      <c r="F10" s="139">
        <f t="shared" si="2"/>
        <v>331</v>
      </c>
      <c r="G10" s="183">
        <f t="shared" si="0"/>
        <v>3.3099999999999997E-2</v>
      </c>
    </row>
    <row r="11" spans="1:12" x14ac:dyDescent="0.35">
      <c r="A11">
        <v>53</v>
      </c>
      <c r="B11">
        <v>1</v>
      </c>
      <c r="D11" s="184">
        <f t="shared" si="1"/>
        <v>600</v>
      </c>
      <c r="E11" s="184">
        <v>700</v>
      </c>
      <c r="F11" s="139">
        <f t="shared" si="2"/>
        <v>250</v>
      </c>
      <c r="G11" s="183">
        <f t="shared" si="0"/>
        <v>2.5000000000000001E-2</v>
      </c>
    </row>
    <row r="12" spans="1:12" ht="15.5" x14ac:dyDescent="0.35">
      <c r="A12">
        <v>53</v>
      </c>
      <c r="B12">
        <v>1</v>
      </c>
      <c r="D12" s="184">
        <f t="shared" si="1"/>
        <v>700</v>
      </c>
      <c r="E12" s="184">
        <v>800</v>
      </c>
      <c r="F12" s="139">
        <f t="shared" si="2"/>
        <v>214</v>
      </c>
      <c r="G12" s="183">
        <f t="shared" si="0"/>
        <v>2.1399999999999999E-2</v>
      </c>
      <c r="J12" s="188"/>
    </row>
    <row r="13" spans="1:12" x14ac:dyDescent="0.35">
      <c r="A13">
        <v>53</v>
      </c>
      <c r="B13">
        <v>1</v>
      </c>
      <c r="D13" s="184">
        <f>E12</f>
        <v>800</v>
      </c>
      <c r="E13" s="184">
        <v>900</v>
      </c>
      <c r="F13" s="139">
        <f t="shared" si="2"/>
        <v>165</v>
      </c>
      <c r="G13" s="183">
        <f t="shared" si="0"/>
        <v>1.6500000000000001E-2</v>
      </c>
    </row>
    <row r="14" spans="1:12" ht="18.5" x14ac:dyDescent="0.45">
      <c r="A14">
        <v>53</v>
      </c>
      <c r="B14">
        <v>1</v>
      </c>
      <c r="D14" s="184">
        <f t="shared" ref="D14:D31" si="3">E13</f>
        <v>900</v>
      </c>
      <c r="E14" s="184">
        <v>1000</v>
      </c>
      <c r="F14" s="139">
        <f t="shared" si="2"/>
        <v>139</v>
      </c>
      <c r="G14" s="183">
        <f t="shared" si="0"/>
        <v>1.3899999999999999E-2</v>
      </c>
      <c r="K14" s="189"/>
    </row>
    <row r="15" spans="1:12" x14ac:dyDescent="0.35">
      <c r="A15">
        <v>53</v>
      </c>
      <c r="B15">
        <v>1</v>
      </c>
      <c r="D15" s="184">
        <f t="shared" si="3"/>
        <v>1000</v>
      </c>
      <c r="E15" s="184">
        <v>1200</v>
      </c>
      <c r="F15" s="139">
        <f t="shared" si="2"/>
        <v>219</v>
      </c>
      <c r="G15" s="183">
        <f t="shared" si="0"/>
        <v>2.1899999999999999E-2</v>
      </c>
    </row>
    <row r="16" spans="1:12" x14ac:dyDescent="0.35">
      <c r="A16">
        <v>53</v>
      </c>
      <c r="B16">
        <v>1</v>
      </c>
      <c r="D16" s="184">
        <f t="shared" si="3"/>
        <v>1200</v>
      </c>
      <c r="E16" s="184">
        <v>1500</v>
      </c>
      <c r="F16" s="139">
        <f t="shared" si="2"/>
        <v>244</v>
      </c>
      <c r="G16" s="183">
        <f t="shared" si="0"/>
        <v>2.4400000000000002E-2</v>
      </c>
    </row>
    <row r="17" spans="1:7" x14ac:dyDescent="0.35">
      <c r="A17">
        <v>53</v>
      </c>
      <c r="B17">
        <v>1</v>
      </c>
      <c r="D17" s="184">
        <f t="shared" si="3"/>
        <v>1500</v>
      </c>
      <c r="E17" s="184">
        <v>2000</v>
      </c>
      <c r="F17" s="139">
        <f t="shared" si="2"/>
        <v>246</v>
      </c>
      <c r="G17" s="183">
        <f t="shared" si="0"/>
        <v>2.46E-2</v>
      </c>
    </row>
    <row r="18" spans="1:7" x14ac:dyDescent="0.35">
      <c r="A18">
        <v>53</v>
      </c>
      <c r="B18">
        <v>1</v>
      </c>
      <c r="D18" s="184">
        <f t="shared" si="3"/>
        <v>2000</v>
      </c>
      <c r="E18" s="184">
        <v>2500</v>
      </c>
      <c r="F18" s="139">
        <f t="shared" si="2"/>
        <v>151</v>
      </c>
      <c r="G18" s="183">
        <f t="shared" si="0"/>
        <v>1.5100000000000001E-2</v>
      </c>
    </row>
    <row r="19" spans="1:7" x14ac:dyDescent="0.35">
      <c r="A19">
        <v>53</v>
      </c>
      <c r="B19">
        <v>1</v>
      </c>
      <c r="D19" s="184">
        <f t="shared" si="3"/>
        <v>2500</v>
      </c>
      <c r="E19" s="184">
        <v>3000</v>
      </c>
      <c r="F19" s="139">
        <f t="shared" si="2"/>
        <v>138</v>
      </c>
      <c r="G19" s="183">
        <f t="shared" si="0"/>
        <v>1.38E-2</v>
      </c>
    </row>
    <row r="20" spans="1:7" x14ac:dyDescent="0.35">
      <c r="A20">
        <v>54</v>
      </c>
      <c r="B20">
        <v>1</v>
      </c>
      <c r="D20" s="184">
        <f t="shared" si="3"/>
        <v>3000</v>
      </c>
      <c r="E20" s="184">
        <v>4000</v>
      </c>
      <c r="F20" s="139">
        <f t="shared" si="2"/>
        <v>163</v>
      </c>
      <c r="G20" s="183">
        <f t="shared" si="0"/>
        <v>1.6299999999999999E-2</v>
      </c>
    </row>
    <row r="21" spans="1:7" x14ac:dyDescent="0.35">
      <c r="A21">
        <v>54</v>
      </c>
      <c r="B21">
        <v>1</v>
      </c>
      <c r="D21" s="184">
        <f t="shared" si="3"/>
        <v>4000</v>
      </c>
      <c r="E21" s="184">
        <v>5000</v>
      </c>
      <c r="F21" s="139">
        <f t="shared" si="2"/>
        <v>96</v>
      </c>
      <c r="G21" s="183">
        <f t="shared" si="0"/>
        <v>9.5999999999999992E-3</v>
      </c>
    </row>
    <row r="22" spans="1:7" x14ac:dyDescent="0.35">
      <c r="A22">
        <v>54</v>
      </c>
      <c r="B22">
        <v>1</v>
      </c>
      <c r="D22" s="184">
        <f t="shared" si="3"/>
        <v>5000</v>
      </c>
      <c r="E22" s="184">
        <v>6000</v>
      </c>
      <c r="F22" s="139">
        <f t="shared" si="2"/>
        <v>81</v>
      </c>
      <c r="G22" s="183">
        <f t="shared" si="0"/>
        <v>8.0999999999999996E-3</v>
      </c>
    </row>
    <row r="23" spans="1:7" x14ac:dyDescent="0.35">
      <c r="A23">
        <v>54</v>
      </c>
      <c r="B23">
        <v>1</v>
      </c>
      <c r="D23" s="184">
        <f t="shared" si="3"/>
        <v>6000</v>
      </c>
      <c r="E23" s="184">
        <v>7000</v>
      </c>
      <c r="F23" s="139">
        <f t="shared" si="2"/>
        <v>62</v>
      </c>
      <c r="G23" s="183">
        <f t="shared" si="0"/>
        <v>6.1999999999999998E-3</v>
      </c>
    </row>
    <row r="24" spans="1:7" x14ac:dyDescent="0.35">
      <c r="A24">
        <v>54</v>
      </c>
      <c r="B24">
        <v>1</v>
      </c>
      <c r="D24" s="184">
        <f t="shared" si="3"/>
        <v>7000</v>
      </c>
      <c r="E24" s="184">
        <v>8000</v>
      </c>
      <c r="F24" s="139">
        <f t="shared" si="2"/>
        <v>44</v>
      </c>
      <c r="G24" s="183">
        <f t="shared" si="0"/>
        <v>4.4000000000000003E-3</v>
      </c>
    </row>
    <row r="25" spans="1:7" x14ac:dyDescent="0.35">
      <c r="A25">
        <v>54</v>
      </c>
      <c r="B25">
        <v>1</v>
      </c>
      <c r="D25" s="184">
        <f t="shared" si="3"/>
        <v>8000</v>
      </c>
      <c r="E25" s="184">
        <v>9000</v>
      </c>
      <c r="F25" s="139">
        <f t="shared" si="2"/>
        <v>28</v>
      </c>
      <c r="G25" s="183">
        <f t="shared" si="0"/>
        <v>2.8E-3</v>
      </c>
    </row>
    <row r="26" spans="1:7" x14ac:dyDescent="0.35">
      <c r="A26">
        <v>54</v>
      </c>
      <c r="B26">
        <v>1</v>
      </c>
      <c r="D26" s="184">
        <f t="shared" si="3"/>
        <v>9000</v>
      </c>
      <c r="E26" s="184">
        <v>10000</v>
      </c>
      <c r="F26" s="139">
        <f t="shared" si="2"/>
        <v>27</v>
      </c>
      <c r="G26" s="183">
        <f t="shared" si="0"/>
        <v>2.7000000000000001E-3</v>
      </c>
    </row>
    <row r="27" spans="1:7" x14ac:dyDescent="0.35">
      <c r="A27">
        <v>54</v>
      </c>
      <c r="B27">
        <v>1</v>
      </c>
      <c r="D27" s="184">
        <f t="shared" si="3"/>
        <v>10000</v>
      </c>
      <c r="E27" s="184">
        <v>15000</v>
      </c>
      <c r="F27" s="139">
        <f t="shared" si="2"/>
        <v>68</v>
      </c>
      <c r="G27" s="183">
        <f t="shared" si="0"/>
        <v>6.7999999999999996E-3</v>
      </c>
    </row>
    <row r="28" spans="1:7" x14ac:dyDescent="0.35">
      <c r="A28">
        <v>54</v>
      </c>
      <c r="B28">
        <v>1</v>
      </c>
      <c r="D28" s="184">
        <f t="shared" si="3"/>
        <v>15000</v>
      </c>
      <c r="E28" s="184">
        <v>20000</v>
      </c>
      <c r="F28" s="139">
        <f t="shared" si="2"/>
        <v>30</v>
      </c>
      <c r="G28" s="183">
        <f t="shared" si="0"/>
        <v>3.0000000000000001E-3</v>
      </c>
    </row>
    <row r="29" spans="1:7" x14ac:dyDescent="0.35">
      <c r="A29">
        <v>54</v>
      </c>
      <c r="B29">
        <v>1</v>
      </c>
      <c r="D29" s="184">
        <f t="shared" si="3"/>
        <v>20000</v>
      </c>
      <c r="E29" s="184">
        <v>30000</v>
      </c>
      <c r="F29" s="139">
        <f t="shared" si="2"/>
        <v>20</v>
      </c>
      <c r="G29" s="183">
        <f t="shared" si="0"/>
        <v>2E-3</v>
      </c>
    </row>
    <row r="30" spans="1:7" x14ac:dyDescent="0.35">
      <c r="A30">
        <v>54</v>
      </c>
      <c r="B30">
        <v>1</v>
      </c>
      <c r="D30" s="184">
        <f t="shared" si="3"/>
        <v>30000</v>
      </c>
      <c r="E30" s="184">
        <v>40000</v>
      </c>
      <c r="F30" s="139">
        <f t="shared" si="2"/>
        <v>9</v>
      </c>
      <c r="G30" s="183">
        <f t="shared" si="0"/>
        <v>8.9999999999999998E-4</v>
      </c>
    </row>
    <row r="31" spans="1:7" x14ac:dyDescent="0.35">
      <c r="A31">
        <v>54</v>
      </c>
      <c r="B31">
        <v>1</v>
      </c>
      <c r="D31" s="184">
        <f t="shared" si="3"/>
        <v>40000</v>
      </c>
      <c r="E31" s="184">
        <v>50000</v>
      </c>
      <c r="F31" s="139">
        <f t="shared" si="2"/>
        <v>2</v>
      </c>
      <c r="G31" s="183">
        <f t="shared" si="0"/>
        <v>2.0000000000000001E-4</v>
      </c>
    </row>
    <row r="32" spans="1:7" x14ac:dyDescent="0.35">
      <c r="A32">
        <v>55</v>
      </c>
      <c r="B32">
        <v>1</v>
      </c>
      <c r="D32" s="184">
        <v>50000</v>
      </c>
      <c r="E32" s="184" t="s">
        <v>138</v>
      </c>
      <c r="F32" s="139">
        <f>SUMIFS(B:B,A:A, "&gt;"&amp;D32 )</f>
        <v>2</v>
      </c>
      <c r="G32" s="183">
        <f t="shared" si="0"/>
        <v>2.0000000000000001E-4</v>
      </c>
    </row>
    <row r="33" spans="1:7" x14ac:dyDescent="0.35">
      <c r="A33">
        <v>55</v>
      </c>
      <c r="B33">
        <v>1</v>
      </c>
      <c r="F33">
        <f>SUM(F5:F32)</f>
        <v>10000</v>
      </c>
      <c r="G33" s="190">
        <f>SUM(G5:G32)</f>
        <v>0.99999999999999989</v>
      </c>
    </row>
    <row r="34" spans="1:7" x14ac:dyDescent="0.35">
      <c r="A34">
        <v>55</v>
      </c>
      <c r="B34">
        <v>1</v>
      </c>
    </row>
    <row r="35" spans="1:7" x14ac:dyDescent="0.35">
      <c r="A35">
        <v>55</v>
      </c>
      <c r="B35">
        <v>1</v>
      </c>
    </row>
    <row r="36" spans="1:7" x14ac:dyDescent="0.35">
      <c r="A36">
        <v>55</v>
      </c>
      <c r="B36">
        <v>1</v>
      </c>
    </row>
    <row r="37" spans="1:7" x14ac:dyDescent="0.35">
      <c r="A37">
        <v>55</v>
      </c>
      <c r="B37">
        <v>1</v>
      </c>
    </row>
    <row r="38" spans="1:7" x14ac:dyDescent="0.35">
      <c r="A38">
        <v>55</v>
      </c>
      <c r="B38">
        <v>1</v>
      </c>
    </row>
    <row r="39" spans="1:7" x14ac:dyDescent="0.35">
      <c r="A39">
        <v>55</v>
      </c>
      <c r="B39">
        <v>1</v>
      </c>
    </row>
    <row r="40" spans="1:7" x14ac:dyDescent="0.35">
      <c r="A40">
        <v>55</v>
      </c>
      <c r="B40">
        <v>1</v>
      </c>
    </row>
    <row r="41" spans="1:7" x14ac:dyDescent="0.35">
      <c r="A41">
        <v>55</v>
      </c>
      <c r="B41">
        <v>1</v>
      </c>
    </row>
    <row r="42" spans="1:7" x14ac:dyDescent="0.35">
      <c r="A42">
        <v>55</v>
      </c>
      <c r="B42">
        <v>1</v>
      </c>
    </row>
    <row r="43" spans="1:7" x14ac:dyDescent="0.35">
      <c r="A43">
        <v>55</v>
      </c>
      <c r="B43">
        <v>1</v>
      </c>
    </row>
    <row r="44" spans="1:7" x14ac:dyDescent="0.35">
      <c r="A44">
        <v>55</v>
      </c>
      <c r="B44">
        <v>1</v>
      </c>
    </row>
    <row r="45" spans="1:7" x14ac:dyDescent="0.35">
      <c r="A45">
        <v>55</v>
      </c>
      <c r="B45">
        <v>1</v>
      </c>
    </row>
    <row r="46" spans="1:7" x14ac:dyDescent="0.35">
      <c r="A46">
        <v>55</v>
      </c>
      <c r="B46">
        <v>1</v>
      </c>
    </row>
    <row r="47" spans="1:7" x14ac:dyDescent="0.35">
      <c r="A47">
        <v>55</v>
      </c>
      <c r="B47">
        <v>1</v>
      </c>
    </row>
    <row r="48" spans="1:7" x14ac:dyDescent="0.35">
      <c r="A48">
        <v>55</v>
      </c>
      <c r="B48">
        <v>1</v>
      </c>
    </row>
    <row r="49" spans="1:2" x14ac:dyDescent="0.35">
      <c r="A49">
        <v>55</v>
      </c>
      <c r="B49">
        <v>1</v>
      </c>
    </row>
    <row r="50" spans="1:2" x14ac:dyDescent="0.35">
      <c r="A50">
        <v>55</v>
      </c>
      <c r="B50">
        <v>1</v>
      </c>
    </row>
    <row r="51" spans="1:2" x14ac:dyDescent="0.35">
      <c r="A51">
        <v>55</v>
      </c>
      <c r="B51">
        <v>1</v>
      </c>
    </row>
    <row r="52" spans="1:2" x14ac:dyDescent="0.35">
      <c r="A52">
        <v>55</v>
      </c>
      <c r="B52">
        <v>1</v>
      </c>
    </row>
    <row r="53" spans="1:2" x14ac:dyDescent="0.35">
      <c r="A53">
        <v>56</v>
      </c>
      <c r="B53">
        <v>1</v>
      </c>
    </row>
    <row r="54" spans="1:2" x14ac:dyDescent="0.35">
      <c r="A54">
        <v>56</v>
      </c>
      <c r="B54">
        <v>1</v>
      </c>
    </row>
    <row r="55" spans="1:2" x14ac:dyDescent="0.35">
      <c r="A55">
        <v>56</v>
      </c>
      <c r="B55">
        <v>1</v>
      </c>
    </row>
    <row r="56" spans="1:2" x14ac:dyDescent="0.35">
      <c r="A56">
        <v>56</v>
      </c>
      <c r="B56">
        <v>1</v>
      </c>
    </row>
    <row r="57" spans="1:2" x14ac:dyDescent="0.35">
      <c r="A57">
        <v>56</v>
      </c>
      <c r="B57">
        <v>1</v>
      </c>
    </row>
    <row r="58" spans="1:2" x14ac:dyDescent="0.35">
      <c r="A58">
        <v>56</v>
      </c>
      <c r="B58">
        <v>1</v>
      </c>
    </row>
    <row r="59" spans="1:2" x14ac:dyDescent="0.35">
      <c r="A59">
        <v>56</v>
      </c>
      <c r="B59">
        <v>1</v>
      </c>
    </row>
    <row r="60" spans="1:2" x14ac:dyDescent="0.35">
      <c r="A60">
        <v>56</v>
      </c>
      <c r="B60">
        <v>1</v>
      </c>
    </row>
    <row r="61" spans="1:2" x14ac:dyDescent="0.35">
      <c r="A61">
        <v>56</v>
      </c>
      <c r="B61">
        <v>1</v>
      </c>
    </row>
    <row r="62" spans="1:2" x14ac:dyDescent="0.35">
      <c r="A62">
        <v>56</v>
      </c>
      <c r="B62">
        <v>1</v>
      </c>
    </row>
    <row r="63" spans="1:2" x14ac:dyDescent="0.35">
      <c r="A63">
        <v>56</v>
      </c>
      <c r="B63">
        <v>1</v>
      </c>
    </row>
    <row r="64" spans="1:2" x14ac:dyDescent="0.35">
      <c r="A64">
        <v>56</v>
      </c>
      <c r="B64">
        <v>1</v>
      </c>
    </row>
    <row r="65" spans="1:2" x14ac:dyDescent="0.35">
      <c r="A65">
        <v>56</v>
      </c>
      <c r="B65">
        <v>1</v>
      </c>
    </row>
    <row r="66" spans="1:2" x14ac:dyDescent="0.35">
      <c r="A66">
        <v>56</v>
      </c>
      <c r="B66">
        <v>1</v>
      </c>
    </row>
    <row r="67" spans="1:2" x14ac:dyDescent="0.35">
      <c r="A67">
        <v>56</v>
      </c>
      <c r="B67">
        <v>1</v>
      </c>
    </row>
    <row r="68" spans="1:2" x14ac:dyDescent="0.35">
      <c r="A68">
        <v>56</v>
      </c>
      <c r="B68">
        <v>1</v>
      </c>
    </row>
    <row r="69" spans="1:2" x14ac:dyDescent="0.35">
      <c r="A69">
        <v>56</v>
      </c>
      <c r="B69">
        <v>1</v>
      </c>
    </row>
    <row r="70" spans="1:2" x14ac:dyDescent="0.35">
      <c r="A70">
        <v>56</v>
      </c>
      <c r="B70">
        <v>1</v>
      </c>
    </row>
    <row r="71" spans="1:2" x14ac:dyDescent="0.35">
      <c r="A71">
        <v>56</v>
      </c>
      <c r="B71">
        <v>1</v>
      </c>
    </row>
    <row r="72" spans="1:2" x14ac:dyDescent="0.35">
      <c r="A72">
        <v>56</v>
      </c>
      <c r="B72">
        <v>1</v>
      </c>
    </row>
    <row r="73" spans="1:2" x14ac:dyDescent="0.35">
      <c r="A73">
        <v>56</v>
      </c>
      <c r="B73">
        <v>1</v>
      </c>
    </row>
    <row r="74" spans="1:2" x14ac:dyDescent="0.35">
      <c r="A74">
        <v>56</v>
      </c>
      <c r="B74">
        <v>1</v>
      </c>
    </row>
    <row r="75" spans="1:2" x14ac:dyDescent="0.35">
      <c r="A75">
        <v>56</v>
      </c>
      <c r="B75">
        <v>1</v>
      </c>
    </row>
    <row r="76" spans="1:2" x14ac:dyDescent="0.35">
      <c r="A76">
        <v>56</v>
      </c>
      <c r="B76">
        <v>1</v>
      </c>
    </row>
    <row r="77" spans="1:2" x14ac:dyDescent="0.35">
      <c r="A77">
        <v>56</v>
      </c>
      <c r="B77">
        <v>1</v>
      </c>
    </row>
    <row r="78" spans="1:2" x14ac:dyDescent="0.35">
      <c r="A78">
        <v>57</v>
      </c>
      <c r="B78">
        <v>1</v>
      </c>
    </row>
    <row r="79" spans="1:2" x14ac:dyDescent="0.35">
      <c r="A79">
        <v>57</v>
      </c>
      <c r="B79">
        <v>1</v>
      </c>
    </row>
    <row r="80" spans="1:2" x14ac:dyDescent="0.35">
      <c r="A80">
        <v>57</v>
      </c>
      <c r="B80">
        <v>1</v>
      </c>
    </row>
    <row r="81" spans="1:2" x14ac:dyDescent="0.35">
      <c r="A81">
        <v>57</v>
      </c>
      <c r="B81">
        <v>1</v>
      </c>
    </row>
    <row r="82" spans="1:2" x14ac:dyDescent="0.35">
      <c r="A82">
        <v>57</v>
      </c>
      <c r="B82">
        <v>1</v>
      </c>
    </row>
    <row r="83" spans="1:2" x14ac:dyDescent="0.35">
      <c r="A83">
        <v>57</v>
      </c>
      <c r="B83">
        <v>1</v>
      </c>
    </row>
    <row r="84" spans="1:2" x14ac:dyDescent="0.35">
      <c r="A84">
        <v>57</v>
      </c>
      <c r="B84">
        <v>1</v>
      </c>
    </row>
    <row r="85" spans="1:2" x14ac:dyDescent="0.35">
      <c r="A85">
        <v>57</v>
      </c>
      <c r="B85">
        <v>1</v>
      </c>
    </row>
    <row r="86" spans="1:2" x14ac:dyDescent="0.35">
      <c r="A86">
        <v>57</v>
      </c>
      <c r="B86">
        <v>1</v>
      </c>
    </row>
    <row r="87" spans="1:2" x14ac:dyDescent="0.35">
      <c r="A87">
        <v>57</v>
      </c>
      <c r="B87">
        <v>1</v>
      </c>
    </row>
    <row r="88" spans="1:2" x14ac:dyDescent="0.35">
      <c r="A88">
        <v>57</v>
      </c>
      <c r="B88">
        <v>1</v>
      </c>
    </row>
    <row r="89" spans="1:2" x14ac:dyDescent="0.35">
      <c r="A89">
        <v>57</v>
      </c>
      <c r="B89">
        <v>1</v>
      </c>
    </row>
    <row r="90" spans="1:2" x14ac:dyDescent="0.35">
      <c r="A90">
        <v>57</v>
      </c>
      <c r="B90">
        <v>1</v>
      </c>
    </row>
    <row r="91" spans="1:2" x14ac:dyDescent="0.35">
      <c r="A91">
        <v>57</v>
      </c>
      <c r="B91">
        <v>1</v>
      </c>
    </row>
    <row r="92" spans="1:2" x14ac:dyDescent="0.35">
      <c r="A92">
        <v>57</v>
      </c>
      <c r="B92">
        <v>1</v>
      </c>
    </row>
    <row r="93" spans="1:2" x14ac:dyDescent="0.35">
      <c r="A93">
        <v>57</v>
      </c>
      <c r="B93">
        <v>1</v>
      </c>
    </row>
    <row r="94" spans="1:2" x14ac:dyDescent="0.35">
      <c r="A94">
        <v>57</v>
      </c>
      <c r="B94">
        <v>1</v>
      </c>
    </row>
    <row r="95" spans="1:2" x14ac:dyDescent="0.35">
      <c r="A95">
        <v>57</v>
      </c>
      <c r="B95">
        <v>1</v>
      </c>
    </row>
    <row r="96" spans="1:2" x14ac:dyDescent="0.35">
      <c r="A96">
        <v>57</v>
      </c>
      <c r="B96">
        <v>1</v>
      </c>
    </row>
    <row r="97" spans="1:2" x14ac:dyDescent="0.35">
      <c r="A97">
        <v>58</v>
      </c>
      <c r="B97">
        <v>1</v>
      </c>
    </row>
    <row r="98" spans="1:2" x14ac:dyDescent="0.35">
      <c r="A98">
        <v>58</v>
      </c>
      <c r="B98">
        <v>1</v>
      </c>
    </row>
    <row r="99" spans="1:2" x14ac:dyDescent="0.35">
      <c r="A99">
        <v>58</v>
      </c>
      <c r="B99">
        <v>1</v>
      </c>
    </row>
    <row r="100" spans="1:2" x14ac:dyDescent="0.35">
      <c r="A100">
        <v>58</v>
      </c>
      <c r="B100">
        <v>1</v>
      </c>
    </row>
    <row r="101" spans="1:2" x14ac:dyDescent="0.35">
      <c r="A101">
        <v>58</v>
      </c>
      <c r="B101">
        <v>1</v>
      </c>
    </row>
    <row r="102" spans="1:2" x14ac:dyDescent="0.35">
      <c r="A102">
        <v>58</v>
      </c>
      <c r="B102">
        <v>1</v>
      </c>
    </row>
    <row r="103" spans="1:2" x14ac:dyDescent="0.35">
      <c r="A103">
        <v>58</v>
      </c>
      <c r="B103">
        <v>1</v>
      </c>
    </row>
    <row r="104" spans="1:2" x14ac:dyDescent="0.35">
      <c r="A104">
        <v>58</v>
      </c>
      <c r="B104">
        <v>1</v>
      </c>
    </row>
    <row r="105" spans="1:2" x14ac:dyDescent="0.35">
      <c r="A105">
        <v>58</v>
      </c>
      <c r="B105">
        <v>1</v>
      </c>
    </row>
    <row r="106" spans="1:2" x14ac:dyDescent="0.35">
      <c r="A106">
        <v>58</v>
      </c>
      <c r="B106">
        <v>1</v>
      </c>
    </row>
    <row r="107" spans="1:2" x14ac:dyDescent="0.35">
      <c r="A107">
        <v>58</v>
      </c>
      <c r="B107">
        <v>1</v>
      </c>
    </row>
    <row r="108" spans="1:2" x14ac:dyDescent="0.35">
      <c r="A108">
        <v>58</v>
      </c>
      <c r="B108">
        <v>1</v>
      </c>
    </row>
    <row r="109" spans="1:2" x14ac:dyDescent="0.35">
      <c r="A109">
        <v>58</v>
      </c>
      <c r="B109">
        <v>1</v>
      </c>
    </row>
    <row r="110" spans="1:2" x14ac:dyDescent="0.35">
      <c r="A110">
        <v>58</v>
      </c>
      <c r="B110">
        <v>1</v>
      </c>
    </row>
    <row r="111" spans="1:2" x14ac:dyDescent="0.35">
      <c r="A111">
        <v>58</v>
      </c>
      <c r="B111">
        <v>1</v>
      </c>
    </row>
    <row r="112" spans="1:2" x14ac:dyDescent="0.35">
      <c r="A112">
        <v>58</v>
      </c>
      <c r="B112">
        <v>1</v>
      </c>
    </row>
    <row r="113" spans="1:2" x14ac:dyDescent="0.35">
      <c r="A113">
        <v>58</v>
      </c>
      <c r="B113">
        <v>1</v>
      </c>
    </row>
    <row r="114" spans="1:2" x14ac:dyDescent="0.35">
      <c r="A114">
        <v>58</v>
      </c>
      <c r="B114">
        <v>1</v>
      </c>
    </row>
    <row r="115" spans="1:2" x14ac:dyDescent="0.35">
      <c r="A115">
        <v>58</v>
      </c>
      <c r="B115">
        <v>1</v>
      </c>
    </row>
    <row r="116" spans="1:2" x14ac:dyDescent="0.35">
      <c r="A116">
        <v>58</v>
      </c>
      <c r="B116">
        <v>1</v>
      </c>
    </row>
    <row r="117" spans="1:2" x14ac:dyDescent="0.35">
      <c r="A117">
        <v>58</v>
      </c>
      <c r="B117">
        <v>1</v>
      </c>
    </row>
    <row r="118" spans="1:2" x14ac:dyDescent="0.35">
      <c r="A118">
        <v>58</v>
      </c>
      <c r="B118">
        <v>1</v>
      </c>
    </row>
    <row r="119" spans="1:2" x14ac:dyDescent="0.35">
      <c r="A119">
        <v>59</v>
      </c>
      <c r="B119">
        <v>1</v>
      </c>
    </row>
    <row r="120" spans="1:2" x14ac:dyDescent="0.35">
      <c r="A120">
        <v>59</v>
      </c>
      <c r="B120">
        <v>1</v>
      </c>
    </row>
    <row r="121" spans="1:2" x14ac:dyDescent="0.35">
      <c r="A121">
        <v>59</v>
      </c>
      <c r="B121">
        <v>1</v>
      </c>
    </row>
    <row r="122" spans="1:2" x14ac:dyDescent="0.35">
      <c r="A122">
        <v>59</v>
      </c>
      <c r="B122">
        <v>1</v>
      </c>
    </row>
    <row r="123" spans="1:2" x14ac:dyDescent="0.35">
      <c r="A123">
        <v>59</v>
      </c>
      <c r="B123">
        <v>1</v>
      </c>
    </row>
    <row r="124" spans="1:2" x14ac:dyDescent="0.35">
      <c r="A124">
        <v>59</v>
      </c>
      <c r="B124">
        <v>1</v>
      </c>
    </row>
    <row r="125" spans="1:2" x14ac:dyDescent="0.35">
      <c r="A125">
        <v>59</v>
      </c>
      <c r="B125">
        <v>1</v>
      </c>
    </row>
    <row r="126" spans="1:2" x14ac:dyDescent="0.35">
      <c r="A126">
        <v>59</v>
      </c>
      <c r="B126">
        <v>1</v>
      </c>
    </row>
    <row r="127" spans="1:2" x14ac:dyDescent="0.35">
      <c r="A127">
        <v>59</v>
      </c>
      <c r="B127">
        <v>1</v>
      </c>
    </row>
    <row r="128" spans="1:2" x14ac:dyDescent="0.35">
      <c r="A128">
        <v>59</v>
      </c>
      <c r="B128">
        <v>1</v>
      </c>
    </row>
    <row r="129" spans="1:2" x14ac:dyDescent="0.35">
      <c r="A129">
        <v>59</v>
      </c>
      <c r="B129">
        <v>1</v>
      </c>
    </row>
    <row r="130" spans="1:2" x14ac:dyDescent="0.35">
      <c r="A130">
        <v>59</v>
      </c>
      <c r="B130">
        <v>1</v>
      </c>
    </row>
    <row r="131" spans="1:2" x14ac:dyDescent="0.35">
      <c r="A131">
        <v>59</v>
      </c>
      <c r="B131">
        <v>1</v>
      </c>
    </row>
    <row r="132" spans="1:2" x14ac:dyDescent="0.35">
      <c r="A132">
        <v>59</v>
      </c>
      <c r="B132">
        <v>1</v>
      </c>
    </row>
    <row r="133" spans="1:2" x14ac:dyDescent="0.35">
      <c r="A133">
        <v>59</v>
      </c>
      <c r="B133">
        <v>1</v>
      </c>
    </row>
    <row r="134" spans="1:2" x14ac:dyDescent="0.35">
      <c r="A134">
        <v>59</v>
      </c>
      <c r="B134">
        <v>1</v>
      </c>
    </row>
    <row r="135" spans="1:2" x14ac:dyDescent="0.35">
      <c r="A135">
        <v>59</v>
      </c>
      <c r="B135">
        <v>1</v>
      </c>
    </row>
    <row r="136" spans="1:2" x14ac:dyDescent="0.35">
      <c r="A136">
        <v>59</v>
      </c>
      <c r="B136">
        <v>1</v>
      </c>
    </row>
    <row r="137" spans="1:2" x14ac:dyDescent="0.35">
      <c r="A137">
        <v>59</v>
      </c>
      <c r="B137">
        <v>1</v>
      </c>
    </row>
    <row r="138" spans="1:2" x14ac:dyDescent="0.35">
      <c r="A138">
        <v>59</v>
      </c>
      <c r="B138">
        <v>1</v>
      </c>
    </row>
    <row r="139" spans="1:2" x14ac:dyDescent="0.35">
      <c r="A139">
        <v>59</v>
      </c>
      <c r="B139">
        <v>1</v>
      </c>
    </row>
    <row r="140" spans="1:2" x14ac:dyDescent="0.35">
      <c r="A140">
        <v>59</v>
      </c>
      <c r="B140">
        <v>1</v>
      </c>
    </row>
    <row r="141" spans="1:2" x14ac:dyDescent="0.35">
      <c r="A141">
        <v>59</v>
      </c>
      <c r="B141">
        <v>1</v>
      </c>
    </row>
    <row r="142" spans="1:2" x14ac:dyDescent="0.35">
      <c r="A142">
        <v>59</v>
      </c>
      <c r="B142">
        <v>1</v>
      </c>
    </row>
    <row r="143" spans="1:2" x14ac:dyDescent="0.35">
      <c r="A143">
        <v>59</v>
      </c>
      <c r="B143">
        <v>1</v>
      </c>
    </row>
    <row r="144" spans="1:2" x14ac:dyDescent="0.35">
      <c r="A144">
        <v>59</v>
      </c>
      <c r="B144">
        <v>1</v>
      </c>
    </row>
    <row r="145" spans="1:2" x14ac:dyDescent="0.35">
      <c r="A145">
        <v>59</v>
      </c>
      <c r="B145">
        <v>1</v>
      </c>
    </row>
    <row r="146" spans="1:2" x14ac:dyDescent="0.35">
      <c r="A146">
        <v>59</v>
      </c>
      <c r="B146">
        <v>1</v>
      </c>
    </row>
    <row r="147" spans="1:2" x14ac:dyDescent="0.35">
      <c r="A147">
        <v>59</v>
      </c>
      <c r="B147">
        <v>1</v>
      </c>
    </row>
    <row r="148" spans="1:2" x14ac:dyDescent="0.35">
      <c r="A148">
        <v>59</v>
      </c>
      <c r="B148">
        <v>1</v>
      </c>
    </row>
    <row r="149" spans="1:2" x14ac:dyDescent="0.35">
      <c r="A149">
        <v>60</v>
      </c>
      <c r="B149">
        <v>1</v>
      </c>
    </row>
    <row r="150" spans="1:2" x14ac:dyDescent="0.35">
      <c r="A150">
        <v>60</v>
      </c>
      <c r="B150">
        <v>1</v>
      </c>
    </row>
    <row r="151" spans="1:2" x14ac:dyDescent="0.35">
      <c r="A151">
        <v>60</v>
      </c>
      <c r="B151">
        <v>1</v>
      </c>
    </row>
    <row r="152" spans="1:2" x14ac:dyDescent="0.35">
      <c r="A152">
        <v>60</v>
      </c>
      <c r="B152">
        <v>1</v>
      </c>
    </row>
    <row r="153" spans="1:2" x14ac:dyDescent="0.35">
      <c r="A153">
        <v>60</v>
      </c>
      <c r="B153">
        <v>1</v>
      </c>
    </row>
    <row r="154" spans="1:2" x14ac:dyDescent="0.35">
      <c r="A154">
        <v>60</v>
      </c>
      <c r="B154">
        <v>1</v>
      </c>
    </row>
    <row r="155" spans="1:2" x14ac:dyDescent="0.35">
      <c r="A155">
        <v>60</v>
      </c>
      <c r="B155">
        <v>1</v>
      </c>
    </row>
    <row r="156" spans="1:2" x14ac:dyDescent="0.35">
      <c r="A156">
        <v>60</v>
      </c>
      <c r="B156">
        <v>1</v>
      </c>
    </row>
    <row r="157" spans="1:2" x14ac:dyDescent="0.35">
      <c r="A157">
        <v>60</v>
      </c>
      <c r="B157">
        <v>1</v>
      </c>
    </row>
    <row r="158" spans="1:2" x14ac:dyDescent="0.35">
      <c r="A158">
        <v>60</v>
      </c>
      <c r="B158">
        <v>1</v>
      </c>
    </row>
    <row r="159" spans="1:2" x14ac:dyDescent="0.35">
      <c r="A159">
        <v>60</v>
      </c>
      <c r="B159">
        <v>1</v>
      </c>
    </row>
    <row r="160" spans="1:2" x14ac:dyDescent="0.35">
      <c r="A160">
        <v>60</v>
      </c>
      <c r="B160">
        <v>1</v>
      </c>
    </row>
    <row r="161" spans="1:2" x14ac:dyDescent="0.35">
      <c r="A161">
        <v>60</v>
      </c>
      <c r="B161">
        <v>1</v>
      </c>
    </row>
    <row r="162" spans="1:2" x14ac:dyDescent="0.35">
      <c r="A162">
        <v>60</v>
      </c>
      <c r="B162">
        <v>1</v>
      </c>
    </row>
    <row r="163" spans="1:2" x14ac:dyDescent="0.35">
      <c r="A163">
        <v>60</v>
      </c>
      <c r="B163">
        <v>1</v>
      </c>
    </row>
    <row r="164" spans="1:2" x14ac:dyDescent="0.35">
      <c r="A164">
        <v>60</v>
      </c>
      <c r="B164">
        <v>1</v>
      </c>
    </row>
    <row r="165" spans="1:2" x14ac:dyDescent="0.35">
      <c r="A165">
        <v>60</v>
      </c>
      <c r="B165">
        <v>1</v>
      </c>
    </row>
    <row r="166" spans="1:2" x14ac:dyDescent="0.35">
      <c r="A166">
        <v>60</v>
      </c>
      <c r="B166">
        <v>1</v>
      </c>
    </row>
    <row r="167" spans="1:2" x14ac:dyDescent="0.35">
      <c r="A167">
        <v>60</v>
      </c>
      <c r="B167">
        <v>1</v>
      </c>
    </row>
    <row r="168" spans="1:2" x14ac:dyDescent="0.35">
      <c r="A168">
        <v>60</v>
      </c>
      <c r="B168">
        <v>1</v>
      </c>
    </row>
    <row r="169" spans="1:2" x14ac:dyDescent="0.35">
      <c r="A169">
        <v>60</v>
      </c>
      <c r="B169">
        <v>1</v>
      </c>
    </row>
    <row r="170" spans="1:2" x14ac:dyDescent="0.35">
      <c r="A170">
        <v>60</v>
      </c>
      <c r="B170">
        <v>1</v>
      </c>
    </row>
    <row r="171" spans="1:2" x14ac:dyDescent="0.35">
      <c r="A171">
        <v>60</v>
      </c>
      <c r="B171">
        <v>1</v>
      </c>
    </row>
    <row r="172" spans="1:2" x14ac:dyDescent="0.35">
      <c r="A172">
        <v>60</v>
      </c>
      <c r="B172">
        <v>1</v>
      </c>
    </row>
    <row r="173" spans="1:2" x14ac:dyDescent="0.35">
      <c r="A173">
        <v>60</v>
      </c>
      <c r="B173">
        <v>1</v>
      </c>
    </row>
    <row r="174" spans="1:2" x14ac:dyDescent="0.35">
      <c r="A174">
        <v>60</v>
      </c>
      <c r="B174">
        <v>1</v>
      </c>
    </row>
    <row r="175" spans="1:2" x14ac:dyDescent="0.35">
      <c r="A175">
        <v>60</v>
      </c>
      <c r="B175">
        <v>1</v>
      </c>
    </row>
    <row r="176" spans="1:2" x14ac:dyDescent="0.35">
      <c r="A176">
        <v>60</v>
      </c>
      <c r="B176">
        <v>1</v>
      </c>
    </row>
    <row r="177" spans="1:2" x14ac:dyDescent="0.35">
      <c r="A177">
        <v>61</v>
      </c>
      <c r="B177">
        <v>1</v>
      </c>
    </row>
    <row r="178" spans="1:2" x14ac:dyDescent="0.35">
      <c r="A178">
        <v>61</v>
      </c>
      <c r="B178">
        <v>1</v>
      </c>
    </row>
    <row r="179" spans="1:2" x14ac:dyDescent="0.35">
      <c r="A179">
        <v>61</v>
      </c>
      <c r="B179">
        <v>1</v>
      </c>
    </row>
    <row r="180" spans="1:2" x14ac:dyDescent="0.35">
      <c r="A180">
        <v>61</v>
      </c>
      <c r="B180">
        <v>1</v>
      </c>
    </row>
    <row r="181" spans="1:2" x14ac:dyDescent="0.35">
      <c r="A181">
        <v>61</v>
      </c>
      <c r="B181">
        <v>1</v>
      </c>
    </row>
    <row r="182" spans="1:2" x14ac:dyDescent="0.35">
      <c r="A182">
        <v>61</v>
      </c>
      <c r="B182">
        <v>1</v>
      </c>
    </row>
    <row r="183" spans="1:2" x14ac:dyDescent="0.35">
      <c r="A183">
        <v>61</v>
      </c>
      <c r="B183">
        <v>1</v>
      </c>
    </row>
    <row r="184" spans="1:2" x14ac:dyDescent="0.35">
      <c r="A184">
        <v>61</v>
      </c>
      <c r="B184">
        <v>1</v>
      </c>
    </row>
    <row r="185" spans="1:2" x14ac:dyDescent="0.35">
      <c r="A185">
        <v>61</v>
      </c>
      <c r="B185">
        <v>1</v>
      </c>
    </row>
    <row r="186" spans="1:2" x14ac:dyDescent="0.35">
      <c r="A186">
        <v>61</v>
      </c>
      <c r="B186">
        <v>1</v>
      </c>
    </row>
    <row r="187" spans="1:2" x14ac:dyDescent="0.35">
      <c r="A187">
        <v>61</v>
      </c>
      <c r="B187">
        <v>1</v>
      </c>
    </row>
    <row r="188" spans="1:2" x14ac:dyDescent="0.35">
      <c r="A188">
        <v>61</v>
      </c>
      <c r="B188">
        <v>1</v>
      </c>
    </row>
    <row r="189" spans="1:2" x14ac:dyDescent="0.35">
      <c r="A189">
        <v>61</v>
      </c>
      <c r="B189">
        <v>1</v>
      </c>
    </row>
    <row r="190" spans="1:2" x14ac:dyDescent="0.35">
      <c r="A190">
        <v>61</v>
      </c>
      <c r="B190">
        <v>1</v>
      </c>
    </row>
    <row r="191" spans="1:2" x14ac:dyDescent="0.35">
      <c r="A191">
        <v>61</v>
      </c>
      <c r="B191">
        <v>1</v>
      </c>
    </row>
    <row r="192" spans="1:2" x14ac:dyDescent="0.35">
      <c r="A192">
        <v>61</v>
      </c>
      <c r="B192">
        <v>1</v>
      </c>
    </row>
    <row r="193" spans="1:2" x14ac:dyDescent="0.35">
      <c r="A193">
        <v>61</v>
      </c>
      <c r="B193">
        <v>1</v>
      </c>
    </row>
    <row r="194" spans="1:2" x14ac:dyDescent="0.35">
      <c r="A194">
        <v>61</v>
      </c>
      <c r="B194">
        <v>1</v>
      </c>
    </row>
    <row r="195" spans="1:2" x14ac:dyDescent="0.35">
      <c r="A195">
        <v>61</v>
      </c>
      <c r="B195">
        <v>1</v>
      </c>
    </row>
    <row r="196" spans="1:2" x14ac:dyDescent="0.35">
      <c r="A196">
        <v>61</v>
      </c>
      <c r="B196">
        <v>1</v>
      </c>
    </row>
    <row r="197" spans="1:2" x14ac:dyDescent="0.35">
      <c r="A197">
        <v>61</v>
      </c>
      <c r="B197">
        <v>1</v>
      </c>
    </row>
    <row r="198" spans="1:2" x14ac:dyDescent="0.35">
      <c r="A198">
        <v>61</v>
      </c>
      <c r="B198">
        <v>1</v>
      </c>
    </row>
    <row r="199" spans="1:2" x14ac:dyDescent="0.35">
      <c r="A199">
        <v>61</v>
      </c>
      <c r="B199">
        <v>1</v>
      </c>
    </row>
    <row r="200" spans="1:2" x14ac:dyDescent="0.35">
      <c r="A200">
        <v>61</v>
      </c>
      <c r="B200">
        <v>1</v>
      </c>
    </row>
    <row r="201" spans="1:2" x14ac:dyDescent="0.35">
      <c r="A201">
        <v>61</v>
      </c>
      <c r="B201">
        <v>1</v>
      </c>
    </row>
    <row r="202" spans="1:2" x14ac:dyDescent="0.35">
      <c r="A202">
        <v>61</v>
      </c>
      <c r="B202">
        <v>1</v>
      </c>
    </row>
    <row r="203" spans="1:2" x14ac:dyDescent="0.35">
      <c r="A203">
        <v>61</v>
      </c>
      <c r="B203">
        <v>1</v>
      </c>
    </row>
    <row r="204" spans="1:2" x14ac:dyDescent="0.35">
      <c r="A204">
        <v>61</v>
      </c>
      <c r="B204">
        <v>1</v>
      </c>
    </row>
    <row r="205" spans="1:2" x14ac:dyDescent="0.35">
      <c r="A205">
        <v>61</v>
      </c>
      <c r="B205">
        <v>1</v>
      </c>
    </row>
    <row r="206" spans="1:2" x14ac:dyDescent="0.35">
      <c r="A206">
        <v>61</v>
      </c>
      <c r="B206">
        <v>1</v>
      </c>
    </row>
    <row r="207" spans="1:2" x14ac:dyDescent="0.35">
      <c r="A207">
        <v>61</v>
      </c>
      <c r="B207">
        <v>1</v>
      </c>
    </row>
    <row r="208" spans="1:2" x14ac:dyDescent="0.35">
      <c r="A208">
        <v>61</v>
      </c>
      <c r="B208">
        <v>1</v>
      </c>
    </row>
    <row r="209" spans="1:2" x14ac:dyDescent="0.35">
      <c r="A209">
        <v>61</v>
      </c>
      <c r="B209">
        <v>1</v>
      </c>
    </row>
    <row r="210" spans="1:2" x14ac:dyDescent="0.35">
      <c r="A210">
        <v>61</v>
      </c>
      <c r="B210">
        <v>1</v>
      </c>
    </row>
    <row r="211" spans="1:2" x14ac:dyDescent="0.35">
      <c r="A211">
        <v>61</v>
      </c>
      <c r="B211">
        <v>1</v>
      </c>
    </row>
    <row r="212" spans="1:2" x14ac:dyDescent="0.35">
      <c r="A212">
        <v>61</v>
      </c>
      <c r="B212">
        <v>1</v>
      </c>
    </row>
    <row r="213" spans="1:2" x14ac:dyDescent="0.35">
      <c r="A213">
        <v>61</v>
      </c>
      <c r="B213">
        <v>1</v>
      </c>
    </row>
    <row r="214" spans="1:2" x14ac:dyDescent="0.35">
      <c r="A214">
        <v>61</v>
      </c>
      <c r="B214">
        <v>1</v>
      </c>
    </row>
    <row r="215" spans="1:2" x14ac:dyDescent="0.35">
      <c r="A215">
        <v>62</v>
      </c>
      <c r="B215">
        <v>1</v>
      </c>
    </row>
    <row r="216" spans="1:2" x14ac:dyDescent="0.35">
      <c r="A216">
        <v>62</v>
      </c>
      <c r="B216">
        <v>1</v>
      </c>
    </row>
    <row r="217" spans="1:2" x14ac:dyDescent="0.35">
      <c r="A217">
        <v>62</v>
      </c>
      <c r="B217">
        <v>1</v>
      </c>
    </row>
    <row r="218" spans="1:2" x14ac:dyDescent="0.35">
      <c r="A218">
        <v>62</v>
      </c>
      <c r="B218">
        <v>1</v>
      </c>
    </row>
    <row r="219" spans="1:2" x14ac:dyDescent="0.35">
      <c r="A219">
        <v>62</v>
      </c>
      <c r="B219">
        <v>1</v>
      </c>
    </row>
    <row r="220" spans="1:2" x14ac:dyDescent="0.35">
      <c r="A220">
        <v>62</v>
      </c>
      <c r="B220">
        <v>1</v>
      </c>
    </row>
    <row r="221" spans="1:2" x14ac:dyDescent="0.35">
      <c r="A221">
        <v>62</v>
      </c>
      <c r="B221">
        <v>1</v>
      </c>
    </row>
    <row r="222" spans="1:2" x14ac:dyDescent="0.35">
      <c r="A222">
        <v>62</v>
      </c>
      <c r="B222">
        <v>1</v>
      </c>
    </row>
    <row r="223" spans="1:2" x14ac:dyDescent="0.35">
      <c r="A223">
        <v>62</v>
      </c>
      <c r="B223">
        <v>1</v>
      </c>
    </row>
    <row r="224" spans="1:2" x14ac:dyDescent="0.35">
      <c r="A224">
        <v>62</v>
      </c>
      <c r="B224">
        <v>1</v>
      </c>
    </row>
    <row r="225" spans="1:2" x14ac:dyDescent="0.35">
      <c r="A225">
        <v>62</v>
      </c>
      <c r="B225">
        <v>1</v>
      </c>
    </row>
    <row r="226" spans="1:2" x14ac:dyDescent="0.35">
      <c r="A226">
        <v>62</v>
      </c>
      <c r="B226">
        <v>1</v>
      </c>
    </row>
    <row r="227" spans="1:2" x14ac:dyDescent="0.35">
      <c r="A227">
        <v>62</v>
      </c>
      <c r="B227">
        <v>1</v>
      </c>
    </row>
    <row r="228" spans="1:2" x14ac:dyDescent="0.35">
      <c r="A228">
        <v>62</v>
      </c>
      <c r="B228">
        <v>1</v>
      </c>
    </row>
    <row r="229" spans="1:2" x14ac:dyDescent="0.35">
      <c r="A229">
        <v>62</v>
      </c>
      <c r="B229">
        <v>1</v>
      </c>
    </row>
    <row r="230" spans="1:2" x14ac:dyDescent="0.35">
      <c r="A230">
        <v>62</v>
      </c>
      <c r="B230">
        <v>1</v>
      </c>
    </row>
    <row r="231" spans="1:2" x14ac:dyDescent="0.35">
      <c r="A231">
        <v>62</v>
      </c>
      <c r="B231">
        <v>1</v>
      </c>
    </row>
    <row r="232" spans="1:2" x14ac:dyDescent="0.35">
      <c r="A232">
        <v>62</v>
      </c>
      <c r="B232">
        <v>1</v>
      </c>
    </row>
    <row r="233" spans="1:2" x14ac:dyDescent="0.35">
      <c r="A233">
        <v>62</v>
      </c>
      <c r="B233">
        <v>1</v>
      </c>
    </row>
    <row r="234" spans="1:2" x14ac:dyDescent="0.35">
      <c r="A234">
        <v>62</v>
      </c>
      <c r="B234">
        <v>1</v>
      </c>
    </row>
    <row r="235" spans="1:2" x14ac:dyDescent="0.35">
      <c r="A235">
        <v>62</v>
      </c>
      <c r="B235">
        <v>1</v>
      </c>
    </row>
    <row r="236" spans="1:2" x14ac:dyDescent="0.35">
      <c r="A236">
        <v>62</v>
      </c>
      <c r="B236">
        <v>1</v>
      </c>
    </row>
    <row r="237" spans="1:2" x14ac:dyDescent="0.35">
      <c r="A237">
        <v>62</v>
      </c>
      <c r="B237">
        <v>1</v>
      </c>
    </row>
    <row r="238" spans="1:2" x14ac:dyDescent="0.35">
      <c r="A238">
        <v>62</v>
      </c>
      <c r="B238">
        <v>1</v>
      </c>
    </row>
    <row r="239" spans="1:2" x14ac:dyDescent="0.35">
      <c r="A239">
        <v>62</v>
      </c>
      <c r="B239">
        <v>1</v>
      </c>
    </row>
    <row r="240" spans="1:2" x14ac:dyDescent="0.35">
      <c r="A240">
        <v>62</v>
      </c>
      <c r="B240">
        <v>1</v>
      </c>
    </row>
    <row r="241" spans="1:2" x14ac:dyDescent="0.35">
      <c r="A241">
        <v>62</v>
      </c>
      <c r="B241">
        <v>1</v>
      </c>
    </row>
    <row r="242" spans="1:2" x14ac:dyDescent="0.35">
      <c r="A242">
        <v>62</v>
      </c>
      <c r="B242">
        <v>1</v>
      </c>
    </row>
    <row r="243" spans="1:2" x14ac:dyDescent="0.35">
      <c r="A243">
        <v>62</v>
      </c>
      <c r="B243">
        <v>1</v>
      </c>
    </row>
    <row r="244" spans="1:2" x14ac:dyDescent="0.35">
      <c r="A244">
        <v>62</v>
      </c>
      <c r="B244">
        <v>1</v>
      </c>
    </row>
    <row r="245" spans="1:2" x14ac:dyDescent="0.35">
      <c r="A245">
        <v>62</v>
      </c>
      <c r="B245">
        <v>1</v>
      </c>
    </row>
    <row r="246" spans="1:2" x14ac:dyDescent="0.35">
      <c r="A246">
        <v>62</v>
      </c>
      <c r="B246">
        <v>1</v>
      </c>
    </row>
    <row r="247" spans="1:2" x14ac:dyDescent="0.35">
      <c r="A247">
        <v>62</v>
      </c>
      <c r="B247">
        <v>1</v>
      </c>
    </row>
    <row r="248" spans="1:2" x14ac:dyDescent="0.35">
      <c r="A248">
        <v>62</v>
      </c>
      <c r="B248">
        <v>1</v>
      </c>
    </row>
    <row r="249" spans="1:2" x14ac:dyDescent="0.35">
      <c r="A249">
        <v>62</v>
      </c>
      <c r="B249">
        <v>1</v>
      </c>
    </row>
    <row r="250" spans="1:2" x14ac:dyDescent="0.35">
      <c r="A250">
        <v>62</v>
      </c>
      <c r="B250">
        <v>1</v>
      </c>
    </row>
    <row r="251" spans="1:2" x14ac:dyDescent="0.35">
      <c r="A251">
        <v>62</v>
      </c>
      <c r="B251">
        <v>1</v>
      </c>
    </row>
    <row r="252" spans="1:2" x14ac:dyDescent="0.35">
      <c r="A252">
        <v>62</v>
      </c>
      <c r="B252">
        <v>1</v>
      </c>
    </row>
    <row r="253" spans="1:2" x14ac:dyDescent="0.35">
      <c r="A253">
        <v>63</v>
      </c>
      <c r="B253">
        <v>1</v>
      </c>
    </row>
    <row r="254" spans="1:2" x14ac:dyDescent="0.35">
      <c r="A254">
        <v>63</v>
      </c>
      <c r="B254">
        <v>1</v>
      </c>
    </row>
    <row r="255" spans="1:2" x14ac:dyDescent="0.35">
      <c r="A255">
        <v>63</v>
      </c>
      <c r="B255">
        <v>1</v>
      </c>
    </row>
    <row r="256" spans="1:2" x14ac:dyDescent="0.35">
      <c r="A256">
        <v>63</v>
      </c>
      <c r="B256">
        <v>1</v>
      </c>
    </row>
    <row r="257" spans="1:2" x14ac:dyDescent="0.35">
      <c r="A257">
        <v>63</v>
      </c>
      <c r="B257">
        <v>1</v>
      </c>
    </row>
    <row r="258" spans="1:2" x14ac:dyDescent="0.35">
      <c r="A258">
        <v>63</v>
      </c>
      <c r="B258">
        <v>1</v>
      </c>
    </row>
    <row r="259" spans="1:2" x14ac:dyDescent="0.35">
      <c r="A259">
        <v>63</v>
      </c>
      <c r="B259">
        <v>1</v>
      </c>
    </row>
    <row r="260" spans="1:2" x14ac:dyDescent="0.35">
      <c r="A260">
        <v>63</v>
      </c>
      <c r="B260">
        <v>1</v>
      </c>
    </row>
    <row r="261" spans="1:2" x14ac:dyDescent="0.35">
      <c r="A261">
        <v>63</v>
      </c>
      <c r="B261">
        <v>1</v>
      </c>
    </row>
    <row r="262" spans="1:2" x14ac:dyDescent="0.35">
      <c r="A262">
        <v>63</v>
      </c>
      <c r="B262">
        <v>1</v>
      </c>
    </row>
    <row r="263" spans="1:2" x14ac:dyDescent="0.35">
      <c r="A263">
        <v>63</v>
      </c>
      <c r="B263">
        <v>1</v>
      </c>
    </row>
    <row r="264" spans="1:2" x14ac:dyDescent="0.35">
      <c r="A264">
        <v>63</v>
      </c>
      <c r="B264">
        <v>1</v>
      </c>
    </row>
    <row r="265" spans="1:2" x14ac:dyDescent="0.35">
      <c r="A265">
        <v>63</v>
      </c>
      <c r="B265">
        <v>1</v>
      </c>
    </row>
    <row r="266" spans="1:2" x14ac:dyDescent="0.35">
      <c r="A266">
        <v>63</v>
      </c>
      <c r="B266">
        <v>1</v>
      </c>
    </row>
    <row r="267" spans="1:2" x14ac:dyDescent="0.35">
      <c r="A267">
        <v>63</v>
      </c>
      <c r="B267">
        <v>1</v>
      </c>
    </row>
    <row r="268" spans="1:2" x14ac:dyDescent="0.35">
      <c r="A268">
        <v>63</v>
      </c>
      <c r="B268">
        <v>1</v>
      </c>
    </row>
    <row r="269" spans="1:2" x14ac:dyDescent="0.35">
      <c r="A269">
        <v>63</v>
      </c>
      <c r="B269">
        <v>1</v>
      </c>
    </row>
    <row r="270" spans="1:2" x14ac:dyDescent="0.35">
      <c r="A270">
        <v>63</v>
      </c>
      <c r="B270">
        <v>1</v>
      </c>
    </row>
    <row r="271" spans="1:2" x14ac:dyDescent="0.35">
      <c r="A271">
        <v>63</v>
      </c>
      <c r="B271">
        <v>1</v>
      </c>
    </row>
    <row r="272" spans="1:2" x14ac:dyDescent="0.35">
      <c r="A272">
        <v>63</v>
      </c>
      <c r="B272">
        <v>1</v>
      </c>
    </row>
    <row r="273" spans="1:2" x14ac:dyDescent="0.35">
      <c r="A273">
        <v>63</v>
      </c>
      <c r="B273">
        <v>1</v>
      </c>
    </row>
    <row r="274" spans="1:2" x14ac:dyDescent="0.35">
      <c r="A274">
        <v>63</v>
      </c>
      <c r="B274">
        <v>1</v>
      </c>
    </row>
    <row r="275" spans="1:2" x14ac:dyDescent="0.35">
      <c r="A275">
        <v>63</v>
      </c>
      <c r="B275">
        <v>1</v>
      </c>
    </row>
    <row r="276" spans="1:2" x14ac:dyDescent="0.35">
      <c r="A276">
        <v>63</v>
      </c>
      <c r="B276">
        <v>1</v>
      </c>
    </row>
    <row r="277" spans="1:2" x14ac:dyDescent="0.35">
      <c r="A277">
        <v>63</v>
      </c>
      <c r="B277">
        <v>1</v>
      </c>
    </row>
    <row r="278" spans="1:2" x14ac:dyDescent="0.35">
      <c r="A278">
        <v>63</v>
      </c>
      <c r="B278">
        <v>1</v>
      </c>
    </row>
    <row r="279" spans="1:2" x14ac:dyDescent="0.35">
      <c r="A279">
        <v>63</v>
      </c>
      <c r="B279">
        <v>1</v>
      </c>
    </row>
    <row r="280" spans="1:2" x14ac:dyDescent="0.35">
      <c r="A280">
        <v>63</v>
      </c>
      <c r="B280">
        <v>1</v>
      </c>
    </row>
    <row r="281" spans="1:2" x14ac:dyDescent="0.35">
      <c r="A281">
        <v>63</v>
      </c>
      <c r="B281">
        <v>1</v>
      </c>
    </row>
    <row r="282" spans="1:2" x14ac:dyDescent="0.35">
      <c r="A282">
        <v>63</v>
      </c>
      <c r="B282">
        <v>1</v>
      </c>
    </row>
    <row r="283" spans="1:2" x14ac:dyDescent="0.35">
      <c r="A283">
        <v>63</v>
      </c>
      <c r="B283">
        <v>1</v>
      </c>
    </row>
    <row r="284" spans="1:2" x14ac:dyDescent="0.35">
      <c r="A284">
        <v>63</v>
      </c>
      <c r="B284">
        <v>1</v>
      </c>
    </row>
    <row r="285" spans="1:2" x14ac:dyDescent="0.35">
      <c r="A285">
        <v>63</v>
      </c>
      <c r="B285">
        <v>1</v>
      </c>
    </row>
    <row r="286" spans="1:2" x14ac:dyDescent="0.35">
      <c r="A286">
        <v>63</v>
      </c>
      <c r="B286">
        <v>1</v>
      </c>
    </row>
    <row r="287" spans="1:2" x14ac:dyDescent="0.35">
      <c r="A287">
        <v>63</v>
      </c>
      <c r="B287">
        <v>1</v>
      </c>
    </row>
    <row r="288" spans="1:2" x14ac:dyDescent="0.35">
      <c r="A288">
        <v>63</v>
      </c>
      <c r="B288">
        <v>1</v>
      </c>
    </row>
    <row r="289" spans="1:2" x14ac:dyDescent="0.35">
      <c r="A289">
        <v>63</v>
      </c>
      <c r="B289">
        <v>1</v>
      </c>
    </row>
    <row r="290" spans="1:2" x14ac:dyDescent="0.35">
      <c r="A290">
        <v>64</v>
      </c>
      <c r="B290">
        <v>1</v>
      </c>
    </row>
    <row r="291" spans="1:2" x14ac:dyDescent="0.35">
      <c r="A291">
        <v>64</v>
      </c>
      <c r="B291">
        <v>1</v>
      </c>
    </row>
    <row r="292" spans="1:2" x14ac:dyDescent="0.35">
      <c r="A292">
        <v>64</v>
      </c>
      <c r="B292">
        <v>1</v>
      </c>
    </row>
    <row r="293" spans="1:2" x14ac:dyDescent="0.35">
      <c r="A293">
        <v>64</v>
      </c>
      <c r="B293">
        <v>1</v>
      </c>
    </row>
    <row r="294" spans="1:2" x14ac:dyDescent="0.35">
      <c r="A294">
        <v>64</v>
      </c>
      <c r="B294">
        <v>1</v>
      </c>
    </row>
    <row r="295" spans="1:2" x14ac:dyDescent="0.35">
      <c r="A295">
        <v>64</v>
      </c>
      <c r="B295">
        <v>1</v>
      </c>
    </row>
    <row r="296" spans="1:2" x14ac:dyDescent="0.35">
      <c r="A296">
        <v>64</v>
      </c>
      <c r="B296">
        <v>1</v>
      </c>
    </row>
    <row r="297" spans="1:2" x14ac:dyDescent="0.35">
      <c r="A297">
        <v>64</v>
      </c>
      <c r="B297">
        <v>1</v>
      </c>
    </row>
    <row r="298" spans="1:2" x14ac:dyDescent="0.35">
      <c r="A298">
        <v>64</v>
      </c>
      <c r="B298">
        <v>1</v>
      </c>
    </row>
    <row r="299" spans="1:2" x14ac:dyDescent="0.35">
      <c r="A299">
        <v>64</v>
      </c>
      <c r="B299">
        <v>1</v>
      </c>
    </row>
    <row r="300" spans="1:2" x14ac:dyDescent="0.35">
      <c r="A300">
        <v>64</v>
      </c>
      <c r="B300">
        <v>1</v>
      </c>
    </row>
    <row r="301" spans="1:2" x14ac:dyDescent="0.35">
      <c r="A301">
        <v>64</v>
      </c>
      <c r="B301">
        <v>1</v>
      </c>
    </row>
    <row r="302" spans="1:2" x14ac:dyDescent="0.35">
      <c r="A302">
        <v>64</v>
      </c>
      <c r="B302">
        <v>1</v>
      </c>
    </row>
    <row r="303" spans="1:2" x14ac:dyDescent="0.35">
      <c r="A303">
        <v>64</v>
      </c>
      <c r="B303">
        <v>1</v>
      </c>
    </row>
    <row r="304" spans="1:2" x14ac:dyDescent="0.35">
      <c r="A304">
        <v>64</v>
      </c>
      <c r="B304">
        <v>1</v>
      </c>
    </row>
    <row r="305" spans="1:2" x14ac:dyDescent="0.35">
      <c r="A305">
        <v>64</v>
      </c>
      <c r="B305">
        <v>1</v>
      </c>
    </row>
    <row r="306" spans="1:2" x14ac:dyDescent="0.35">
      <c r="A306">
        <v>64</v>
      </c>
      <c r="B306">
        <v>1</v>
      </c>
    </row>
    <row r="307" spans="1:2" x14ac:dyDescent="0.35">
      <c r="A307">
        <v>64</v>
      </c>
      <c r="B307">
        <v>1</v>
      </c>
    </row>
    <row r="308" spans="1:2" x14ac:dyDescent="0.35">
      <c r="A308">
        <v>64</v>
      </c>
      <c r="B308">
        <v>1</v>
      </c>
    </row>
    <row r="309" spans="1:2" x14ac:dyDescent="0.35">
      <c r="A309">
        <v>64</v>
      </c>
      <c r="B309">
        <v>1</v>
      </c>
    </row>
    <row r="310" spans="1:2" x14ac:dyDescent="0.35">
      <c r="A310">
        <v>64</v>
      </c>
      <c r="B310">
        <v>1</v>
      </c>
    </row>
    <row r="311" spans="1:2" x14ac:dyDescent="0.35">
      <c r="A311">
        <v>64</v>
      </c>
      <c r="B311">
        <v>1</v>
      </c>
    </row>
    <row r="312" spans="1:2" x14ac:dyDescent="0.35">
      <c r="A312">
        <v>64</v>
      </c>
      <c r="B312">
        <v>1</v>
      </c>
    </row>
    <row r="313" spans="1:2" x14ac:dyDescent="0.35">
      <c r="A313">
        <v>64</v>
      </c>
      <c r="B313">
        <v>1</v>
      </c>
    </row>
    <row r="314" spans="1:2" x14ac:dyDescent="0.35">
      <c r="A314">
        <v>64</v>
      </c>
      <c r="B314">
        <v>1</v>
      </c>
    </row>
    <row r="315" spans="1:2" x14ac:dyDescent="0.35">
      <c r="A315">
        <v>64</v>
      </c>
      <c r="B315">
        <v>1</v>
      </c>
    </row>
    <row r="316" spans="1:2" x14ac:dyDescent="0.35">
      <c r="A316">
        <v>64</v>
      </c>
      <c r="B316">
        <v>1</v>
      </c>
    </row>
    <row r="317" spans="1:2" x14ac:dyDescent="0.35">
      <c r="A317">
        <v>64</v>
      </c>
      <c r="B317">
        <v>1</v>
      </c>
    </row>
    <row r="318" spans="1:2" x14ac:dyDescent="0.35">
      <c r="A318">
        <v>64</v>
      </c>
      <c r="B318">
        <v>1</v>
      </c>
    </row>
    <row r="319" spans="1:2" x14ac:dyDescent="0.35">
      <c r="A319">
        <v>64</v>
      </c>
      <c r="B319">
        <v>1</v>
      </c>
    </row>
    <row r="320" spans="1:2" x14ac:dyDescent="0.35">
      <c r="A320">
        <v>64</v>
      </c>
      <c r="B320">
        <v>1</v>
      </c>
    </row>
    <row r="321" spans="1:2" x14ac:dyDescent="0.35">
      <c r="A321">
        <v>64</v>
      </c>
      <c r="B321">
        <v>1</v>
      </c>
    </row>
    <row r="322" spans="1:2" x14ac:dyDescent="0.35">
      <c r="A322">
        <v>64</v>
      </c>
      <c r="B322">
        <v>1</v>
      </c>
    </row>
    <row r="323" spans="1:2" x14ac:dyDescent="0.35">
      <c r="A323">
        <v>64</v>
      </c>
      <c r="B323">
        <v>1</v>
      </c>
    </row>
    <row r="324" spans="1:2" x14ac:dyDescent="0.35">
      <c r="A324">
        <v>64</v>
      </c>
      <c r="B324">
        <v>1</v>
      </c>
    </row>
    <row r="325" spans="1:2" x14ac:dyDescent="0.35">
      <c r="A325">
        <v>64</v>
      </c>
      <c r="B325">
        <v>1</v>
      </c>
    </row>
    <row r="326" spans="1:2" x14ac:dyDescent="0.35">
      <c r="A326">
        <v>64</v>
      </c>
      <c r="B326">
        <v>1</v>
      </c>
    </row>
    <row r="327" spans="1:2" x14ac:dyDescent="0.35">
      <c r="A327">
        <v>64</v>
      </c>
      <c r="B327">
        <v>1</v>
      </c>
    </row>
    <row r="328" spans="1:2" x14ac:dyDescent="0.35">
      <c r="A328">
        <v>64</v>
      </c>
      <c r="B328">
        <v>1</v>
      </c>
    </row>
    <row r="329" spans="1:2" x14ac:dyDescent="0.35">
      <c r="A329">
        <v>64</v>
      </c>
      <c r="B329">
        <v>1</v>
      </c>
    </row>
    <row r="330" spans="1:2" x14ac:dyDescent="0.35">
      <c r="A330">
        <v>65</v>
      </c>
      <c r="B330">
        <v>1</v>
      </c>
    </row>
    <row r="331" spans="1:2" x14ac:dyDescent="0.35">
      <c r="A331">
        <v>65</v>
      </c>
      <c r="B331">
        <v>1</v>
      </c>
    </row>
    <row r="332" spans="1:2" x14ac:dyDescent="0.35">
      <c r="A332">
        <v>65</v>
      </c>
      <c r="B332">
        <v>1</v>
      </c>
    </row>
    <row r="333" spans="1:2" x14ac:dyDescent="0.35">
      <c r="A333">
        <v>65</v>
      </c>
      <c r="B333">
        <v>1</v>
      </c>
    </row>
    <row r="334" spans="1:2" x14ac:dyDescent="0.35">
      <c r="A334">
        <v>65</v>
      </c>
      <c r="B334">
        <v>1</v>
      </c>
    </row>
    <row r="335" spans="1:2" x14ac:dyDescent="0.35">
      <c r="A335">
        <v>65</v>
      </c>
      <c r="B335">
        <v>1</v>
      </c>
    </row>
    <row r="336" spans="1:2" x14ac:dyDescent="0.35">
      <c r="A336">
        <v>65</v>
      </c>
      <c r="B336">
        <v>1</v>
      </c>
    </row>
    <row r="337" spans="1:2" x14ac:dyDescent="0.35">
      <c r="A337">
        <v>65</v>
      </c>
      <c r="B337">
        <v>1</v>
      </c>
    </row>
    <row r="338" spans="1:2" x14ac:dyDescent="0.35">
      <c r="A338">
        <v>65</v>
      </c>
      <c r="B338">
        <v>1</v>
      </c>
    </row>
    <row r="339" spans="1:2" x14ac:dyDescent="0.35">
      <c r="A339">
        <v>65</v>
      </c>
      <c r="B339">
        <v>1</v>
      </c>
    </row>
    <row r="340" spans="1:2" x14ac:dyDescent="0.35">
      <c r="A340">
        <v>65</v>
      </c>
      <c r="B340">
        <v>1</v>
      </c>
    </row>
    <row r="341" spans="1:2" x14ac:dyDescent="0.35">
      <c r="A341">
        <v>65</v>
      </c>
      <c r="B341">
        <v>1</v>
      </c>
    </row>
    <row r="342" spans="1:2" x14ac:dyDescent="0.35">
      <c r="A342">
        <v>65</v>
      </c>
      <c r="B342">
        <v>1</v>
      </c>
    </row>
    <row r="343" spans="1:2" x14ac:dyDescent="0.35">
      <c r="A343">
        <v>65</v>
      </c>
      <c r="B343">
        <v>1</v>
      </c>
    </row>
    <row r="344" spans="1:2" x14ac:dyDescent="0.35">
      <c r="A344">
        <v>65</v>
      </c>
      <c r="B344">
        <v>1</v>
      </c>
    </row>
    <row r="345" spans="1:2" x14ac:dyDescent="0.35">
      <c r="A345">
        <v>65</v>
      </c>
      <c r="B345">
        <v>1</v>
      </c>
    </row>
    <row r="346" spans="1:2" x14ac:dyDescent="0.35">
      <c r="A346">
        <v>65</v>
      </c>
      <c r="B346">
        <v>1</v>
      </c>
    </row>
    <row r="347" spans="1:2" x14ac:dyDescent="0.35">
      <c r="A347">
        <v>65</v>
      </c>
      <c r="B347">
        <v>1</v>
      </c>
    </row>
    <row r="348" spans="1:2" x14ac:dyDescent="0.35">
      <c r="A348">
        <v>65</v>
      </c>
      <c r="B348">
        <v>1</v>
      </c>
    </row>
    <row r="349" spans="1:2" x14ac:dyDescent="0.35">
      <c r="A349">
        <v>65</v>
      </c>
      <c r="B349">
        <v>1</v>
      </c>
    </row>
    <row r="350" spans="1:2" x14ac:dyDescent="0.35">
      <c r="A350">
        <v>65</v>
      </c>
      <c r="B350">
        <v>1</v>
      </c>
    </row>
    <row r="351" spans="1:2" x14ac:dyDescent="0.35">
      <c r="A351">
        <v>65</v>
      </c>
      <c r="B351">
        <v>1</v>
      </c>
    </row>
    <row r="352" spans="1:2" x14ac:dyDescent="0.35">
      <c r="A352">
        <v>65</v>
      </c>
      <c r="B352">
        <v>1</v>
      </c>
    </row>
    <row r="353" spans="1:2" x14ac:dyDescent="0.35">
      <c r="A353">
        <v>65</v>
      </c>
      <c r="B353">
        <v>1</v>
      </c>
    </row>
    <row r="354" spans="1:2" x14ac:dyDescent="0.35">
      <c r="A354">
        <v>65</v>
      </c>
      <c r="B354">
        <v>1</v>
      </c>
    </row>
    <row r="355" spans="1:2" x14ac:dyDescent="0.35">
      <c r="A355">
        <v>65</v>
      </c>
      <c r="B355">
        <v>1</v>
      </c>
    </row>
    <row r="356" spans="1:2" x14ac:dyDescent="0.35">
      <c r="A356">
        <v>65</v>
      </c>
      <c r="B356">
        <v>1</v>
      </c>
    </row>
    <row r="357" spans="1:2" x14ac:dyDescent="0.35">
      <c r="A357">
        <v>65</v>
      </c>
      <c r="B357">
        <v>1</v>
      </c>
    </row>
    <row r="358" spans="1:2" x14ac:dyDescent="0.35">
      <c r="A358">
        <v>65</v>
      </c>
      <c r="B358">
        <v>1</v>
      </c>
    </row>
    <row r="359" spans="1:2" x14ac:dyDescent="0.35">
      <c r="A359">
        <v>65</v>
      </c>
      <c r="B359">
        <v>1</v>
      </c>
    </row>
    <row r="360" spans="1:2" x14ac:dyDescent="0.35">
      <c r="A360">
        <v>65</v>
      </c>
      <c r="B360">
        <v>1</v>
      </c>
    </row>
    <row r="361" spans="1:2" x14ac:dyDescent="0.35">
      <c r="A361">
        <v>65</v>
      </c>
      <c r="B361">
        <v>1</v>
      </c>
    </row>
    <row r="362" spans="1:2" x14ac:dyDescent="0.35">
      <c r="A362">
        <v>65</v>
      </c>
      <c r="B362">
        <v>1</v>
      </c>
    </row>
    <row r="363" spans="1:2" x14ac:dyDescent="0.35">
      <c r="A363">
        <v>65</v>
      </c>
      <c r="B363">
        <v>1</v>
      </c>
    </row>
    <row r="364" spans="1:2" x14ac:dyDescent="0.35">
      <c r="A364">
        <v>65</v>
      </c>
      <c r="B364">
        <v>1</v>
      </c>
    </row>
    <row r="365" spans="1:2" x14ac:dyDescent="0.35">
      <c r="A365">
        <v>65</v>
      </c>
      <c r="B365">
        <v>1</v>
      </c>
    </row>
    <row r="366" spans="1:2" x14ac:dyDescent="0.35">
      <c r="A366">
        <v>65</v>
      </c>
      <c r="B366">
        <v>1</v>
      </c>
    </row>
    <row r="367" spans="1:2" x14ac:dyDescent="0.35">
      <c r="A367">
        <v>65</v>
      </c>
      <c r="B367">
        <v>1</v>
      </c>
    </row>
    <row r="368" spans="1:2" x14ac:dyDescent="0.35">
      <c r="A368">
        <v>65</v>
      </c>
      <c r="B368">
        <v>1</v>
      </c>
    </row>
    <row r="369" spans="1:2" x14ac:dyDescent="0.35">
      <c r="A369">
        <v>65</v>
      </c>
      <c r="B369">
        <v>1</v>
      </c>
    </row>
    <row r="370" spans="1:2" x14ac:dyDescent="0.35">
      <c r="A370">
        <v>65</v>
      </c>
      <c r="B370">
        <v>1</v>
      </c>
    </row>
    <row r="371" spans="1:2" x14ac:dyDescent="0.35">
      <c r="A371">
        <v>65</v>
      </c>
      <c r="B371">
        <v>1</v>
      </c>
    </row>
    <row r="372" spans="1:2" x14ac:dyDescent="0.35">
      <c r="A372">
        <v>65</v>
      </c>
      <c r="B372">
        <v>1</v>
      </c>
    </row>
    <row r="373" spans="1:2" x14ac:dyDescent="0.35">
      <c r="A373">
        <v>65</v>
      </c>
      <c r="B373">
        <v>1</v>
      </c>
    </row>
    <row r="374" spans="1:2" x14ac:dyDescent="0.35">
      <c r="A374">
        <v>65</v>
      </c>
      <c r="B374">
        <v>1</v>
      </c>
    </row>
    <row r="375" spans="1:2" x14ac:dyDescent="0.35">
      <c r="A375">
        <v>65</v>
      </c>
      <c r="B375">
        <v>1</v>
      </c>
    </row>
    <row r="376" spans="1:2" x14ac:dyDescent="0.35">
      <c r="A376">
        <v>65</v>
      </c>
      <c r="B376">
        <v>1</v>
      </c>
    </row>
    <row r="377" spans="1:2" x14ac:dyDescent="0.35">
      <c r="A377">
        <v>66</v>
      </c>
      <c r="B377">
        <v>1</v>
      </c>
    </row>
    <row r="378" spans="1:2" x14ac:dyDescent="0.35">
      <c r="A378">
        <v>66</v>
      </c>
      <c r="B378">
        <v>1</v>
      </c>
    </row>
    <row r="379" spans="1:2" x14ac:dyDescent="0.35">
      <c r="A379">
        <v>66</v>
      </c>
      <c r="B379">
        <v>1</v>
      </c>
    </row>
    <row r="380" spans="1:2" x14ac:dyDescent="0.35">
      <c r="A380">
        <v>66</v>
      </c>
      <c r="B380">
        <v>1</v>
      </c>
    </row>
    <row r="381" spans="1:2" x14ac:dyDescent="0.35">
      <c r="A381">
        <v>66</v>
      </c>
      <c r="B381">
        <v>1</v>
      </c>
    </row>
    <row r="382" spans="1:2" x14ac:dyDescent="0.35">
      <c r="A382">
        <v>66</v>
      </c>
      <c r="B382">
        <v>1</v>
      </c>
    </row>
    <row r="383" spans="1:2" x14ac:dyDescent="0.35">
      <c r="A383">
        <v>66</v>
      </c>
      <c r="B383">
        <v>1</v>
      </c>
    </row>
    <row r="384" spans="1:2" x14ac:dyDescent="0.35">
      <c r="A384">
        <v>66</v>
      </c>
      <c r="B384">
        <v>1</v>
      </c>
    </row>
    <row r="385" spans="1:2" x14ac:dyDescent="0.35">
      <c r="A385">
        <v>66</v>
      </c>
      <c r="B385">
        <v>1</v>
      </c>
    </row>
    <row r="386" spans="1:2" x14ac:dyDescent="0.35">
      <c r="A386">
        <v>66</v>
      </c>
      <c r="B386">
        <v>1</v>
      </c>
    </row>
    <row r="387" spans="1:2" x14ac:dyDescent="0.35">
      <c r="A387">
        <v>66</v>
      </c>
      <c r="B387">
        <v>1</v>
      </c>
    </row>
    <row r="388" spans="1:2" x14ac:dyDescent="0.35">
      <c r="A388">
        <v>66</v>
      </c>
      <c r="B388">
        <v>1</v>
      </c>
    </row>
    <row r="389" spans="1:2" x14ac:dyDescent="0.35">
      <c r="A389">
        <v>66</v>
      </c>
      <c r="B389">
        <v>1</v>
      </c>
    </row>
    <row r="390" spans="1:2" x14ac:dyDescent="0.35">
      <c r="A390">
        <v>66</v>
      </c>
      <c r="B390">
        <v>1</v>
      </c>
    </row>
    <row r="391" spans="1:2" x14ac:dyDescent="0.35">
      <c r="A391">
        <v>66</v>
      </c>
      <c r="B391">
        <v>1</v>
      </c>
    </row>
    <row r="392" spans="1:2" x14ac:dyDescent="0.35">
      <c r="A392">
        <v>66</v>
      </c>
      <c r="B392">
        <v>1</v>
      </c>
    </row>
    <row r="393" spans="1:2" x14ac:dyDescent="0.35">
      <c r="A393">
        <v>66</v>
      </c>
      <c r="B393">
        <v>1</v>
      </c>
    </row>
    <row r="394" spans="1:2" x14ac:dyDescent="0.35">
      <c r="A394">
        <v>66</v>
      </c>
      <c r="B394">
        <v>1</v>
      </c>
    </row>
    <row r="395" spans="1:2" x14ac:dyDescent="0.35">
      <c r="A395">
        <v>66</v>
      </c>
      <c r="B395">
        <v>1</v>
      </c>
    </row>
    <row r="396" spans="1:2" x14ac:dyDescent="0.35">
      <c r="A396">
        <v>66</v>
      </c>
      <c r="B396">
        <v>1</v>
      </c>
    </row>
    <row r="397" spans="1:2" x14ac:dyDescent="0.35">
      <c r="A397">
        <v>66</v>
      </c>
      <c r="B397">
        <v>1</v>
      </c>
    </row>
    <row r="398" spans="1:2" x14ac:dyDescent="0.35">
      <c r="A398">
        <v>66</v>
      </c>
      <c r="B398">
        <v>1</v>
      </c>
    </row>
    <row r="399" spans="1:2" x14ac:dyDescent="0.35">
      <c r="A399">
        <v>66</v>
      </c>
      <c r="B399">
        <v>1</v>
      </c>
    </row>
    <row r="400" spans="1:2" x14ac:dyDescent="0.35">
      <c r="A400">
        <v>66</v>
      </c>
      <c r="B400">
        <v>1</v>
      </c>
    </row>
    <row r="401" spans="1:2" x14ac:dyDescent="0.35">
      <c r="A401">
        <v>66</v>
      </c>
      <c r="B401">
        <v>1</v>
      </c>
    </row>
    <row r="402" spans="1:2" x14ac:dyDescent="0.35">
      <c r="A402">
        <v>66</v>
      </c>
      <c r="B402">
        <v>1</v>
      </c>
    </row>
    <row r="403" spans="1:2" x14ac:dyDescent="0.35">
      <c r="A403">
        <v>66</v>
      </c>
      <c r="B403">
        <v>1</v>
      </c>
    </row>
    <row r="404" spans="1:2" x14ac:dyDescent="0.35">
      <c r="A404">
        <v>66</v>
      </c>
      <c r="B404">
        <v>1</v>
      </c>
    </row>
    <row r="405" spans="1:2" x14ac:dyDescent="0.35">
      <c r="A405">
        <v>66</v>
      </c>
      <c r="B405">
        <v>1</v>
      </c>
    </row>
    <row r="406" spans="1:2" x14ac:dyDescent="0.35">
      <c r="A406">
        <v>66</v>
      </c>
      <c r="B406">
        <v>1</v>
      </c>
    </row>
    <row r="407" spans="1:2" x14ac:dyDescent="0.35">
      <c r="A407">
        <v>66</v>
      </c>
      <c r="B407">
        <v>1</v>
      </c>
    </row>
    <row r="408" spans="1:2" x14ac:dyDescent="0.35">
      <c r="A408">
        <v>66</v>
      </c>
      <c r="B408">
        <v>1</v>
      </c>
    </row>
    <row r="409" spans="1:2" x14ac:dyDescent="0.35">
      <c r="A409">
        <v>66</v>
      </c>
      <c r="B409">
        <v>1</v>
      </c>
    </row>
    <row r="410" spans="1:2" x14ac:dyDescent="0.35">
      <c r="A410">
        <v>66</v>
      </c>
      <c r="B410">
        <v>1</v>
      </c>
    </row>
    <row r="411" spans="1:2" x14ac:dyDescent="0.35">
      <c r="A411">
        <v>66</v>
      </c>
      <c r="B411">
        <v>1</v>
      </c>
    </row>
    <row r="412" spans="1:2" x14ac:dyDescent="0.35">
      <c r="A412">
        <v>66</v>
      </c>
      <c r="B412">
        <v>1</v>
      </c>
    </row>
    <row r="413" spans="1:2" x14ac:dyDescent="0.35">
      <c r="A413">
        <v>66</v>
      </c>
      <c r="B413">
        <v>1</v>
      </c>
    </row>
    <row r="414" spans="1:2" x14ac:dyDescent="0.35">
      <c r="A414">
        <v>66</v>
      </c>
      <c r="B414">
        <v>1</v>
      </c>
    </row>
    <row r="415" spans="1:2" x14ac:dyDescent="0.35">
      <c r="A415">
        <v>66</v>
      </c>
      <c r="B415">
        <v>1</v>
      </c>
    </row>
    <row r="416" spans="1:2" x14ac:dyDescent="0.35">
      <c r="A416">
        <v>66</v>
      </c>
      <c r="B416">
        <v>1</v>
      </c>
    </row>
    <row r="417" spans="1:2" x14ac:dyDescent="0.35">
      <c r="A417">
        <v>66</v>
      </c>
      <c r="B417">
        <v>1</v>
      </c>
    </row>
    <row r="418" spans="1:2" x14ac:dyDescent="0.35">
      <c r="A418">
        <v>66</v>
      </c>
      <c r="B418">
        <v>1</v>
      </c>
    </row>
    <row r="419" spans="1:2" x14ac:dyDescent="0.35">
      <c r="A419">
        <v>66</v>
      </c>
      <c r="B419">
        <v>1</v>
      </c>
    </row>
    <row r="420" spans="1:2" x14ac:dyDescent="0.35">
      <c r="A420">
        <v>66</v>
      </c>
      <c r="B420">
        <v>1</v>
      </c>
    </row>
    <row r="421" spans="1:2" x14ac:dyDescent="0.35">
      <c r="A421">
        <v>66</v>
      </c>
      <c r="B421">
        <v>1</v>
      </c>
    </row>
    <row r="422" spans="1:2" x14ac:dyDescent="0.35">
      <c r="A422">
        <v>66</v>
      </c>
      <c r="B422">
        <v>1</v>
      </c>
    </row>
    <row r="423" spans="1:2" x14ac:dyDescent="0.35">
      <c r="A423">
        <v>66</v>
      </c>
      <c r="B423">
        <v>1</v>
      </c>
    </row>
    <row r="424" spans="1:2" x14ac:dyDescent="0.35">
      <c r="A424">
        <v>66</v>
      </c>
      <c r="B424">
        <v>1</v>
      </c>
    </row>
    <row r="425" spans="1:2" x14ac:dyDescent="0.35">
      <c r="A425">
        <v>66</v>
      </c>
      <c r="B425">
        <v>1</v>
      </c>
    </row>
    <row r="426" spans="1:2" x14ac:dyDescent="0.35">
      <c r="A426">
        <v>66</v>
      </c>
      <c r="B426">
        <v>1</v>
      </c>
    </row>
    <row r="427" spans="1:2" x14ac:dyDescent="0.35">
      <c r="A427">
        <v>66</v>
      </c>
      <c r="B427">
        <v>1</v>
      </c>
    </row>
    <row r="428" spans="1:2" x14ac:dyDescent="0.35">
      <c r="A428">
        <v>66</v>
      </c>
      <c r="B428">
        <v>1</v>
      </c>
    </row>
    <row r="429" spans="1:2" x14ac:dyDescent="0.35">
      <c r="A429">
        <v>66</v>
      </c>
      <c r="B429">
        <v>1</v>
      </c>
    </row>
    <row r="430" spans="1:2" x14ac:dyDescent="0.35">
      <c r="A430">
        <v>67</v>
      </c>
      <c r="B430">
        <v>1</v>
      </c>
    </row>
    <row r="431" spans="1:2" x14ac:dyDescent="0.35">
      <c r="A431">
        <v>67</v>
      </c>
      <c r="B431">
        <v>1</v>
      </c>
    </row>
    <row r="432" spans="1:2" x14ac:dyDescent="0.35">
      <c r="A432">
        <v>67</v>
      </c>
      <c r="B432">
        <v>1</v>
      </c>
    </row>
    <row r="433" spans="1:2" x14ac:dyDescent="0.35">
      <c r="A433">
        <v>67</v>
      </c>
      <c r="B433">
        <v>1</v>
      </c>
    </row>
    <row r="434" spans="1:2" x14ac:dyDescent="0.35">
      <c r="A434">
        <v>67</v>
      </c>
      <c r="B434">
        <v>1</v>
      </c>
    </row>
    <row r="435" spans="1:2" x14ac:dyDescent="0.35">
      <c r="A435">
        <v>67</v>
      </c>
      <c r="B435">
        <v>1</v>
      </c>
    </row>
    <row r="436" spans="1:2" x14ac:dyDescent="0.35">
      <c r="A436">
        <v>67</v>
      </c>
      <c r="B436">
        <v>1</v>
      </c>
    </row>
    <row r="437" spans="1:2" x14ac:dyDescent="0.35">
      <c r="A437">
        <v>67</v>
      </c>
      <c r="B437">
        <v>1</v>
      </c>
    </row>
    <row r="438" spans="1:2" x14ac:dyDescent="0.35">
      <c r="A438">
        <v>67</v>
      </c>
      <c r="B438">
        <v>1</v>
      </c>
    </row>
    <row r="439" spans="1:2" x14ac:dyDescent="0.35">
      <c r="A439">
        <v>67</v>
      </c>
      <c r="B439">
        <v>1</v>
      </c>
    </row>
    <row r="440" spans="1:2" x14ac:dyDescent="0.35">
      <c r="A440">
        <v>67</v>
      </c>
      <c r="B440">
        <v>1</v>
      </c>
    </row>
    <row r="441" spans="1:2" x14ac:dyDescent="0.35">
      <c r="A441">
        <v>67</v>
      </c>
      <c r="B441">
        <v>1</v>
      </c>
    </row>
    <row r="442" spans="1:2" x14ac:dyDescent="0.35">
      <c r="A442">
        <v>67</v>
      </c>
      <c r="B442">
        <v>1</v>
      </c>
    </row>
    <row r="443" spans="1:2" x14ac:dyDescent="0.35">
      <c r="A443">
        <v>67</v>
      </c>
      <c r="B443">
        <v>1</v>
      </c>
    </row>
    <row r="444" spans="1:2" x14ac:dyDescent="0.35">
      <c r="A444">
        <v>67</v>
      </c>
      <c r="B444">
        <v>1</v>
      </c>
    </row>
    <row r="445" spans="1:2" x14ac:dyDescent="0.35">
      <c r="A445">
        <v>67</v>
      </c>
      <c r="B445">
        <v>1</v>
      </c>
    </row>
    <row r="446" spans="1:2" x14ac:dyDescent="0.35">
      <c r="A446">
        <v>67</v>
      </c>
      <c r="B446">
        <v>1</v>
      </c>
    </row>
    <row r="447" spans="1:2" x14ac:dyDescent="0.35">
      <c r="A447">
        <v>67</v>
      </c>
      <c r="B447">
        <v>1</v>
      </c>
    </row>
    <row r="448" spans="1:2" x14ac:dyDescent="0.35">
      <c r="A448">
        <v>67</v>
      </c>
      <c r="B448">
        <v>1</v>
      </c>
    </row>
    <row r="449" spans="1:2" x14ac:dyDescent="0.35">
      <c r="A449">
        <v>67</v>
      </c>
      <c r="B449">
        <v>1</v>
      </c>
    </row>
    <row r="450" spans="1:2" x14ac:dyDescent="0.35">
      <c r="A450">
        <v>67</v>
      </c>
      <c r="B450">
        <v>1</v>
      </c>
    </row>
    <row r="451" spans="1:2" x14ac:dyDescent="0.35">
      <c r="A451">
        <v>67</v>
      </c>
      <c r="B451">
        <v>1</v>
      </c>
    </row>
    <row r="452" spans="1:2" x14ac:dyDescent="0.35">
      <c r="A452">
        <v>67</v>
      </c>
      <c r="B452">
        <v>1</v>
      </c>
    </row>
    <row r="453" spans="1:2" x14ac:dyDescent="0.35">
      <c r="A453">
        <v>67</v>
      </c>
      <c r="B453">
        <v>1</v>
      </c>
    </row>
    <row r="454" spans="1:2" x14ac:dyDescent="0.35">
      <c r="A454">
        <v>67</v>
      </c>
      <c r="B454">
        <v>1</v>
      </c>
    </row>
    <row r="455" spans="1:2" x14ac:dyDescent="0.35">
      <c r="A455">
        <v>67</v>
      </c>
      <c r="B455">
        <v>1</v>
      </c>
    </row>
    <row r="456" spans="1:2" x14ac:dyDescent="0.35">
      <c r="A456">
        <v>67</v>
      </c>
      <c r="B456">
        <v>1</v>
      </c>
    </row>
    <row r="457" spans="1:2" x14ac:dyDescent="0.35">
      <c r="A457">
        <v>67</v>
      </c>
      <c r="B457">
        <v>1</v>
      </c>
    </row>
    <row r="458" spans="1:2" x14ac:dyDescent="0.35">
      <c r="A458">
        <v>67</v>
      </c>
      <c r="B458">
        <v>1</v>
      </c>
    </row>
    <row r="459" spans="1:2" x14ac:dyDescent="0.35">
      <c r="A459">
        <v>67</v>
      </c>
      <c r="B459">
        <v>1</v>
      </c>
    </row>
    <row r="460" spans="1:2" x14ac:dyDescent="0.35">
      <c r="A460">
        <v>67</v>
      </c>
      <c r="B460">
        <v>1</v>
      </c>
    </row>
    <row r="461" spans="1:2" x14ac:dyDescent="0.35">
      <c r="A461">
        <v>67</v>
      </c>
      <c r="B461">
        <v>1</v>
      </c>
    </row>
    <row r="462" spans="1:2" x14ac:dyDescent="0.35">
      <c r="A462">
        <v>67</v>
      </c>
      <c r="B462">
        <v>1</v>
      </c>
    </row>
    <row r="463" spans="1:2" x14ac:dyDescent="0.35">
      <c r="A463">
        <v>67</v>
      </c>
      <c r="B463">
        <v>1</v>
      </c>
    </row>
    <row r="464" spans="1:2" x14ac:dyDescent="0.35">
      <c r="A464">
        <v>67</v>
      </c>
      <c r="B464">
        <v>1</v>
      </c>
    </row>
    <row r="465" spans="1:2" x14ac:dyDescent="0.35">
      <c r="A465">
        <v>67</v>
      </c>
      <c r="B465">
        <v>1</v>
      </c>
    </row>
    <row r="466" spans="1:2" x14ac:dyDescent="0.35">
      <c r="A466">
        <v>67</v>
      </c>
      <c r="B466">
        <v>1</v>
      </c>
    </row>
    <row r="467" spans="1:2" x14ac:dyDescent="0.35">
      <c r="A467">
        <v>67</v>
      </c>
      <c r="B467">
        <v>1</v>
      </c>
    </row>
    <row r="468" spans="1:2" x14ac:dyDescent="0.35">
      <c r="A468">
        <v>67</v>
      </c>
      <c r="B468">
        <v>1</v>
      </c>
    </row>
    <row r="469" spans="1:2" x14ac:dyDescent="0.35">
      <c r="A469">
        <v>67</v>
      </c>
      <c r="B469">
        <v>1</v>
      </c>
    </row>
    <row r="470" spans="1:2" x14ac:dyDescent="0.35">
      <c r="A470">
        <v>67</v>
      </c>
      <c r="B470">
        <v>1</v>
      </c>
    </row>
    <row r="471" spans="1:2" x14ac:dyDescent="0.35">
      <c r="A471">
        <v>68</v>
      </c>
      <c r="B471">
        <v>1</v>
      </c>
    </row>
    <row r="472" spans="1:2" x14ac:dyDescent="0.35">
      <c r="A472">
        <v>68</v>
      </c>
      <c r="B472">
        <v>1</v>
      </c>
    </row>
    <row r="473" spans="1:2" x14ac:dyDescent="0.35">
      <c r="A473">
        <v>68</v>
      </c>
      <c r="B473">
        <v>1</v>
      </c>
    </row>
    <row r="474" spans="1:2" x14ac:dyDescent="0.35">
      <c r="A474">
        <v>68</v>
      </c>
      <c r="B474">
        <v>1</v>
      </c>
    </row>
    <row r="475" spans="1:2" x14ac:dyDescent="0.35">
      <c r="A475">
        <v>68</v>
      </c>
      <c r="B475">
        <v>1</v>
      </c>
    </row>
    <row r="476" spans="1:2" x14ac:dyDescent="0.35">
      <c r="A476">
        <v>68</v>
      </c>
      <c r="B476">
        <v>1</v>
      </c>
    </row>
    <row r="477" spans="1:2" x14ac:dyDescent="0.35">
      <c r="A477">
        <v>68</v>
      </c>
      <c r="B477">
        <v>1</v>
      </c>
    </row>
    <row r="478" spans="1:2" x14ac:dyDescent="0.35">
      <c r="A478">
        <v>68</v>
      </c>
      <c r="B478">
        <v>1</v>
      </c>
    </row>
    <row r="479" spans="1:2" x14ac:dyDescent="0.35">
      <c r="A479">
        <v>68</v>
      </c>
      <c r="B479">
        <v>1</v>
      </c>
    </row>
    <row r="480" spans="1:2" x14ac:dyDescent="0.35">
      <c r="A480">
        <v>68</v>
      </c>
      <c r="B480">
        <v>1</v>
      </c>
    </row>
    <row r="481" spans="1:2" x14ac:dyDescent="0.35">
      <c r="A481">
        <v>68</v>
      </c>
      <c r="B481">
        <v>1</v>
      </c>
    </row>
    <row r="482" spans="1:2" x14ac:dyDescent="0.35">
      <c r="A482">
        <v>68</v>
      </c>
      <c r="B482">
        <v>1</v>
      </c>
    </row>
    <row r="483" spans="1:2" x14ac:dyDescent="0.35">
      <c r="A483">
        <v>68</v>
      </c>
      <c r="B483">
        <v>1</v>
      </c>
    </row>
    <row r="484" spans="1:2" x14ac:dyDescent="0.35">
      <c r="A484">
        <v>68</v>
      </c>
      <c r="B484">
        <v>1</v>
      </c>
    </row>
    <row r="485" spans="1:2" x14ac:dyDescent="0.35">
      <c r="A485">
        <v>68</v>
      </c>
      <c r="B485">
        <v>1</v>
      </c>
    </row>
    <row r="486" spans="1:2" x14ac:dyDescent="0.35">
      <c r="A486">
        <v>68</v>
      </c>
      <c r="B486">
        <v>1</v>
      </c>
    </row>
    <row r="487" spans="1:2" x14ac:dyDescent="0.35">
      <c r="A487">
        <v>68</v>
      </c>
      <c r="B487">
        <v>1</v>
      </c>
    </row>
    <row r="488" spans="1:2" x14ac:dyDescent="0.35">
      <c r="A488">
        <v>68</v>
      </c>
      <c r="B488">
        <v>1</v>
      </c>
    </row>
    <row r="489" spans="1:2" x14ac:dyDescent="0.35">
      <c r="A489">
        <v>68</v>
      </c>
      <c r="B489">
        <v>1</v>
      </c>
    </row>
    <row r="490" spans="1:2" x14ac:dyDescent="0.35">
      <c r="A490">
        <v>68</v>
      </c>
      <c r="B490">
        <v>1</v>
      </c>
    </row>
    <row r="491" spans="1:2" x14ac:dyDescent="0.35">
      <c r="A491">
        <v>68</v>
      </c>
      <c r="B491">
        <v>1</v>
      </c>
    </row>
    <row r="492" spans="1:2" x14ac:dyDescent="0.35">
      <c r="A492">
        <v>68</v>
      </c>
      <c r="B492">
        <v>1</v>
      </c>
    </row>
    <row r="493" spans="1:2" x14ac:dyDescent="0.35">
      <c r="A493">
        <v>68</v>
      </c>
      <c r="B493">
        <v>1</v>
      </c>
    </row>
    <row r="494" spans="1:2" x14ac:dyDescent="0.35">
      <c r="A494">
        <v>68</v>
      </c>
      <c r="B494">
        <v>1</v>
      </c>
    </row>
    <row r="495" spans="1:2" x14ac:dyDescent="0.35">
      <c r="A495">
        <v>68</v>
      </c>
      <c r="B495">
        <v>1</v>
      </c>
    </row>
    <row r="496" spans="1:2" x14ac:dyDescent="0.35">
      <c r="A496">
        <v>68</v>
      </c>
      <c r="B496">
        <v>1</v>
      </c>
    </row>
    <row r="497" spans="1:2" x14ac:dyDescent="0.35">
      <c r="A497">
        <v>68</v>
      </c>
      <c r="B497">
        <v>1</v>
      </c>
    </row>
    <row r="498" spans="1:2" x14ac:dyDescent="0.35">
      <c r="A498">
        <v>68</v>
      </c>
      <c r="B498">
        <v>1</v>
      </c>
    </row>
    <row r="499" spans="1:2" x14ac:dyDescent="0.35">
      <c r="A499">
        <v>68</v>
      </c>
      <c r="B499">
        <v>1</v>
      </c>
    </row>
    <row r="500" spans="1:2" x14ac:dyDescent="0.35">
      <c r="A500">
        <v>68</v>
      </c>
      <c r="B500">
        <v>1</v>
      </c>
    </row>
    <row r="501" spans="1:2" x14ac:dyDescent="0.35">
      <c r="A501">
        <v>68</v>
      </c>
      <c r="B501">
        <v>1</v>
      </c>
    </row>
    <row r="502" spans="1:2" x14ac:dyDescent="0.35">
      <c r="A502">
        <v>68</v>
      </c>
      <c r="B502">
        <v>1</v>
      </c>
    </row>
    <row r="503" spans="1:2" x14ac:dyDescent="0.35">
      <c r="A503">
        <v>68</v>
      </c>
      <c r="B503">
        <v>1</v>
      </c>
    </row>
    <row r="504" spans="1:2" x14ac:dyDescent="0.35">
      <c r="A504">
        <v>68</v>
      </c>
      <c r="B504">
        <v>1</v>
      </c>
    </row>
    <row r="505" spans="1:2" x14ac:dyDescent="0.35">
      <c r="A505">
        <v>68</v>
      </c>
      <c r="B505">
        <v>1</v>
      </c>
    </row>
    <row r="506" spans="1:2" x14ac:dyDescent="0.35">
      <c r="A506">
        <v>68</v>
      </c>
      <c r="B506">
        <v>1</v>
      </c>
    </row>
    <row r="507" spans="1:2" x14ac:dyDescent="0.35">
      <c r="A507">
        <v>68</v>
      </c>
      <c r="B507">
        <v>1</v>
      </c>
    </row>
    <row r="508" spans="1:2" x14ac:dyDescent="0.35">
      <c r="A508">
        <v>68</v>
      </c>
      <c r="B508">
        <v>1</v>
      </c>
    </row>
    <row r="509" spans="1:2" x14ac:dyDescent="0.35">
      <c r="A509">
        <v>68</v>
      </c>
      <c r="B509">
        <v>1</v>
      </c>
    </row>
    <row r="510" spans="1:2" x14ac:dyDescent="0.35">
      <c r="A510">
        <v>68</v>
      </c>
      <c r="B510">
        <v>1</v>
      </c>
    </row>
    <row r="511" spans="1:2" x14ac:dyDescent="0.35">
      <c r="A511">
        <v>68</v>
      </c>
      <c r="B511">
        <v>1</v>
      </c>
    </row>
    <row r="512" spans="1:2" x14ac:dyDescent="0.35">
      <c r="A512">
        <v>68</v>
      </c>
      <c r="B512">
        <v>1</v>
      </c>
    </row>
    <row r="513" spans="1:2" x14ac:dyDescent="0.35">
      <c r="A513">
        <v>68</v>
      </c>
      <c r="B513">
        <v>1</v>
      </c>
    </row>
    <row r="514" spans="1:2" x14ac:dyDescent="0.35">
      <c r="A514">
        <v>68</v>
      </c>
      <c r="B514">
        <v>1</v>
      </c>
    </row>
    <row r="515" spans="1:2" x14ac:dyDescent="0.35">
      <c r="A515">
        <v>68</v>
      </c>
      <c r="B515">
        <v>1</v>
      </c>
    </row>
    <row r="516" spans="1:2" x14ac:dyDescent="0.35">
      <c r="A516">
        <v>68</v>
      </c>
      <c r="B516">
        <v>1</v>
      </c>
    </row>
    <row r="517" spans="1:2" x14ac:dyDescent="0.35">
      <c r="A517">
        <v>68</v>
      </c>
      <c r="B517">
        <v>1</v>
      </c>
    </row>
    <row r="518" spans="1:2" x14ac:dyDescent="0.35">
      <c r="A518">
        <v>68</v>
      </c>
      <c r="B518">
        <v>1</v>
      </c>
    </row>
    <row r="519" spans="1:2" x14ac:dyDescent="0.35">
      <c r="A519">
        <v>68</v>
      </c>
      <c r="B519">
        <v>1</v>
      </c>
    </row>
    <row r="520" spans="1:2" x14ac:dyDescent="0.35">
      <c r="A520">
        <v>68</v>
      </c>
      <c r="B520">
        <v>1</v>
      </c>
    </row>
    <row r="521" spans="1:2" x14ac:dyDescent="0.35">
      <c r="A521">
        <v>68</v>
      </c>
      <c r="B521">
        <v>1</v>
      </c>
    </row>
    <row r="522" spans="1:2" x14ac:dyDescent="0.35">
      <c r="A522">
        <v>68</v>
      </c>
      <c r="B522">
        <v>1</v>
      </c>
    </row>
    <row r="523" spans="1:2" x14ac:dyDescent="0.35">
      <c r="A523">
        <v>68</v>
      </c>
      <c r="B523">
        <v>1</v>
      </c>
    </row>
    <row r="524" spans="1:2" x14ac:dyDescent="0.35">
      <c r="A524">
        <v>69</v>
      </c>
      <c r="B524">
        <v>1</v>
      </c>
    </row>
    <row r="525" spans="1:2" x14ac:dyDescent="0.35">
      <c r="A525">
        <v>69</v>
      </c>
      <c r="B525">
        <v>1</v>
      </c>
    </row>
    <row r="526" spans="1:2" x14ac:dyDescent="0.35">
      <c r="A526">
        <v>69</v>
      </c>
      <c r="B526">
        <v>1</v>
      </c>
    </row>
    <row r="527" spans="1:2" x14ac:dyDescent="0.35">
      <c r="A527">
        <v>69</v>
      </c>
      <c r="B527">
        <v>1</v>
      </c>
    </row>
    <row r="528" spans="1:2" x14ac:dyDescent="0.35">
      <c r="A528">
        <v>69</v>
      </c>
      <c r="B528">
        <v>1</v>
      </c>
    </row>
    <row r="529" spans="1:2" x14ac:dyDescent="0.35">
      <c r="A529">
        <v>69</v>
      </c>
      <c r="B529">
        <v>1</v>
      </c>
    </row>
    <row r="530" spans="1:2" x14ac:dyDescent="0.35">
      <c r="A530">
        <v>69</v>
      </c>
      <c r="B530">
        <v>1</v>
      </c>
    </row>
    <row r="531" spans="1:2" x14ac:dyDescent="0.35">
      <c r="A531">
        <v>69</v>
      </c>
      <c r="B531">
        <v>1</v>
      </c>
    </row>
    <row r="532" spans="1:2" x14ac:dyDescent="0.35">
      <c r="A532">
        <v>69</v>
      </c>
      <c r="B532">
        <v>1</v>
      </c>
    </row>
    <row r="533" spans="1:2" x14ac:dyDescent="0.35">
      <c r="A533">
        <v>69</v>
      </c>
      <c r="B533">
        <v>1</v>
      </c>
    </row>
    <row r="534" spans="1:2" x14ac:dyDescent="0.35">
      <c r="A534">
        <v>69</v>
      </c>
      <c r="B534">
        <v>1</v>
      </c>
    </row>
    <row r="535" spans="1:2" x14ac:dyDescent="0.35">
      <c r="A535">
        <v>69</v>
      </c>
      <c r="B535">
        <v>1</v>
      </c>
    </row>
    <row r="536" spans="1:2" x14ac:dyDescent="0.35">
      <c r="A536">
        <v>69</v>
      </c>
      <c r="B536">
        <v>1</v>
      </c>
    </row>
    <row r="537" spans="1:2" x14ac:dyDescent="0.35">
      <c r="A537">
        <v>69</v>
      </c>
      <c r="B537">
        <v>1</v>
      </c>
    </row>
    <row r="538" spans="1:2" x14ac:dyDescent="0.35">
      <c r="A538">
        <v>69</v>
      </c>
      <c r="B538">
        <v>1</v>
      </c>
    </row>
    <row r="539" spans="1:2" x14ac:dyDescent="0.35">
      <c r="A539">
        <v>69</v>
      </c>
      <c r="B539">
        <v>1</v>
      </c>
    </row>
    <row r="540" spans="1:2" x14ac:dyDescent="0.35">
      <c r="A540">
        <v>69</v>
      </c>
      <c r="B540">
        <v>1</v>
      </c>
    </row>
    <row r="541" spans="1:2" x14ac:dyDescent="0.35">
      <c r="A541">
        <v>69</v>
      </c>
      <c r="B541">
        <v>1</v>
      </c>
    </row>
    <row r="542" spans="1:2" x14ac:dyDescent="0.35">
      <c r="A542">
        <v>69</v>
      </c>
      <c r="B542">
        <v>1</v>
      </c>
    </row>
    <row r="543" spans="1:2" x14ac:dyDescent="0.35">
      <c r="A543">
        <v>69</v>
      </c>
      <c r="B543">
        <v>1</v>
      </c>
    </row>
    <row r="544" spans="1:2" x14ac:dyDescent="0.35">
      <c r="A544">
        <v>69</v>
      </c>
      <c r="B544">
        <v>1</v>
      </c>
    </row>
    <row r="545" spans="1:2" x14ac:dyDescent="0.35">
      <c r="A545">
        <v>69</v>
      </c>
      <c r="B545">
        <v>1</v>
      </c>
    </row>
    <row r="546" spans="1:2" x14ac:dyDescent="0.35">
      <c r="A546">
        <v>69</v>
      </c>
      <c r="B546">
        <v>1</v>
      </c>
    </row>
    <row r="547" spans="1:2" x14ac:dyDescent="0.35">
      <c r="A547">
        <v>69</v>
      </c>
      <c r="B547">
        <v>1</v>
      </c>
    </row>
    <row r="548" spans="1:2" x14ac:dyDescent="0.35">
      <c r="A548">
        <v>69</v>
      </c>
      <c r="B548">
        <v>1</v>
      </c>
    </row>
    <row r="549" spans="1:2" x14ac:dyDescent="0.35">
      <c r="A549">
        <v>69</v>
      </c>
      <c r="B549">
        <v>1</v>
      </c>
    </row>
    <row r="550" spans="1:2" x14ac:dyDescent="0.35">
      <c r="A550">
        <v>69</v>
      </c>
      <c r="B550">
        <v>1</v>
      </c>
    </row>
    <row r="551" spans="1:2" x14ac:dyDescent="0.35">
      <c r="A551">
        <v>69</v>
      </c>
      <c r="B551">
        <v>1</v>
      </c>
    </row>
    <row r="552" spans="1:2" x14ac:dyDescent="0.35">
      <c r="A552">
        <v>69</v>
      </c>
      <c r="B552">
        <v>1</v>
      </c>
    </row>
    <row r="553" spans="1:2" x14ac:dyDescent="0.35">
      <c r="A553">
        <v>69</v>
      </c>
      <c r="B553">
        <v>1</v>
      </c>
    </row>
    <row r="554" spans="1:2" x14ac:dyDescent="0.35">
      <c r="A554">
        <v>69</v>
      </c>
      <c r="B554">
        <v>1</v>
      </c>
    </row>
    <row r="555" spans="1:2" x14ac:dyDescent="0.35">
      <c r="A555">
        <v>69</v>
      </c>
      <c r="B555">
        <v>1</v>
      </c>
    </row>
    <row r="556" spans="1:2" x14ac:dyDescent="0.35">
      <c r="A556">
        <v>69</v>
      </c>
      <c r="B556">
        <v>1</v>
      </c>
    </row>
    <row r="557" spans="1:2" x14ac:dyDescent="0.35">
      <c r="A557">
        <v>69</v>
      </c>
      <c r="B557">
        <v>1</v>
      </c>
    </row>
    <row r="558" spans="1:2" x14ac:dyDescent="0.35">
      <c r="A558">
        <v>69</v>
      </c>
      <c r="B558">
        <v>1</v>
      </c>
    </row>
    <row r="559" spans="1:2" x14ac:dyDescent="0.35">
      <c r="A559">
        <v>69</v>
      </c>
      <c r="B559">
        <v>1</v>
      </c>
    </row>
    <row r="560" spans="1:2" x14ac:dyDescent="0.35">
      <c r="A560">
        <v>69</v>
      </c>
      <c r="B560">
        <v>1</v>
      </c>
    </row>
    <row r="561" spans="1:2" x14ac:dyDescent="0.35">
      <c r="A561">
        <v>70</v>
      </c>
      <c r="B561">
        <v>1</v>
      </c>
    </row>
    <row r="562" spans="1:2" x14ac:dyDescent="0.35">
      <c r="A562">
        <v>70</v>
      </c>
      <c r="B562">
        <v>1</v>
      </c>
    </row>
    <row r="563" spans="1:2" x14ac:dyDescent="0.35">
      <c r="A563">
        <v>70</v>
      </c>
      <c r="B563">
        <v>1</v>
      </c>
    </row>
    <row r="564" spans="1:2" x14ac:dyDescent="0.35">
      <c r="A564">
        <v>70</v>
      </c>
      <c r="B564">
        <v>1</v>
      </c>
    </row>
    <row r="565" spans="1:2" x14ac:dyDescent="0.35">
      <c r="A565">
        <v>70</v>
      </c>
      <c r="B565">
        <v>1</v>
      </c>
    </row>
    <row r="566" spans="1:2" x14ac:dyDescent="0.35">
      <c r="A566">
        <v>70</v>
      </c>
      <c r="B566">
        <v>1</v>
      </c>
    </row>
    <row r="567" spans="1:2" x14ac:dyDescent="0.35">
      <c r="A567">
        <v>70</v>
      </c>
      <c r="B567">
        <v>1</v>
      </c>
    </row>
    <row r="568" spans="1:2" x14ac:dyDescent="0.35">
      <c r="A568">
        <v>70</v>
      </c>
      <c r="B568">
        <v>1</v>
      </c>
    </row>
    <row r="569" spans="1:2" x14ac:dyDescent="0.35">
      <c r="A569">
        <v>70</v>
      </c>
      <c r="B569">
        <v>1</v>
      </c>
    </row>
    <row r="570" spans="1:2" x14ac:dyDescent="0.35">
      <c r="A570">
        <v>70</v>
      </c>
      <c r="B570">
        <v>1</v>
      </c>
    </row>
    <row r="571" spans="1:2" x14ac:dyDescent="0.35">
      <c r="A571">
        <v>70</v>
      </c>
      <c r="B571">
        <v>1</v>
      </c>
    </row>
    <row r="572" spans="1:2" x14ac:dyDescent="0.35">
      <c r="A572">
        <v>70</v>
      </c>
      <c r="B572">
        <v>1</v>
      </c>
    </row>
    <row r="573" spans="1:2" x14ac:dyDescent="0.35">
      <c r="A573">
        <v>70</v>
      </c>
      <c r="B573">
        <v>1</v>
      </c>
    </row>
    <row r="574" spans="1:2" x14ac:dyDescent="0.35">
      <c r="A574">
        <v>70</v>
      </c>
      <c r="B574">
        <v>1</v>
      </c>
    </row>
    <row r="575" spans="1:2" x14ac:dyDescent="0.35">
      <c r="A575">
        <v>70</v>
      </c>
      <c r="B575">
        <v>1</v>
      </c>
    </row>
    <row r="576" spans="1:2" x14ac:dyDescent="0.35">
      <c r="A576">
        <v>70</v>
      </c>
      <c r="B576">
        <v>1</v>
      </c>
    </row>
    <row r="577" spans="1:2" x14ac:dyDescent="0.35">
      <c r="A577">
        <v>70</v>
      </c>
      <c r="B577">
        <v>1</v>
      </c>
    </row>
    <row r="578" spans="1:2" x14ac:dyDescent="0.35">
      <c r="A578">
        <v>70</v>
      </c>
      <c r="B578">
        <v>1</v>
      </c>
    </row>
    <row r="579" spans="1:2" x14ac:dyDescent="0.35">
      <c r="A579">
        <v>70</v>
      </c>
      <c r="B579">
        <v>1</v>
      </c>
    </row>
    <row r="580" spans="1:2" x14ac:dyDescent="0.35">
      <c r="A580">
        <v>70</v>
      </c>
      <c r="B580">
        <v>1</v>
      </c>
    </row>
    <row r="581" spans="1:2" x14ac:dyDescent="0.35">
      <c r="A581">
        <v>70</v>
      </c>
      <c r="B581">
        <v>1</v>
      </c>
    </row>
    <row r="582" spans="1:2" x14ac:dyDescent="0.35">
      <c r="A582">
        <v>70</v>
      </c>
      <c r="B582">
        <v>1</v>
      </c>
    </row>
    <row r="583" spans="1:2" x14ac:dyDescent="0.35">
      <c r="A583">
        <v>70</v>
      </c>
      <c r="B583">
        <v>1</v>
      </c>
    </row>
    <row r="584" spans="1:2" x14ac:dyDescent="0.35">
      <c r="A584">
        <v>70</v>
      </c>
      <c r="B584">
        <v>1</v>
      </c>
    </row>
    <row r="585" spans="1:2" x14ac:dyDescent="0.35">
      <c r="A585">
        <v>70</v>
      </c>
      <c r="B585">
        <v>1</v>
      </c>
    </row>
    <row r="586" spans="1:2" x14ac:dyDescent="0.35">
      <c r="A586">
        <v>70</v>
      </c>
      <c r="B586">
        <v>1</v>
      </c>
    </row>
    <row r="587" spans="1:2" x14ac:dyDescent="0.35">
      <c r="A587">
        <v>70</v>
      </c>
      <c r="B587">
        <v>1</v>
      </c>
    </row>
    <row r="588" spans="1:2" x14ac:dyDescent="0.35">
      <c r="A588">
        <v>70</v>
      </c>
      <c r="B588">
        <v>1</v>
      </c>
    </row>
    <row r="589" spans="1:2" x14ac:dyDescent="0.35">
      <c r="A589">
        <v>70</v>
      </c>
      <c r="B589">
        <v>1</v>
      </c>
    </row>
    <row r="590" spans="1:2" x14ac:dyDescent="0.35">
      <c r="A590">
        <v>70</v>
      </c>
      <c r="B590">
        <v>1</v>
      </c>
    </row>
    <row r="591" spans="1:2" x14ac:dyDescent="0.35">
      <c r="A591">
        <v>70</v>
      </c>
      <c r="B591">
        <v>1</v>
      </c>
    </row>
    <row r="592" spans="1:2" x14ac:dyDescent="0.35">
      <c r="A592">
        <v>70</v>
      </c>
      <c r="B592">
        <v>1</v>
      </c>
    </row>
    <row r="593" spans="1:2" x14ac:dyDescent="0.35">
      <c r="A593">
        <v>70</v>
      </c>
      <c r="B593">
        <v>1</v>
      </c>
    </row>
    <row r="594" spans="1:2" x14ac:dyDescent="0.35">
      <c r="A594">
        <v>70</v>
      </c>
      <c r="B594">
        <v>1</v>
      </c>
    </row>
    <row r="595" spans="1:2" x14ac:dyDescent="0.35">
      <c r="A595">
        <v>70</v>
      </c>
      <c r="B595">
        <v>1</v>
      </c>
    </row>
    <row r="596" spans="1:2" x14ac:dyDescent="0.35">
      <c r="A596">
        <v>70</v>
      </c>
      <c r="B596">
        <v>1</v>
      </c>
    </row>
    <row r="597" spans="1:2" x14ac:dyDescent="0.35">
      <c r="A597">
        <v>70</v>
      </c>
      <c r="B597">
        <v>1</v>
      </c>
    </row>
    <row r="598" spans="1:2" x14ac:dyDescent="0.35">
      <c r="A598">
        <v>70</v>
      </c>
      <c r="B598">
        <v>1</v>
      </c>
    </row>
    <row r="599" spans="1:2" x14ac:dyDescent="0.35">
      <c r="A599">
        <v>70</v>
      </c>
      <c r="B599">
        <v>1</v>
      </c>
    </row>
    <row r="600" spans="1:2" x14ac:dyDescent="0.35">
      <c r="A600">
        <v>70</v>
      </c>
      <c r="B600">
        <v>1</v>
      </c>
    </row>
    <row r="601" spans="1:2" x14ac:dyDescent="0.35">
      <c r="A601">
        <v>70</v>
      </c>
      <c r="B601">
        <v>1</v>
      </c>
    </row>
    <row r="602" spans="1:2" x14ac:dyDescent="0.35">
      <c r="A602">
        <v>70</v>
      </c>
      <c r="B602">
        <v>1</v>
      </c>
    </row>
    <row r="603" spans="1:2" x14ac:dyDescent="0.35">
      <c r="A603">
        <v>70</v>
      </c>
      <c r="B603">
        <v>1</v>
      </c>
    </row>
    <row r="604" spans="1:2" x14ac:dyDescent="0.35">
      <c r="A604">
        <v>70</v>
      </c>
      <c r="B604">
        <v>1</v>
      </c>
    </row>
    <row r="605" spans="1:2" x14ac:dyDescent="0.35">
      <c r="A605">
        <v>70</v>
      </c>
      <c r="B605">
        <v>1</v>
      </c>
    </row>
    <row r="606" spans="1:2" x14ac:dyDescent="0.35">
      <c r="A606">
        <v>70</v>
      </c>
      <c r="B606">
        <v>1</v>
      </c>
    </row>
    <row r="607" spans="1:2" x14ac:dyDescent="0.35">
      <c r="A607">
        <v>70</v>
      </c>
      <c r="B607">
        <v>1</v>
      </c>
    </row>
    <row r="608" spans="1:2" x14ac:dyDescent="0.35">
      <c r="A608">
        <v>70</v>
      </c>
      <c r="B608">
        <v>1</v>
      </c>
    </row>
    <row r="609" spans="1:2" x14ac:dyDescent="0.35">
      <c r="A609">
        <v>70</v>
      </c>
      <c r="B609">
        <v>1</v>
      </c>
    </row>
    <row r="610" spans="1:2" x14ac:dyDescent="0.35">
      <c r="A610">
        <v>70</v>
      </c>
      <c r="B610">
        <v>1</v>
      </c>
    </row>
    <row r="611" spans="1:2" x14ac:dyDescent="0.35">
      <c r="A611">
        <v>70</v>
      </c>
      <c r="B611">
        <v>1</v>
      </c>
    </row>
    <row r="612" spans="1:2" x14ac:dyDescent="0.35">
      <c r="A612">
        <v>70</v>
      </c>
      <c r="B612">
        <v>1</v>
      </c>
    </row>
    <row r="613" spans="1:2" x14ac:dyDescent="0.35">
      <c r="A613">
        <v>70</v>
      </c>
      <c r="B613">
        <v>1</v>
      </c>
    </row>
    <row r="614" spans="1:2" x14ac:dyDescent="0.35">
      <c r="A614">
        <v>70</v>
      </c>
      <c r="B614">
        <v>1</v>
      </c>
    </row>
    <row r="615" spans="1:2" x14ac:dyDescent="0.35">
      <c r="A615">
        <v>70</v>
      </c>
      <c r="B615">
        <v>1</v>
      </c>
    </row>
    <row r="616" spans="1:2" x14ac:dyDescent="0.35">
      <c r="A616">
        <v>71</v>
      </c>
      <c r="B616">
        <v>1</v>
      </c>
    </row>
    <row r="617" spans="1:2" x14ac:dyDescent="0.35">
      <c r="A617">
        <v>71</v>
      </c>
      <c r="B617">
        <v>1</v>
      </c>
    </row>
    <row r="618" spans="1:2" x14ac:dyDescent="0.35">
      <c r="A618">
        <v>71</v>
      </c>
      <c r="B618">
        <v>1</v>
      </c>
    </row>
    <row r="619" spans="1:2" x14ac:dyDescent="0.35">
      <c r="A619">
        <v>71</v>
      </c>
      <c r="B619">
        <v>1</v>
      </c>
    </row>
    <row r="620" spans="1:2" x14ac:dyDescent="0.35">
      <c r="A620">
        <v>71</v>
      </c>
      <c r="B620">
        <v>1</v>
      </c>
    </row>
    <row r="621" spans="1:2" x14ac:dyDescent="0.35">
      <c r="A621">
        <v>71</v>
      </c>
      <c r="B621">
        <v>1</v>
      </c>
    </row>
    <row r="622" spans="1:2" x14ac:dyDescent="0.35">
      <c r="A622">
        <v>71</v>
      </c>
      <c r="B622">
        <v>1</v>
      </c>
    </row>
    <row r="623" spans="1:2" x14ac:dyDescent="0.35">
      <c r="A623">
        <v>71</v>
      </c>
      <c r="B623">
        <v>1</v>
      </c>
    </row>
    <row r="624" spans="1:2" x14ac:dyDescent="0.35">
      <c r="A624">
        <v>71</v>
      </c>
      <c r="B624">
        <v>1</v>
      </c>
    </row>
    <row r="625" spans="1:2" x14ac:dyDescent="0.35">
      <c r="A625">
        <v>71</v>
      </c>
      <c r="B625">
        <v>1</v>
      </c>
    </row>
    <row r="626" spans="1:2" x14ac:dyDescent="0.35">
      <c r="A626">
        <v>71</v>
      </c>
      <c r="B626">
        <v>1</v>
      </c>
    </row>
    <row r="627" spans="1:2" x14ac:dyDescent="0.35">
      <c r="A627">
        <v>71</v>
      </c>
      <c r="B627">
        <v>1</v>
      </c>
    </row>
    <row r="628" spans="1:2" x14ac:dyDescent="0.35">
      <c r="A628">
        <v>71</v>
      </c>
      <c r="B628">
        <v>1</v>
      </c>
    </row>
    <row r="629" spans="1:2" x14ac:dyDescent="0.35">
      <c r="A629">
        <v>71</v>
      </c>
      <c r="B629">
        <v>1</v>
      </c>
    </row>
    <row r="630" spans="1:2" x14ac:dyDescent="0.35">
      <c r="A630">
        <v>71</v>
      </c>
      <c r="B630">
        <v>1</v>
      </c>
    </row>
    <row r="631" spans="1:2" x14ac:dyDescent="0.35">
      <c r="A631">
        <v>71</v>
      </c>
      <c r="B631">
        <v>1</v>
      </c>
    </row>
    <row r="632" spans="1:2" x14ac:dyDescent="0.35">
      <c r="A632">
        <v>71</v>
      </c>
      <c r="B632">
        <v>1</v>
      </c>
    </row>
    <row r="633" spans="1:2" x14ac:dyDescent="0.35">
      <c r="A633">
        <v>71</v>
      </c>
      <c r="B633">
        <v>1</v>
      </c>
    </row>
    <row r="634" spans="1:2" x14ac:dyDescent="0.35">
      <c r="A634">
        <v>71</v>
      </c>
      <c r="B634">
        <v>1</v>
      </c>
    </row>
    <row r="635" spans="1:2" x14ac:dyDescent="0.35">
      <c r="A635">
        <v>71</v>
      </c>
      <c r="B635">
        <v>1</v>
      </c>
    </row>
    <row r="636" spans="1:2" x14ac:dyDescent="0.35">
      <c r="A636">
        <v>71</v>
      </c>
      <c r="B636">
        <v>1</v>
      </c>
    </row>
    <row r="637" spans="1:2" x14ac:dyDescent="0.35">
      <c r="A637">
        <v>71</v>
      </c>
      <c r="B637">
        <v>1</v>
      </c>
    </row>
    <row r="638" spans="1:2" x14ac:dyDescent="0.35">
      <c r="A638">
        <v>71</v>
      </c>
      <c r="B638">
        <v>1</v>
      </c>
    </row>
    <row r="639" spans="1:2" x14ac:dyDescent="0.35">
      <c r="A639">
        <v>71</v>
      </c>
      <c r="B639">
        <v>1</v>
      </c>
    </row>
    <row r="640" spans="1:2" x14ac:dyDescent="0.35">
      <c r="A640">
        <v>71</v>
      </c>
      <c r="B640">
        <v>1</v>
      </c>
    </row>
    <row r="641" spans="1:2" x14ac:dyDescent="0.35">
      <c r="A641">
        <v>71</v>
      </c>
      <c r="B641">
        <v>1</v>
      </c>
    </row>
    <row r="642" spans="1:2" x14ac:dyDescent="0.35">
      <c r="A642">
        <v>71</v>
      </c>
      <c r="B642">
        <v>1</v>
      </c>
    </row>
    <row r="643" spans="1:2" x14ac:dyDescent="0.35">
      <c r="A643">
        <v>72</v>
      </c>
      <c r="B643">
        <v>1</v>
      </c>
    </row>
    <row r="644" spans="1:2" x14ac:dyDescent="0.35">
      <c r="A644">
        <v>72</v>
      </c>
      <c r="B644">
        <v>1</v>
      </c>
    </row>
    <row r="645" spans="1:2" x14ac:dyDescent="0.35">
      <c r="A645">
        <v>72</v>
      </c>
      <c r="B645">
        <v>1</v>
      </c>
    </row>
    <row r="646" spans="1:2" x14ac:dyDescent="0.35">
      <c r="A646">
        <v>72</v>
      </c>
      <c r="B646">
        <v>1</v>
      </c>
    </row>
    <row r="647" spans="1:2" x14ac:dyDescent="0.35">
      <c r="A647">
        <v>72</v>
      </c>
      <c r="B647">
        <v>1</v>
      </c>
    </row>
    <row r="648" spans="1:2" x14ac:dyDescent="0.35">
      <c r="A648">
        <v>72</v>
      </c>
      <c r="B648">
        <v>1</v>
      </c>
    </row>
    <row r="649" spans="1:2" x14ac:dyDescent="0.35">
      <c r="A649">
        <v>72</v>
      </c>
      <c r="B649">
        <v>1</v>
      </c>
    </row>
    <row r="650" spans="1:2" x14ac:dyDescent="0.35">
      <c r="A650">
        <v>72</v>
      </c>
      <c r="B650">
        <v>1</v>
      </c>
    </row>
    <row r="651" spans="1:2" x14ac:dyDescent="0.35">
      <c r="A651">
        <v>72</v>
      </c>
      <c r="B651">
        <v>1</v>
      </c>
    </row>
    <row r="652" spans="1:2" x14ac:dyDescent="0.35">
      <c r="A652">
        <v>72</v>
      </c>
      <c r="B652">
        <v>1</v>
      </c>
    </row>
    <row r="653" spans="1:2" x14ac:dyDescent="0.35">
      <c r="A653">
        <v>72</v>
      </c>
      <c r="B653">
        <v>1</v>
      </c>
    </row>
    <row r="654" spans="1:2" x14ac:dyDescent="0.35">
      <c r="A654">
        <v>72</v>
      </c>
      <c r="B654">
        <v>1</v>
      </c>
    </row>
    <row r="655" spans="1:2" x14ac:dyDescent="0.35">
      <c r="A655">
        <v>72</v>
      </c>
      <c r="B655">
        <v>1</v>
      </c>
    </row>
    <row r="656" spans="1:2" x14ac:dyDescent="0.35">
      <c r="A656">
        <v>72</v>
      </c>
      <c r="B656">
        <v>1</v>
      </c>
    </row>
    <row r="657" spans="1:2" x14ac:dyDescent="0.35">
      <c r="A657">
        <v>72</v>
      </c>
      <c r="B657">
        <v>1</v>
      </c>
    </row>
    <row r="658" spans="1:2" x14ac:dyDescent="0.35">
      <c r="A658">
        <v>72</v>
      </c>
      <c r="B658">
        <v>1</v>
      </c>
    </row>
    <row r="659" spans="1:2" x14ac:dyDescent="0.35">
      <c r="A659">
        <v>72</v>
      </c>
      <c r="B659">
        <v>1</v>
      </c>
    </row>
    <row r="660" spans="1:2" x14ac:dyDescent="0.35">
      <c r="A660">
        <v>72</v>
      </c>
      <c r="B660">
        <v>1</v>
      </c>
    </row>
    <row r="661" spans="1:2" x14ac:dyDescent="0.35">
      <c r="A661">
        <v>72</v>
      </c>
      <c r="B661">
        <v>1</v>
      </c>
    </row>
    <row r="662" spans="1:2" x14ac:dyDescent="0.35">
      <c r="A662">
        <v>72</v>
      </c>
      <c r="B662">
        <v>1</v>
      </c>
    </row>
    <row r="663" spans="1:2" x14ac:dyDescent="0.35">
      <c r="A663">
        <v>72</v>
      </c>
      <c r="B663">
        <v>1</v>
      </c>
    </row>
    <row r="664" spans="1:2" x14ac:dyDescent="0.35">
      <c r="A664">
        <v>72</v>
      </c>
      <c r="B664">
        <v>1</v>
      </c>
    </row>
    <row r="665" spans="1:2" x14ac:dyDescent="0.35">
      <c r="A665">
        <v>72</v>
      </c>
      <c r="B665">
        <v>1</v>
      </c>
    </row>
    <row r="666" spans="1:2" x14ac:dyDescent="0.35">
      <c r="A666">
        <v>72</v>
      </c>
      <c r="B666">
        <v>1</v>
      </c>
    </row>
    <row r="667" spans="1:2" x14ac:dyDescent="0.35">
      <c r="A667">
        <v>72</v>
      </c>
      <c r="B667">
        <v>1</v>
      </c>
    </row>
    <row r="668" spans="1:2" x14ac:dyDescent="0.35">
      <c r="A668">
        <v>72</v>
      </c>
      <c r="B668">
        <v>1</v>
      </c>
    </row>
    <row r="669" spans="1:2" x14ac:dyDescent="0.35">
      <c r="A669">
        <v>72</v>
      </c>
      <c r="B669">
        <v>1</v>
      </c>
    </row>
    <row r="670" spans="1:2" x14ac:dyDescent="0.35">
      <c r="A670">
        <v>72</v>
      </c>
      <c r="B670">
        <v>1</v>
      </c>
    </row>
    <row r="671" spans="1:2" x14ac:dyDescent="0.35">
      <c r="A671">
        <v>72</v>
      </c>
      <c r="B671">
        <v>1</v>
      </c>
    </row>
    <row r="672" spans="1:2" x14ac:dyDescent="0.35">
      <c r="A672">
        <v>72</v>
      </c>
      <c r="B672">
        <v>1</v>
      </c>
    </row>
    <row r="673" spans="1:2" x14ac:dyDescent="0.35">
      <c r="A673">
        <v>72</v>
      </c>
      <c r="B673">
        <v>1</v>
      </c>
    </row>
    <row r="674" spans="1:2" x14ac:dyDescent="0.35">
      <c r="A674">
        <v>72</v>
      </c>
      <c r="B674">
        <v>1</v>
      </c>
    </row>
    <row r="675" spans="1:2" x14ac:dyDescent="0.35">
      <c r="A675">
        <v>72</v>
      </c>
      <c r="B675">
        <v>1</v>
      </c>
    </row>
    <row r="676" spans="1:2" x14ac:dyDescent="0.35">
      <c r="A676">
        <v>72</v>
      </c>
      <c r="B676">
        <v>1</v>
      </c>
    </row>
    <row r="677" spans="1:2" x14ac:dyDescent="0.35">
      <c r="A677">
        <v>72</v>
      </c>
      <c r="B677">
        <v>1</v>
      </c>
    </row>
    <row r="678" spans="1:2" x14ac:dyDescent="0.35">
      <c r="A678">
        <v>72</v>
      </c>
      <c r="B678">
        <v>1</v>
      </c>
    </row>
    <row r="679" spans="1:2" x14ac:dyDescent="0.35">
      <c r="A679">
        <v>72</v>
      </c>
      <c r="B679">
        <v>1</v>
      </c>
    </row>
    <row r="680" spans="1:2" x14ac:dyDescent="0.35">
      <c r="A680">
        <v>72</v>
      </c>
      <c r="B680">
        <v>1</v>
      </c>
    </row>
    <row r="681" spans="1:2" x14ac:dyDescent="0.35">
      <c r="A681">
        <v>72</v>
      </c>
      <c r="B681">
        <v>1</v>
      </c>
    </row>
    <row r="682" spans="1:2" x14ac:dyDescent="0.35">
      <c r="A682">
        <v>72</v>
      </c>
      <c r="B682">
        <v>1</v>
      </c>
    </row>
    <row r="683" spans="1:2" x14ac:dyDescent="0.35">
      <c r="A683">
        <v>72</v>
      </c>
      <c r="B683">
        <v>1</v>
      </c>
    </row>
    <row r="684" spans="1:2" x14ac:dyDescent="0.35">
      <c r="A684">
        <v>72</v>
      </c>
      <c r="B684">
        <v>1</v>
      </c>
    </row>
    <row r="685" spans="1:2" x14ac:dyDescent="0.35">
      <c r="A685">
        <v>72</v>
      </c>
      <c r="B685">
        <v>1</v>
      </c>
    </row>
    <row r="686" spans="1:2" x14ac:dyDescent="0.35">
      <c r="A686">
        <v>72</v>
      </c>
      <c r="B686">
        <v>1</v>
      </c>
    </row>
    <row r="687" spans="1:2" x14ac:dyDescent="0.35">
      <c r="A687">
        <v>72</v>
      </c>
      <c r="B687">
        <v>1</v>
      </c>
    </row>
    <row r="688" spans="1:2" x14ac:dyDescent="0.35">
      <c r="A688">
        <v>72</v>
      </c>
      <c r="B688">
        <v>1</v>
      </c>
    </row>
    <row r="689" spans="1:2" x14ac:dyDescent="0.35">
      <c r="A689">
        <v>72</v>
      </c>
      <c r="B689">
        <v>1</v>
      </c>
    </row>
    <row r="690" spans="1:2" x14ac:dyDescent="0.35">
      <c r="A690">
        <v>72</v>
      </c>
      <c r="B690">
        <v>1</v>
      </c>
    </row>
    <row r="691" spans="1:2" x14ac:dyDescent="0.35">
      <c r="A691">
        <v>72</v>
      </c>
      <c r="B691">
        <v>1</v>
      </c>
    </row>
    <row r="692" spans="1:2" x14ac:dyDescent="0.35">
      <c r="A692">
        <v>72</v>
      </c>
      <c r="B692">
        <v>1</v>
      </c>
    </row>
    <row r="693" spans="1:2" x14ac:dyDescent="0.35">
      <c r="A693">
        <v>72</v>
      </c>
      <c r="B693">
        <v>1</v>
      </c>
    </row>
    <row r="694" spans="1:2" x14ac:dyDescent="0.35">
      <c r="A694">
        <v>72</v>
      </c>
      <c r="B694">
        <v>1</v>
      </c>
    </row>
    <row r="695" spans="1:2" x14ac:dyDescent="0.35">
      <c r="A695">
        <v>72</v>
      </c>
      <c r="B695">
        <v>1</v>
      </c>
    </row>
    <row r="696" spans="1:2" x14ac:dyDescent="0.35">
      <c r="A696">
        <v>72</v>
      </c>
      <c r="B696">
        <v>1</v>
      </c>
    </row>
    <row r="697" spans="1:2" x14ac:dyDescent="0.35">
      <c r="A697">
        <v>72</v>
      </c>
      <c r="B697">
        <v>1</v>
      </c>
    </row>
    <row r="698" spans="1:2" x14ac:dyDescent="0.35">
      <c r="A698">
        <v>73</v>
      </c>
      <c r="B698">
        <v>1</v>
      </c>
    </row>
    <row r="699" spans="1:2" x14ac:dyDescent="0.35">
      <c r="A699">
        <v>73</v>
      </c>
      <c r="B699">
        <v>1</v>
      </c>
    </row>
    <row r="700" spans="1:2" x14ac:dyDescent="0.35">
      <c r="A700">
        <v>73</v>
      </c>
      <c r="B700">
        <v>1</v>
      </c>
    </row>
    <row r="701" spans="1:2" x14ac:dyDescent="0.35">
      <c r="A701">
        <v>73</v>
      </c>
      <c r="B701">
        <v>1</v>
      </c>
    </row>
    <row r="702" spans="1:2" x14ac:dyDescent="0.35">
      <c r="A702">
        <v>73</v>
      </c>
      <c r="B702">
        <v>1</v>
      </c>
    </row>
    <row r="703" spans="1:2" x14ac:dyDescent="0.35">
      <c r="A703">
        <v>73</v>
      </c>
      <c r="B703">
        <v>1</v>
      </c>
    </row>
    <row r="704" spans="1:2" x14ac:dyDescent="0.35">
      <c r="A704">
        <v>73</v>
      </c>
      <c r="B704">
        <v>1</v>
      </c>
    </row>
    <row r="705" spans="1:2" x14ac:dyDescent="0.35">
      <c r="A705">
        <v>73</v>
      </c>
      <c r="B705">
        <v>1</v>
      </c>
    </row>
    <row r="706" spans="1:2" x14ac:dyDescent="0.35">
      <c r="A706">
        <v>73</v>
      </c>
      <c r="B706">
        <v>1</v>
      </c>
    </row>
    <row r="707" spans="1:2" x14ac:dyDescent="0.35">
      <c r="A707">
        <v>73</v>
      </c>
      <c r="B707">
        <v>1</v>
      </c>
    </row>
    <row r="708" spans="1:2" x14ac:dyDescent="0.35">
      <c r="A708">
        <v>73</v>
      </c>
      <c r="B708">
        <v>1</v>
      </c>
    </row>
    <row r="709" spans="1:2" x14ac:dyDescent="0.35">
      <c r="A709">
        <v>73</v>
      </c>
      <c r="B709">
        <v>1</v>
      </c>
    </row>
    <row r="710" spans="1:2" x14ac:dyDescent="0.35">
      <c r="A710">
        <v>73</v>
      </c>
      <c r="B710">
        <v>1</v>
      </c>
    </row>
    <row r="711" spans="1:2" x14ac:dyDescent="0.35">
      <c r="A711">
        <v>73</v>
      </c>
      <c r="B711">
        <v>1</v>
      </c>
    </row>
    <row r="712" spans="1:2" x14ac:dyDescent="0.35">
      <c r="A712">
        <v>73</v>
      </c>
      <c r="B712">
        <v>1</v>
      </c>
    </row>
    <row r="713" spans="1:2" x14ac:dyDescent="0.35">
      <c r="A713">
        <v>73</v>
      </c>
      <c r="B713">
        <v>1</v>
      </c>
    </row>
    <row r="714" spans="1:2" x14ac:dyDescent="0.35">
      <c r="A714">
        <v>73</v>
      </c>
      <c r="B714">
        <v>1</v>
      </c>
    </row>
    <row r="715" spans="1:2" x14ac:dyDescent="0.35">
      <c r="A715">
        <v>73</v>
      </c>
      <c r="B715">
        <v>1</v>
      </c>
    </row>
    <row r="716" spans="1:2" x14ac:dyDescent="0.35">
      <c r="A716">
        <v>73</v>
      </c>
      <c r="B716">
        <v>1</v>
      </c>
    </row>
    <row r="717" spans="1:2" x14ac:dyDescent="0.35">
      <c r="A717">
        <v>73</v>
      </c>
      <c r="B717">
        <v>1</v>
      </c>
    </row>
    <row r="718" spans="1:2" x14ac:dyDescent="0.35">
      <c r="A718">
        <v>73</v>
      </c>
      <c r="B718">
        <v>1</v>
      </c>
    </row>
    <row r="719" spans="1:2" x14ac:dyDescent="0.35">
      <c r="A719">
        <v>73</v>
      </c>
      <c r="B719">
        <v>1</v>
      </c>
    </row>
    <row r="720" spans="1:2" x14ac:dyDescent="0.35">
      <c r="A720">
        <v>73</v>
      </c>
      <c r="B720">
        <v>1</v>
      </c>
    </row>
    <row r="721" spans="1:2" x14ac:dyDescent="0.35">
      <c r="A721">
        <v>73</v>
      </c>
      <c r="B721">
        <v>1</v>
      </c>
    </row>
    <row r="722" spans="1:2" x14ac:dyDescent="0.35">
      <c r="A722">
        <v>73</v>
      </c>
      <c r="B722">
        <v>1</v>
      </c>
    </row>
    <row r="723" spans="1:2" x14ac:dyDescent="0.35">
      <c r="A723">
        <v>73</v>
      </c>
      <c r="B723">
        <v>1</v>
      </c>
    </row>
    <row r="724" spans="1:2" x14ac:dyDescent="0.35">
      <c r="A724">
        <v>73</v>
      </c>
      <c r="B724">
        <v>1</v>
      </c>
    </row>
    <row r="725" spans="1:2" x14ac:dyDescent="0.35">
      <c r="A725">
        <v>73</v>
      </c>
      <c r="B725">
        <v>1</v>
      </c>
    </row>
    <row r="726" spans="1:2" x14ac:dyDescent="0.35">
      <c r="A726">
        <v>73</v>
      </c>
      <c r="B726">
        <v>1</v>
      </c>
    </row>
    <row r="727" spans="1:2" x14ac:dyDescent="0.35">
      <c r="A727">
        <v>73</v>
      </c>
      <c r="B727">
        <v>1</v>
      </c>
    </row>
    <row r="728" spans="1:2" x14ac:dyDescent="0.35">
      <c r="A728">
        <v>73</v>
      </c>
      <c r="B728">
        <v>1</v>
      </c>
    </row>
    <row r="729" spans="1:2" x14ac:dyDescent="0.35">
      <c r="A729">
        <v>73</v>
      </c>
      <c r="B729">
        <v>1</v>
      </c>
    </row>
    <row r="730" spans="1:2" x14ac:dyDescent="0.35">
      <c r="A730">
        <v>73</v>
      </c>
      <c r="B730">
        <v>1</v>
      </c>
    </row>
    <row r="731" spans="1:2" x14ac:dyDescent="0.35">
      <c r="A731">
        <v>73</v>
      </c>
      <c r="B731">
        <v>1</v>
      </c>
    </row>
    <row r="732" spans="1:2" x14ac:dyDescent="0.35">
      <c r="A732">
        <v>73</v>
      </c>
      <c r="B732">
        <v>1</v>
      </c>
    </row>
    <row r="733" spans="1:2" x14ac:dyDescent="0.35">
      <c r="A733">
        <v>73</v>
      </c>
      <c r="B733">
        <v>1</v>
      </c>
    </row>
    <row r="734" spans="1:2" x14ac:dyDescent="0.35">
      <c r="A734">
        <v>73</v>
      </c>
      <c r="B734">
        <v>1</v>
      </c>
    </row>
    <row r="735" spans="1:2" x14ac:dyDescent="0.35">
      <c r="A735">
        <v>73</v>
      </c>
      <c r="B735">
        <v>1</v>
      </c>
    </row>
    <row r="736" spans="1:2" x14ac:dyDescent="0.35">
      <c r="A736">
        <v>73</v>
      </c>
      <c r="B736">
        <v>1</v>
      </c>
    </row>
    <row r="737" spans="1:2" x14ac:dyDescent="0.35">
      <c r="A737">
        <v>73</v>
      </c>
      <c r="B737">
        <v>1</v>
      </c>
    </row>
    <row r="738" spans="1:2" x14ac:dyDescent="0.35">
      <c r="A738">
        <v>73</v>
      </c>
      <c r="B738">
        <v>1</v>
      </c>
    </row>
    <row r="739" spans="1:2" x14ac:dyDescent="0.35">
      <c r="A739">
        <v>73</v>
      </c>
      <c r="B739">
        <v>1</v>
      </c>
    </row>
    <row r="740" spans="1:2" x14ac:dyDescent="0.35">
      <c r="A740">
        <v>73</v>
      </c>
      <c r="B740">
        <v>1</v>
      </c>
    </row>
    <row r="741" spans="1:2" x14ac:dyDescent="0.35">
      <c r="A741">
        <v>73</v>
      </c>
      <c r="B741">
        <v>1</v>
      </c>
    </row>
    <row r="742" spans="1:2" x14ac:dyDescent="0.35">
      <c r="A742">
        <v>73</v>
      </c>
      <c r="B742">
        <v>1</v>
      </c>
    </row>
    <row r="743" spans="1:2" x14ac:dyDescent="0.35">
      <c r="A743">
        <v>73</v>
      </c>
      <c r="B743">
        <v>1</v>
      </c>
    </row>
    <row r="744" spans="1:2" x14ac:dyDescent="0.35">
      <c r="A744">
        <v>73</v>
      </c>
      <c r="B744">
        <v>1</v>
      </c>
    </row>
    <row r="745" spans="1:2" x14ac:dyDescent="0.35">
      <c r="A745">
        <v>73</v>
      </c>
      <c r="B745">
        <v>1</v>
      </c>
    </row>
    <row r="746" spans="1:2" x14ac:dyDescent="0.35">
      <c r="A746">
        <v>73</v>
      </c>
      <c r="B746">
        <v>1</v>
      </c>
    </row>
    <row r="747" spans="1:2" x14ac:dyDescent="0.35">
      <c r="A747">
        <v>73</v>
      </c>
      <c r="B747">
        <v>1</v>
      </c>
    </row>
    <row r="748" spans="1:2" x14ac:dyDescent="0.35">
      <c r="A748">
        <v>74</v>
      </c>
      <c r="B748">
        <v>1</v>
      </c>
    </row>
    <row r="749" spans="1:2" x14ac:dyDescent="0.35">
      <c r="A749">
        <v>74</v>
      </c>
      <c r="B749">
        <v>1</v>
      </c>
    </row>
    <row r="750" spans="1:2" x14ac:dyDescent="0.35">
      <c r="A750">
        <v>74</v>
      </c>
      <c r="B750">
        <v>1</v>
      </c>
    </row>
    <row r="751" spans="1:2" x14ac:dyDescent="0.35">
      <c r="A751">
        <v>74</v>
      </c>
      <c r="B751">
        <v>1</v>
      </c>
    </row>
    <row r="752" spans="1:2" x14ac:dyDescent="0.35">
      <c r="A752">
        <v>74</v>
      </c>
      <c r="B752">
        <v>1</v>
      </c>
    </row>
    <row r="753" spans="1:2" x14ac:dyDescent="0.35">
      <c r="A753">
        <v>74</v>
      </c>
      <c r="B753">
        <v>1</v>
      </c>
    </row>
    <row r="754" spans="1:2" x14ac:dyDescent="0.35">
      <c r="A754">
        <v>74</v>
      </c>
      <c r="B754">
        <v>1</v>
      </c>
    </row>
    <row r="755" spans="1:2" x14ac:dyDescent="0.35">
      <c r="A755">
        <v>74</v>
      </c>
      <c r="B755">
        <v>1</v>
      </c>
    </row>
    <row r="756" spans="1:2" x14ac:dyDescent="0.35">
      <c r="A756">
        <v>74</v>
      </c>
      <c r="B756">
        <v>1</v>
      </c>
    </row>
    <row r="757" spans="1:2" x14ac:dyDescent="0.35">
      <c r="A757">
        <v>74</v>
      </c>
      <c r="B757">
        <v>1</v>
      </c>
    </row>
    <row r="758" spans="1:2" x14ac:dyDescent="0.35">
      <c r="A758">
        <v>74</v>
      </c>
      <c r="B758">
        <v>1</v>
      </c>
    </row>
    <row r="759" spans="1:2" x14ac:dyDescent="0.35">
      <c r="A759">
        <v>74</v>
      </c>
      <c r="B759">
        <v>1</v>
      </c>
    </row>
    <row r="760" spans="1:2" x14ac:dyDescent="0.35">
      <c r="A760">
        <v>74</v>
      </c>
      <c r="B760">
        <v>1</v>
      </c>
    </row>
    <row r="761" spans="1:2" x14ac:dyDescent="0.35">
      <c r="A761">
        <v>74</v>
      </c>
      <c r="B761">
        <v>1</v>
      </c>
    </row>
    <row r="762" spans="1:2" x14ac:dyDescent="0.35">
      <c r="A762">
        <v>74</v>
      </c>
      <c r="B762">
        <v>1</v>
      </c>
    </row>
    <row r="763" spans="1:2" x14ac:dyDescent="0.35">
      <c r="A763">
        <v>74</v>
      </c>
      <c r="B763">
        <v>1</v>
      </c>
    </row>
    <row r="764" spans="1:2" x14ac:dyDescent="0.35">
      <c r="A764">
        <v>74</v>
      </c>
      <c r="B764">
        <v>1</v>
      </c>
    </row>
    <row r="765" spans="1:2" x14ac:dyDescent="0.35">
      <c r="A765">
        <v>74</v>
      </c>
      <c r="B765">
        <v>1</v>
      </c>
    </row>
    <row r="766" spans="1:2" x14ac:dyDescent="0.35">
      <c r="A766">
        <v>74</v>
      </c>
      <c r="B766">
        <v>1</v>
      </c>
    </row>
    <row r="767" spans="1:2" x14ac:dyDescent="0.35">
      <c r="A767">
        <v>74</v>
      </c>
      <c r="B767">
        <v>1</v>
      </c>
    </row>
    <row r="768" spans="1:2" x14ac:dyDescent="0.35">
      <c r="A768">
        <v>74</v>
      </c>
      <c r="B768">
        <v>1</v>
      </c>
    </row>
    <row r="769" spans="1:2" x14ac:dyDescent="0.35">
      <c r="A769">
        <v>74</v>
      </c>
      <c r="B769">
        <v>1</v>
      </c>
    </row>
    <row r="770" spans="1:2" x14ac:dyDescent="0.35">
      <c r="A770">
        <v>74</v>
      </c>
      <c r="B770">
        <v>1</v>
      </c>
    </row>
    <row r="771" spans="1:2" x14ac:dyDescent="0.35">
      <c r="A771">
        <v>74</v>
      </c>
      <c r="B771">
        <v>1</v>
      </c>
    </row>
    <row r="772" spans="1:2" x14ac:dyDescent="0.35">
      <c r="A772">
        <v>74</v>
      </c>
      <c r="B772">
        <v>1</v>
      </c>
    </row>
    <row r="773" spans="1:2" x14ac:dyDescent="0.35">
      <c r="A773">
        <v>74</v>
      </c>
      <c r="B773">
        <v>1</v>
      </c>
    </row>
    <row r="774" spans="1:2" x14ac:dyDescent="0.35">
      <c r="A774">
        <v>74</v>
      </c>
      <c r="B774">
        <v>1</v>
      </c>
    </row>
    <row r="775" spans="1:2" x14ac:dyDescent="0.35">
      <c r="A775">
        <v>74</v>
      </c>
      <c r="B775">
        <v>1</v>
      </c>
    </row>
    <row r="776" spans="1:2" x14ac:dyDescent="0.35">
      <c r="A776">
        <v>74</v>
      </c>
      <c r="B776">
        <v>1</v>
      </c>
    </row>
    <row r="777" spans="1:2" x14ac:dyDescent="0.35">
      <c r="A777">
        <v>74</v>
      </c>
      <c r="B777">
        <v>1</v>
      </c>
    </row>
    <row r="778" spans="1:2" x14ac:dyDescent="0.35">
      <c r="A778">
        <v>74</v>
      </c>
      <c r="B778">
        <v>1</v>
      </c>
    </row>
    <row r="779" spans="1:2" x14ac:dyDescent="0.35">
      <c r="A779">
        <v>74</v>
      </c>
      <c r="B779">
        <v>1</v>
      </c>
    </row>
    <row r="780" spans="1:2" x14ac:dyDescent="0.35">
      <c r="A780">
        <v>74</v>
      </c>
      <c r="B780">
        <v>1</v>
      </c>
    </row>
    <row r="781" spans="1:2" x14ac:dyDescent="0.35">
      <c r="A781">
        <v>74</v>
      </c>
      <c r="B781">
        <v>1</v>
      </c>
    </row>
    <row r="782" spans="1:2" x14ac:dyDescent="0.35">
      <c r="A782">
        <v>74</v>
      </c>
      <c r="B782">
        <v>1</v>
      </c>
    </row>
    <row r="783" spans="1:2" x14ac:dyDescent="0.35">
      <c r="A783">
        <v>74</v>
      </c>
      <c r="B783">
        <v>1</v>
      </c>
    </row>
    <row r="784" spans="1:2" x14ac:dyDescent="0.35">
      <c r="A784">
        <v>74</v>
      </c>
      <c r="B784">
        <v>1</v>
      </c>
    </row>
    <row r="785" spans="1:2" x14ac:dyDescent="0.35">
      <c r="A785">
        <v>74</v>
      </c>
      <c r="B785">
        <v>1</v>
      </c>
    </row>
    <row r="786" spans="1:2" x14ac:dyDescent="0.35">
      <c r="A786">
        <v>74</v>
      </c>
      <c r="B786">
        <v>1</v>
      </c>
    </row>
    <row r="787" spans="1:2" x14ac:dyDescent="0.35">
      <c r="A787">
        <v>74</v>
      </c>
      <c r="B787">
        <v>1</v>
      </c>
    </row>
    <row r="788" spans="1:2" x14ac:dyDescent="0.35">
      <c r="A788">
        <v>74</v>
      </c>
      <c r="B788">
        <v>1</v>
      </c>
    </row>
    <row r="789" spans="1:2" x14ac:dyDescent="0.35">
      <c r="A789">
        <v>74</v>
      </c>
      <c r="B789">
        <v>1</v>
      </c>
    </row>
    <row r="790" spans="1:2" x14ac:dyDescent="0.35">
      <c r="A790">
        <v>74</v>
      </c>
      <c r="B790">
        <v>1</v>
      </c>
    </row>
    <row r="791" spans="1:2" x14ac:dyDescent="0.35">
      <c r="A791">
        <v>74</v>
      </c>
      <c r="B791">
        <v>1</v>
      </c>
    </row>
    <row r="792" spans="1:2" x14ac:dyDescent="0.35">
      <c r="A792">
        <v>74</v>
      </c>
      <c r="B792">
        <v>1</v>
      </c>
    </row>
    <row r="793" spans="1:2" x14ac:dyDescent="0.35">
      <c r="A793">
        <v>74</v>
      </c>
      <c r="B793">
        <v>1</v>
      </c>
    </row>
    <row r="794" spans="1:2" x14ac:dyDescent="0.35">
      <c r="A794">
        <v>74</v>
      </c>
      <c r="B794">
        <v>1</v>
      </c>
    </row>
    <row r="795" spans="1:2" x14ac:dyDescent="0.35">
      <c r="A795">
        <v>74</v>
      </c>
      <c r="B795">
        <v>1</v>
      </c>
    </row>
    <row r="796" spans="1:2" x14ac:dyDescent="0.35">
      <c r="A796">
        <v>74</v>
      </c>
      <c r="B796">
        <v>1</v>
      </c>
    </row>
    <row r="797" spans="1:2" x14ac:dyDescent="0.35">
      <c r="A797">
        <v>74</v>
      </c>
      <c r="B797">
        <v>1</v>
      </c>
    </row>
    <row r="798" spans="1:2" x14ac:dyDescent="0.35">
      <c r="A798">
        <v>74</v>
      </c>
      <c r="B798">
        <v>1</v>
      </c>
    </row>
    <row r="799" spans="1:2" x14ac:dyDescent="0.35">
      <c r="A799">
        <v>74</v>
      </c>
      <c r="B799">
        <v>1</v>
      </c>
    </row>
    <row r="800" spans="1:2" x14ac:dyDescent="0.35">
      <c r="A800">
        <v>74</v>
      </c>
      <c r="B800">
        <v>1</v>
      </c>
    </row>
    <row r="801" spans="1:2" x14ac:dyDescent="0.35">
      <c r="A801">
        <v>74</v>
      </c>
      <c r="B801">
        <v>1</v>
      </c>
    </row>
    <row r="802" spans="1:2" x14ac:dyDescent="0.35">
      <c r="A802">
        <v>74</v>
      </c>
      <c r="B802">
        <v>1</v>
      </c>
    </row>
    <row r="803" spans="1:2" x14ac:dyDescent="0.35">
      <c r="A803">
        <v>74</v>
      </c>
      <c r="B803">
        <v>1</v>
      </c>
    </row>
    <row r="804" spans="1:2" x14ac:dyDescent="0.35">
      <c r="A804">
        <v>74</v>
      </c>
      <c r="B804">
        <v>1</v>
      </c>
    </row>
    <row r="805" spans="1:2" x14ac:dyDescent="0.35">
      <c r="A805">
        <v>74</v>
      </c>
      <c r="B805">
        <v>1</v>
      </c>
    </row>
    <row r="806" spans="1:2" x14ac:dyDescent="0.35">
      <c r="A806">
        <v>74</v>
      </c>
      <c r="B806">
        <v>1</v>
      </c>
    </row>
    <row r="807" spans="1:2" x14ac:dyDescent="0.35">
      <c r="A807">
        <v>74</v>
      </c>
      <c r="B807">
        <v>1</v>
      </c>
    </row>
    <row r="808" spans="1:2" x14ac:dyDescent="0.35">
      <c r="A808">
        <v>74</v>
      </c>
      <c r="B808">
        <v>1</v>
      </c>
    </row>
    <row r="809" spans="1:2" x14ac:dyDescent="0.35">
      <c r="A809">
        <v>75</v>
      </c>
      <c r="B809">
        <v>1</v>
      </c>
    </row>
    <row r="810" spans="1:2" x14ac:dyDescent="0.35">
      <c r="A810">
        <v>75</v>
      </c>
      <c r="B810">
        <v>1</v>
      </c>
    </row>
    <row r="811" spans="1:2" x14ac:dyDescent="0.35">
      <c r="A811">
        <v>75</v>
      </c>
      <c r="B811">
        <v>1</v>
      </c>
    </row>
    <row r="812" spans="1:2" x14ac:dyDescent="0.35">
      <c r="A812">
        <v>75</v>
      </c>
      <c r="B812">
        <v>1</v>
      </c>
    </row>
    <row r="813" spans="1:2" x14ac:dyDescent="0.35">
      <c r="A813">
        <v>75</v>
      </c>
      <c r="B813">
        <v>1</v>
      </c>
    </row>
    <row r="814" spans="1:2" x14ac:dyDescent="0.35">
      <c r="A814">
        <v>75</v>
      </c>
      <c r="B814">
        <v>1</v>
      </c>
    </row>
    <row r="815" spans="1:2" x14ac:dyDescent="0.35">
      <c r="A815">
        <v>75</v>
      </c>
      <c r="B815">
        <v>1</v>
      </c>
    </row>
    <row r="816" spans="1:2" x14ac:dyDescent="0.35">
      <c r="A816">
        <v>75</v>
      </c>
      <c r="B816">
        <v>1</v>
      </c>
    </row>
    <row r="817" spans="1:2" x14ac:dyDescent="0.35">
      <c r="A817">
        <v>75</v>
      </c>
      <c r="B817">
        <v>1</v>
      </c>
    </row>
    <row r="818" spans="1:2" x14ac:dyDescent="0.35">
      <c r="A818">
        <v>75</v>
      </c>
      <c r="B818">
        <v>1</v>
      </c>
    </row>
    <row r="819" spans="1:2" x14ac:dyDescent="0.35">
      <c r="A819">
        <v>75</v>
      </c>
      <c r="B819">
        <v>1</v>
      </c>
    </row>
    <row r="820" spans="1:2" x14ac:dyDescent="0.35">
      <c r="A820">
        <v>75</v>
      </c>
      <c r="B820">
        <v>1</v>
      </c>
    </row>
    <row r="821" spans="1:2" x14ac:dyDescent="0.35">
      <c r="A821">
        <v>75</v>
      </c>
      <c r="B821">
        <v>1</v>
      </c>
    </row>
    <row r="822" spans="1:2" x14ac:dyDescent="0.35">
      <c r="A822">
        <v>75</v>
      </c>
      <c r="B822">
        <v>1</v>
      </c>
    </row>
    <row r="823" spans="1:2" x14ac:dyDescent="0.35">
      <c r="A823">
        <v>75</v>
      </c>
      <c r="B823">
        <v>1</v>
      </c>
    </row>
    <row r="824" spans="1:2" x14ac:dyDescent="0.35">
      <c r="A824">
        <v>75</v>
      </c>
      <c r="B824">
        <v>1</v>
      </c>
    </row>
    <row r="825" spans="1:2" x14ac:dyDescent="0.35">
      <c r="A825">
        <v>75</v>
      </c>
      <c r="B825">
        <v>1</v>
      </c>
    </row>
    <row r="826" spans="1:2" x14ac:dyDescent="0.35">
      <c r="A826">
        <v>75</v>
      </c>
      <c r="B826">
        <v>1</v>
      </c>
    </row>
    <row r="827" spans="1:2" x14ac:dyDescent="0.35">
      <c r="A827">
        <v>75</v>
      </c>
      <c r="B827">
        <v>1</v>
      </c>
    </row>
    <row r="828" spans="1:2" x14ac:dyDescent="0.35">
      <c r="A828">
        <v>75</v>
      </c>
      <c r="B828">
        <v>1</v>
      </c>
    </row>
    <row r="829" spans="1:2" x14ac:dyDescent="0.35">
      <c r="A829">
        <v>75</v>
      </c>
      <c r="B829">
        <v>1</v>
      </c>
    </row>
    <row r="830" spans="1:2" x14ac:dyDescent="0.35">
      <c r="A830">
        <v>75</v>
      </c>
      <c r="B830">
        <v>1</v>
      </c>
    </row>
    <row r="831" spans="1:2" x14ac:dyDescent="0.35">
      <c r="A831">
        <v>75</v>
      </c>
      <c r="B831">
        <v>1</v>
      </c>
    </row>
    <row r="832" spans="1:2" x14ac:dyDescent="0.35">
      <c r="A832">
        <v>75</v>
      </c>
      <c r="B832">
        <v>1</v>
      </c>
    </row>
    <row r="833" spans="1:2" x14ac:dyDescent="0.35">
      <c r="A833">
        <v>75</v>
      </c>
      <c r="B833">
        <v>1</v>
      </c>
    </row>
    <row r="834" spans="1:2" x14ac:dyDescent="0.35">
      <c r="A834">
        <v>75</v>
      </c>
      <c r="B834">
        <v>1</v>
      </c>
    </row>
    <row r="835" spans="1:2" x14ac:dyDescent="0.35">
      <c r="A835">
        <v>75</v>
      </c>
      <c r="B835">
        <v>1</v>
      </c>
    </row>
    <row r="836" spans="1:2" x14ac:dyDescent="0.35">
      <c r="A836">
        <v>75</v>
      </c>
      <c r="B836">
        <v>1</v>
      </c>
    </row>
    <row r="837" spans="1:2" x14ac:dyDescent="0.35">
      <c r="A837">
        <v>75</v>
      </c>
      <c r="B837">
        <v>1</v>
      </c>
    </row>
    <row r="838" spans="1:2" x14ac:dyDescent="0.35">
      <c r="A838">
        <v>75</v>
      </c>
      <c r="B838">
        <v>1</v>
      </c>
    </row>
    <row r="839" spans="1:2" x14ac:dyDescent="0.35">
      <c r="A839">
        <v>75</v>
      </c>
      <c r="B839">
        <v>1</v>
      </c>
    </row>
    <row r="840" spans="1:2" x14ac:dyDescent="0.35">
      <c r="A840">
        <v>75</v>
      </c>
      <c r="B840">
        <v>1</v>
      </c>
    </row>
    <row r="841" spans="1:2" x14ac:dyDescent="0.35">
      <c r="A841">
        <v>75</v>
      </c>
      <c r="B841">
        <v>1</v>
      </c>
    </row>
    <row r="842" spans="1:2" x14ac:dyDescent="0.35">
      <c r="A842">
        <v>75</v>
      </c>
      <c r="B842">
        <v>1</v>
      </c>
    </row>
    <row r="843" spans="1:2" x14ac:dyDescent="0.35">
      <c r="A843">
        <v>75</v>
      </c>
      <c r="B843">
        <v>1</v>
      </c>
    </row>
    <row r="844" spans="1:2" x14ac:dyDescent="0.35">
      <c r="A844">
        <v>75</v>
      </c>
      <c r="B844">
        <v>1</v>
      </c>
    </row>
    <row r="845" spans="1:2" x14ac:dyDescent="0.35">
      <c r="A845">
        <v>75</v>
      </c>
      <c r="B845">
        <v>1</v>
      </c>
    </row>
    <row r="846" spans="1:2" x14ac:dyDescent="0.35">
      <c r="A846">
        <v>75</v>
      </c>
      <c r="B846">
        <v>1</v>
      </c>
    </row>
    <row r="847" spans="1:2" x14ac:dyDescent="0.35">
      <c r="A847">
        <v>75</v>
      </c>
      <c r="B847">
        <v>1</v>
      </c>
    </row>
    <row r="848" spans="1:2" x14ac:dyDescent="0.35">
      <c r="A848">
        <v>75</v>
      </c>
      <c r="B848">
        <v>1</v>
      </c>
    </row>
    <row r="849" spans="1:2" x14ac:dyDescent="0.35">
      <c r="A849">
        <v>75</v>
      </c>
      <c r="B849">
        <v>1</v>
      </c>
    </row>
    <row r="850" spans="1:2" x14ac:dyDescent="0.35">
      <c r="A850">
        <v>75</v>
      </c>
      <c r="B850">
        <v>1</v>
      </c>
    </row>
    <row r="851" spans="1:2" x14ac:dyDescent="0.35">
      <c r="A851">
        <v>75</v>
      </c>
      <c r="B851">
        <v>1</v>
      </c>
    </row>
    <row r="852" spans="1:2" x14ac:dyDescent="0.35">
      <c r="A852">
        <v>75</v>
      </c>
      <c r="B852">
        <v>1</v>
      </c>
    </row>
    <row r="853" spans="1:2" x14ac:dyDescent="0.35">
      <c r="A853">
        <v>75</v>
      </c>
      <c r="B853">
        <v>1</v>
      </c>
    </row>
    <row r="854" spans="1:2" x14ac:dyDescent="0.35">
      <c r="A854">
        <v>75</v>
      </c>
      <c r="B854">
        <v>1</v>
      </c>
    </row>
    <row r="855" spans="1:2" x14ac:dyDescent="0.35">
      <c r="A855">
        <v>75</v>
      </c>
      <c r="B855">
        <v>1</v>
      </c>
    </row>
    <row r="856" spans="1:2" x14ac:dyDescent="0.35">
      <c r="A856">
        <v>75</v>
      </c>
      <c r="B856">
        <v>1</v>
      </c>
    </row>
    <row r="857" spans="1:2" x14ac:dyDescent="0.35">
      <c r="A857">
        <v>75</v>
      </c>
      <c r="B857">
        <v>1</v>
      </c>
    </row>
    <row r="858" spans="1:2" x14ac:dyDescent="0.35">
      <c r="A858">
        <v>75</v>
      </c>
      <c r="B858">
        <v>1</v>
      </c>
    </row>
    <row r="859" spans="1:2" x14ac:dyDescent="0.35">
      <c r="A859">
        <v>75</v>
      </c>
      <c r="B859">
        <v>1</v>
      </c>
    </row>
    <row r="860" spans="1:2" x14ac:dyDescent="0.35">
      <c r="A860">
        <v>75</v>
      </c>
      <c r="B860">
        <v>1</v>
      </c>
    </row>
    <row r="861" spans="1:2" x14ac:dyDescent="0.35">
      <c r="A861">
        <v>75</v>
      </c>
      <c r="B861">
        <v>1</v>
      </c>
    </row>
    <row r="862" spans="1:2" x14ac:dyDescent="0.35">
      <c r="A862">
        <v>75</v>
      </c>
      <c r="B862">
        <v>1</v>
      </c>
    </row>
    <row r="863" spans="1:2" x14ac:dyDescent="0.35">
      <c r="A863">
        <v>75</v>
      </c>
      <c r="B863">
        <v>1</v>
      </c>
    </row>
    <row r="864" spans="1:2" x14ac:dyDescent="0.35">
      <c r="A864">
        <v>75</v>
      </c>
      <c r="B864">
        <v>1</v>
      </c>
    </row>
    <row r="865" spans="1:2" x14ac:dyDescent="0.35">
      <c r="A865">
        <v>75</v>
      </c>
      <c r="B865">
        <v>1</v>
      </c>
    </row>
    <row r="866" spans="1:2" x14ac:dyDescent="0.35">
      <c r="A866">
        <v>75</v>
      </c>
      <c r="B866">
        <v>1</v>
      </c>
    </row>
    <row r="867" spans="1:2" x14ac:dyDescent="0.35">
      <c r="A867">
        <v>75</v>
      </c>
      <c r="B867">
        <v>1</v>
      </c>
    </row>
    <row r="868" spans="1:2" x14ac:dyDescent="0.35">
      <c r="A868">
        <v>75</v>
      </c>
      <c r="B868">
        <v>1</v>
      </c>
    </row>
    <row r="869" spans="1:2" x14ac:dyDescent="0.35">
      <c r="A869">
        <v>75</v>
      </c>
      <c r="B869">
        <v>1</v>
      </c>
    </row>
    <row r="870" spans="1:2" x14ac:dyDescent="0.35">
      <c r="A870">
        <v>75</v>
      </c>
      <c r="B870">
        <v>1</v>
      </c>
    </row>
    <row r="871" spans="1:2" x14ac:dyDescent="0.35">
      <c r="A871">
        <v>75</v>
      </c>
      <c r="B871">
        <v>1</v>
      </c>
    </row>
    <row r="872" spans="1:2" x14ac:dyDescent="0.35">
      <c r="A872">
        <v>75</v>
      </c>
      <c r="B872">
        <v>1</v>
      </c>
    </row>
    <row r="873" spans="1:2" x14ac:dyDescent="0.35">
      <c r="A873">
        <v>75</v>
      </c>
      <c r="B873">
        <v>1</v>
      </c>
    </row>
    <row r="874" spans="1:2" x14ac:dyDescent="0.35">
      <c r="A874">
        <v>75</v>
      </c>
      <c r="B874">
        <v>1</v>
      </c>
    </row>
    <row r="875" spans="1:2" x14ac:dyDescent="0.35">
      <c r="A875">
        <v>75</v>
      </c>
      <c r="B875">
        <v>1</v>
      </c>
    </row>
    <row r="876" spans="1:2" x14ac:dyDescent="0.35">
      <c r="A876">
        <v>75</v>
      </c>
      <c r="B876">
        <v>1</v>
      </c>
    </row>
    <row r="877" spans="1:2" x14ac:dyDescent="0.35">
      <c r="A877">
        <v>75</v>
      </c>
      <c r="B877">
        <v>1</v>
      </c>
    </row>
    <row r="878" spans="1:2" x14ac:dyDescent="0.35">
      <c r="A878">
        <v>76</v>
      </c>
      <c r="B878">
        <v>1</v>
      </c>
    </row>
    <row r="879" spans="1:2" x14ac:dyDescent="0.35">
      <c r="A879">
        <v>76</v>
      </c>
      <c r="B879">
        <v>1</v>
      </c>
    </row>
    <row r="880" spans="1:2" x14ac:dyDescent="0.35">
      <c r="A880">
        <v>76</v>
      </c>
      <c r="B880">
        <v>1</v>
      </c>
    </row>
    <row r="881" spans="1:2" x14ac:dyDescent="0.35">
      <c r="A881">
        <v>76</v>
      </c>
      <c r="B881">
        <v>1</v>
      </c>
    </row>
    <row r="882" spans="1:2" x14ac:dyDescent="0.35">
      <c r="A882">
        <v>76</v>
      </c>
      <c r="B882">
        <v>1</v>
      </c>
    </row>
    <row r="883" spans="1:2" x14ac:dyDescent="0.35">
      <c r="A883">
        <v>76</v>
      </c>
      <c r="B883">
        <v>1</v>
      </c>
    </row>
    <row r="884" spans="1:2" x14ac:dyDescent="0.35">
      <c r="A884">
        <v>76</v>
      </c>
      <c r="B884">
        <v>1</v>
      </c>
    </row>
    <row r="885" spans="1:2" x14ac:dyDescent="0.35">
      <c r="A885">
        <v>76</v>
      </c>
      <c r="B885">
        <v>1</v>
      </c>
    </row>
    <row r="886" spans="1:2" x14ac:dyDescent="0.35">
      <c r="A886">
        <v>76</v>
      </c>
      <c r="B886">
        <v>1</v>
      </c>
    </row>
    <row r="887" spans="1:2" x14ac:dyDescent="0.35">
      <c r="A887">
        <v>76</v>
      </c>
      <c r="B887">
        <v>1</v>
      </c>
    </row>
    <row r="888" spans="1:2" x14ac:dyDescent="0.35">
      <c r="A888">
        <v>76</v>
      </c>
      <c r="B888">
        <v>1</v>
      </c>
    </row>
    <row r="889" spans="1:2" x14ac:dyDescent="0.35">
      <c r="A889">
        <v>76</v>
      </c>
      <c r="B889">
        <v>1</v>
      </c>
    </row>
    <row r="890" spans="1:2" x14ac:dyDescent="0.35">
      <c r="A890">
        <v>76</v>
      </c>
      <c r="B890">
        <v>1</v>
      </c>
    </row>
    <row r="891" spans="1:2" x14ac:dyDescent="0.35">
      <c r="A891">
        <v>76</v>
      </c>
      <c r="B891">
        <v>1</v>
      </c>
    </row>
    <row r="892" spans="1:2" x14ac:dyDescent="0.35">
      <c r="A892">
        <v>76</v>
      </c>
      <c r="B892">
        <v>1</v>
      </c>
    </row>
    <row r="893" spans="1:2" x14ac:dyDescent="0.35">
      <c r="A893">
        <v>76</v>
      </c>
      <c r="B893">
        <v>1</v>
      </c>
    </row>
    <row r="894" spans="1:2" x14ac:dyDescent="0.35">
      <c r="A894">
        <v>76</v>
      </c>
      <c r="B894">
        <v>1</v>
      </c>
    </row>
    <row r="895" spans="1:2" x14ac:dyDescent="0.35">
      <c r="A895">
        <v>76</v>
      </c>
      <c r="B895">
        <v>1</v>
      </c>
    </row>
    <row r="896" spans="1:2" x14ac:dyDescent="0.35">
      <c r="A896">
        <v>76</v>
      </c>
      <c r="B896">
        <v>1</v>
      </c>
    </row>
    <row r="897" spans="1:2" x14ac:dyDescent="0.35">
      <c r="A897">
        <v>76</v>
      </c>
      <c r="B897">
        <v>1</v>
      </c>
    </row>
    <row r="898" spans="1:2" x14ac:dyDescent="0.35">
      <c r="A898">
        <v>76</v>
      </c>
      <c r="B898">
        <v>1</v>
      </c>
    </row>
    <row r="899" spans="1:2" x14ac:dyDescent="0.35">
      <c r="A899">
        <v>76</v>
      </c>
      <c r="B899">
        <v>1</v>
      </c>
    </row>
    <row r="900" spans="1:2" x14ac:dyDescent="0.35">
      <c r="A900">
        <v>76</v>
      </c>
      <c r="B900">
        <v>1</v>
      </c>
    </row>
    <row r="901" spans="1:2" x14ac:dyDescent="0.35">
      <c r="A901">
        <v>76</v>
      </c>
      <c r="B901">
        <v>1</v>
      </c>
    </row>
    <row r="902" spans="1:2" x14ac:dyDescent="0.35">
      <c r="A902">
        <v>76</v>
      </c>
      <c r="B902">
        <v>1</v>
      </c>
    </row>
    <row r="903" spans="1:2" x14ac:dyDescent="0.35">
      <c r="A903">
        <v>76</v>
      </c>
      <c r="B903">
        <v>1</v>
      </c>
    </row>
    <row r="904" spans="1:2" x14ac:dyDescent="0.35">
      <c r="A904">
        <v>76</v>
      </c>
      <c r="B904">
        <v>1</v>
      </c>
    </row>
    <row r="905" spans="1:2" x14ac:dyDescent="0.35">
      <c r="A905">
        <v>76</v>
      </c>
      <c r="B905">
        <v>1</v>
      </c>
    </row>
    <row r="906" spans="1:2" x14ac:dyDescent="0.35">
      <c r="A906">
        <v>76</v>
      </c>
      <c r="B906">
        <v>1</v>
      </c>
    </row>
    <row r="907" spans="1:2" x14ac:dyDescent="0.35">
      <c r="A907">
        <v>76</v>
      </c>
      <c r="B907">
        <v>1</v>
      </c>
    </row>
    <row r="908" spans="1:2" x14ac:dyDescent="0.35">
      <c r="A908">
        <v>76</v>
      </c>
      <c r="B908">
        <v>1</v>
      </c>
    </row>
    <row r="909" spans="1:2" x14ac:dyDescent="0.35">
      <c r="A909">
        <v>76</v>
      </c>
      <c r="B909">
        <v>1</v>
      </c>
    </row>
    <row r="910" spans="1:2" x14ac:dyDescent="0.35">
      <c r="A910">
        <v>76</v>
      </c>
      <c r="B910">
        <v>1</v>
      </c>
    </row>
    <row r="911" spans="1:2" x14ac:dyDescent="0.35">
      <c r="A911">
        <v>76</v>
      </c>
      <c r="B911">
        <v>1</v>
      </c>
    </row>
    <row r="912" spans="1:2" x14ac:dyDescent="0.35">
      <c r="A912">
        <v>76</v>
      </c>
      <c r="B912">
        <v>1</v>
      </c>
    </row>
    <row r="913" spans="1:2" x14ac:dyDescent="0.35">
      <c r="A913">
        <v>76</v>
      </c>
      <c r="B913">
        <v>1</v>
      </c>
    </row>
    <row r="914" spans="1:2" x14ac:dyDescent="0.35">
      <c r="A914">
        <v>76</v>
      </c>
      <c r="B914">
        <v>1</v>
      </c>
    </row>
    <row r="915" spans="1:2" x14ac:dyDescent="0.35">
      <c r="A915">
        <v>76</v>
      </c>
      <c r="B915">
        <v>1</v>
      </c>
    </row>
    <row r="916" spans="1:2" x14ac:dyDescent="0.35">
      <c r="A916">
        <v>76</v>
      </c>
      <c r="B916">
        <v>1</v>
      </c>
    </row>
    <row r="917" spans="1:2" x14ac:dyDescent="0.35">
      <c r="A917">
        <v>76</v>
      </c>
      <c r="B917">
        <v>1</v>
      </c>
    </row>
    <row r="918" spans="1:2" x14ac:dyDescent="0.35">
      <c r="A918">
        <v>76</v>
      </c>
      <c r="B918">
        <v>1</v>
      </c>
    </row>
    <row r="919" spans="1:2" x14ac:dyDescent="0.35">
      <c r="A919">
        <v>76</v>
      </c>
      <c r="B919">
        <v>1</v>
      </c>
    </row>
    <row r="920" spans="1:2" x14ac:dyDescent="0.35">
      <c r="A920">
        <v>76</v>
      </c>
      <c r="B920">
        <v>1</v>
      </c>
    </row>
    <row r="921" spans="1:2" x14ac:dyDescent="0.35">
      <c r="A921">
        <v>76</v>
      </c>
      <c r="B921">
        <v>1</v>
      </c>
    </row>
    <row r="922" spans="1:2" x14ac:dyDescent="0.35">
      <c r="A922">
        <v>76</v>
      </c>
      <c r="B922">
        <v>1</v>
      </c>
    </row>
    <row r="923" spans="1:2" x14ac:dyDescent="0.35">
      <c r="A923">
        <v>76</v>
      </c>
      <c r="B923">
        <v>1</v>
      </c>
    </row>
    <row r="924" spans="1:2" x14ac:dyDescent="0.35">
      <c r="A924">
        <v>76</v>
      </c>
      <c r="B924">
        <v>1</v>
      </c>
    </row>
    <row r="925" spans="1:2" x14ac:dyDescent="0.35">
      <c r="A925">
        <v>76</v>
      </c>
      <c r="B925">
        <v>1</v>
      </c>
    </row>
    <row r="926" spans="1:2" x14ac:dyDescent="0.35">
      <c r="A926">
        <v>76</v>
      </c>
      <c r="B926">
        <v>1</v>
      </c>
    </row>
    <row r="927" spans="1:2" x14ac:dyDescent="0.35">
      <c r="A927">
        <v>76</v>
      </c>
      <c r="B927">
        <v>1</v>
      </c>
    </row>
    <row r="928" spans="1:2" x14ac:dyDescent="0.35">
      <c r="A928">
        <v>76</v>
      </c>
      <c r="B928">
        <v>1</v>
      </c>
    </row>
    <row r="929" spans="1:2" x14ac:dyDescent="0.35">
      <c r="A929">
        <v>76</v>
      </c>
      <c r="B929">
        <v>1</v>
      </c>
    </row>
    <row r="930" spans="1:2" x14ac:dyDescent="0.35">
      <c r="A930">
        <v>76</v>
      </c>
      <c r="B930">
        <v>1</v>
      </c>
    </row>
    <row r="931" spans="1:2" x14ac:dyDescent="0.35">
      <c r="A931">
        <v>76</v>
      </c>
      <c r="B931">
        <v>1</v>
      </c>
    </row>
    <row r="932" spans="1:2" x14ac:dyDescent="0.35">
      <c r="A932">
        <v>76</v>
      </c>
      <c r="B932">
        <v>1</v>
      </c>
    </row>
    <row r="933" spans="1:2" x14ac:dyDescent="0.35">
      <c r="A933">
        <v>76</v>
      </c>
      <c r="B933">
        <v>1</v>
      </c>
    </row>
    <row r="934" spans="1:2" x14ac:dyDescent="0.35">
      <c r="A934">
        <v>76</v>
      </c>
      <c r="B934">
        <v>1</v>
      </c>
    </row>
    <row r="935" spans="1:2" x14ac:dyDescent="0.35">
      <c r="A935">
        <v>76</v>
      </c>
      <c r="B935">
        <v>1</v>
      </c>
    </row>
    <row r="936" spans="1:2" x14ac:dyDescent="0.35">
      <c r="A936">
        <v>76</v>
      </c>
      <c r="B936">
        <v>1</v>
      </c>
    </row>
    <row r="937" spans="1:2" x14ac:dyDescent="0.35">
      <c r="A937">
        <v>76</v>
      </c>
      <c r="B937">
        <v>1</v>
      </c>
    </row>
    <row r="938" spans="1:2" x14ac:dyDescent="0.35">
      <c r="A938">
        <v>76</v>
      </c>
      <c r="B938">
        <v>1</v>
      </c>
    </row>
    <row r="939" spans="1:2" x14ac:dyDescent="0.35">
      <c r="A939">
        <v>76</v>
      </c>
      <c r="B939">
        <v>1</v>
      </c>
    </row>
    <row r="940" spans="1:2" x14ac:dyDescent="0.35">
      <c r="A940">
        <v>76</v>
      </c>
      <c r="B940">
        <v>1</v>
      </c>
    </row>
    <row r="941" spans="1:2" x14ac:dyDescent="0.35">
      <c r="A941">
        <v>76</v>
      </c>
      <c r="B941">
        <v>1</v>
      </c>
    </row>
    <row r="942" spans="1:2" x14ac:dyDescent="0.35">
      <c r="A942">
        <v>77</v>
      </c>
      <c r="B942">
        <v>1</v>
      </c>
    </row>
    <row r="943" spans="1:2" x14ac:dyDescent="0.35">
      <c r="A943">
        <v>77</v>
      </c>
      <c r="B943">
        <v>1</v>
      </c>
    </row>
    <row r="944" spans="1:2" x14ac:dyDescent="0.35">
      <c r="A944">
        <v>77</v>
      </c>
      <c r="B944">
        <v>1</v>
      </c>
    </row>
    <row r="945" spans="1:2" x14ac:dyDescent="0.35">
      <c r="A945">
        <v>77</v>
      </c>
      <c r="B945">
        <v>1</v>
      </c>
    </row>
    <row r="946" spans="1:2" x14ac:dyDescent="0.35">
      <c r="A946">
        <v>77</v>
      </c>
      <c r="B946">
        <v>1</v>
      </c>
    </row>
    <row r="947" spans="1:2" x14ac:dyDescent="0.35">
      <c r="A947">
        <v>77</v>
      </c>
      <c r="B947">
        <v>1</v>
      </c>
    </row>
    <row r="948" spans="1:2" x14ac:dyDescent="0.35">
      <c r="A948">
        <v>77</v>
      </c>
      <c r="B948">
        <v>1</v>
      </c>
    </row>
    <row r="949" spans="1:2" x14ac:dyDescent="0.35">
      <c r="A949">
        <v>77</v>
      </c>
      <c r="B949">
        <v>1</v>
      </c>
    </row>
    <row r="950" spans="1:2" x14ac:dyDescent="0.35">
      <c r="A950">
        <v>77</v>
      </c>
      <c r="B950">
        <v>1</v>
      </c>
    </row>
    <row r="951" spans="1:2" x14ac:dyDescent="0.35">
      <c r="A951">
        <v>77</v>
      </c>
      <c r="B951">
        <v>1</v>
      </c>
    </row>
    <row r="952" spans="1:2" x14ac:dyDescent="0.35">
      <c r="A952">
        <v>77</v>
      </c>
      <c r="B952">
        <v>1</v>
      </c>
    </row>
    <row r="953" spans="1:2" x14ac:dyDescent="0.35">
      <c r="A953">
        <v>77</v>
      </c>
      <c r="B953">
        <v>1</v>
      </c>
    </row>
    <row r="954" spans="1:2" x14ac:dyDescent="0.35">
      <c r="A954">
        <v>77</v>
      </c>
      <c r="B954">
        <v>1</v>
      </c>
    </row>
    <row r="955" spans="1:2" x14ac:dyDescent="0.35">
      <c r="A955">
        <v>77</v>
      </c>
      <c r="B955">
        <v>1</v>
      </c>
    </row>
    <row r="956" spans="1:2" x14ac:dyDescent="0.35">
      <c r="A956">
        <v>77</v>
      </c>
      <c r="B956">
        <v>1</v>
      </c>
    </row>
    <row r="957" spans="1:2" x14ac:dyDescent="0.35">
      <c r="A957">
        <v>77</v>
      </c>
      <c r="B957">
        <v>1</v>
      </c>
    </row>
    <row r="958" spans="1:2" x14ac:dyDescent="0.35">
      <c r="A958">
        <v>77</v>
      </c>
      <c r="B958">
        <v>1</v>
      </c>
    </row>
    <row r="959" spans="1:2" x14ac:dyDescent="0.35">
      <c r="A959">
        <v>77</v>
      </c>
      <c r="B959">
        <v>1</v>
      </c>
    </row>
    <row r="960" spans="1:2" x14ac:dyDescent="0.35">
      <c r="A960">
        <v>77</v>
      </c>
      <c r="B960">
        <v>1</v>
      </c>
    </row>
    <row r="961" spans="1:2" x14ac:dyDescent="0.35">
      <c r="A961">
        <v>77</v>
      </c>
      <c r="B961">
        <v>1</v>
      </c>
    </row>
    <row r="962" spans="1:2" x14ac:dyDescent="0.35">
      <c r="A962">
        <v>77</v>
      </c>
      <c r="B962">
        <v>1</v>
      </c>
    </row>
    <row r="963" spans="1:2" x14ac:dyDescent="0.35">
      <c r="A963">
        <v>77</v>
      </c>
      <c r="B963">
        <v>1</v>
      </c>
    </row>
    <row r="964" spans="1:2" x14ac:dyDescent="0.35">
      <c r="A964">
        <v>77</v>
      </c>
      <c r="B964">
        <v>1</v>
      </c>
    </row>
    <row r="965" spans="1:2" x14ac:dyDescent="0.35">
      <c r="A965">
        <v>77</v>
      </c>
      <c r="B965">
        <v>1</v>
      </c>
    </row>
    <row r="966" spans="1:2" x14ac:dyDescent="0.35">
      <c r="A966">
        <v>77</v>
      </c>
      <c r="B966">
        <v>1</v>
      </c>
    </row>
    <row r="967" spans="1:2" x14ac:dyDescent="0.35">
      <c r="A967">
        <v>77</v>
      </c>
      <c r="B967">
        <v>1</v>
      </c>
    </row>
    <row r="968" spans="1:2" x14ac:dyDescent="0.35">
      <c r="A968">
        <v>77</v>
      </c>
      <c r="B968">
        <v>1</v>
      </c>
    </row>
    <row r="969" spans="1:2" x14ac:dyDescent="0.35">
      <c r="A969">
        <v>77</v>
      </c>
      <c r="B969">
        <v>1</v>
      </c>
    </row>
    <row r="970" spans="1:2" x14ac:dyDescent="0.35">
      <c r="A970">
        <v>77</v>
      </c>
      <c r="B970">
        <v>1</v>
      </c>
    </row>
    <row r="971" spans="1:2" x14ac:dyDescent="0.35">
      <c r="A971">
        <v>77</v>
      </c>
      <c r="B971">
        <v>1</v>
      </c>
    </row>
    <row r="972" spans="1:2" x14ac:dyDescent="0.35">
      <c r="A972">
        <v>77</v>
      </c>
      <c r="B972">
        <v>1</v>
      </c>
    </row>
    <row r="973" spans="1:2" x14ac:dyDescent="0.35">
      <c r="A973">
        <v>77</v>
      </c>
      <c r="B973">
        <v>1</v>
      </c>
    </row>
    <row r="974" spans="1:2" x14ac:dyDescent="0.35">
      <c r="A974">
        <v>77</v>
      </c>
      <c r="B974">
        <v>1</v>
      </c>
    </row>
    <row r="975" spans="1:2" x14ac:dyDescent="0.35">
      <c r="A975">
        <v>77</v>
      </c>
      <c r="B975">
        <v>1</v>
      </c>
    </row>
    <row r="976" spans="1:2" x14ac:dyDescent="0.35">
      <c r="A976">
        <v>77</v>
      </c>
      <c r="B976">
        <v>1</v>
      </c>
    </row>
    <row r="977" spans="1:2" x14ac:dyDescent="0.35">
      <c r="A977">
        <v>77</v>
      </c>
      <c r="B977">
        <v>1</v>
      </c>
    </row>
    <row r="978" spans="1:2" x14ac:dyDescent="0.35">
      <c r="A978">
        <v>77</v>
      </c>
      <c r="B978">
        <v>1</v>
      </c>
    </row>
    <row r="979" spans="1:2" x14ac:dyDescent="0.35">
      <c r="A979">
        <v>77</v>
      </c>
      <c r="B979">
        <v>1</v>
      </c>
    </row>
    <row r="980" spans="1:2" x14ac:dyDescent="0.35">
      <c r="A980">
        <v>77</v>
      </c>
      <c r="B980">
        <v>1</v>
      </c>
    </row>
    <row r="981" spans="1:2" x14ac:dyDescent="0.35">
      <c r="A981">
        <v>77</v>
      </c>
      <c r="B981">
        <v>1</v>
      </c>
    </row>
    <row r="982" spans="1:2" x14ac:dyDescent="0.35">
      <c r="A982">
        <v>77</v>
      </c>
      <c r="B982">
        <v>1</v>
      </c>
    </row>
    <row r="983" spans="1:2" x14ac:dyDescent="0.35">
      <c r="A983">
        <v>77</v>
      </c>
      <c r="B983">
        <v>1</v>
      </c>
    </row>
    <row r="984" spans="1:2" x14ac:dyDescent="0.35">
      <c r="A984">
        <v>77</v>
      </c>
      <c r="B984">
        <v>1</v>
      </c>
    </row>
    <row r="985" spans="1:2" x14ac:dyDescent="0.35">
      <c r="A985">
        <v>77</v>
      </c>
      <c r="B985">
        <v>1</v>
      </c>
    </row>
    <row r="986" spans="1:2" x14ac:dyDescent="0.35">
      <c r="A986">
        <v>77</v>
      </c>
      <c r="B986">
        <v>1</v>
      </c>
    </row>
    <row r="987" spans="1:2" x14ac:dyDescent="0.35">
      <c r="A987">
        <v>77</v>
      </c>
      <c r="B987">
        <v>1</v>
      </c>
    </row>
    <row r="988" spans="1:2" x14ac:dyDescent="0.35">
      <c r="A988">
        <v>77</v>
      </c>
      <c r="B988">
        <v>1</v>
      </c>
    </row>
    <row r="989" spans="1:2" x14ac:dyDescent="0.35">
      <c r="A989">
        <v>77</v>
      </c>
      <c r="B989">
        <v>1</v>
      </c>
    </row>
    <row r="990" spans="1:2" x14ac:dyDescent="0.35">
      <c r="A990">
        <v>77</v>
      </c>
      <c r="B990">
        <v>1</v>
      </c>
    </row>
    <row r="991" spans="1:2" x14ac:dyDescent="0.35">
      <c r="A991">
        <v>77</v>
      </c>
      <c r="B991">
        <v>1</v>
      </c>
    </row>
    <row r="992" spans="1:2" x14ac:dyDescent="0.35">
      <c r="A992">
        <v>77</v>
      </c>
      <c r="B992">
        <v>1</v>
      </c>
    </row>
    <row r="993" spans="1:2" x14ac:dyDescent="0.35">
      <c r="A993">
        <v>77</v>
      </c>
      <c r="B993">
        <v>1</v>
      </c>
    </row>
    <row r="994" spans="1:2" x14ac:dyDescent="0.35">
      <c r="A994">
        <v>77</v>
      </c>
      <c r="B994">
        <v>1</v>
      </c>
    </row>
    <row r="995" spans="1:2" x14ac:dyDescent="0.35">
      <c r="A995">
        <v>77</v>
      </c>
      <c r="B995">
        <v>1</v>
      </c>
    </row>
    <row r="996" spans="1:2" x14ac:dyDescent="0.35">
      <c r="A996">
        <v>77</v>
      </c>
      <c r="B996">
        <v>1</v>
      </c>
    </row>
    <row r="997" spans="1:2" x14ac:dyDescent="0.35">
      <c r="A997">
        <v>77</v>
      </c>
      <c r="B997">
        <v>1</v>
      </c>
    </row>
    <row r="998" spans="1:2" x14ac:dyDescent="0.35">
      <c r="A998">
        <v>77</v>
      </c>
      <c r="B998">
        <v>1</v>
      </c>
    </row>
    <row r="999" spans="1:2" x14ac:dyDescent="0.35">
      <c r="A999">
        <v>77</v>
      </c>
      <c r="B999">
        <v>1</v>
      </c>
    </row>
    <row r="1000" spans="1:2" x14ac:dyDescent="0.35">
      <c r="A1000">
        <v>77</v>
      </c>
      <c r="B1000">
        <v>1</v>
      </c>
    </row>
    <row r="1001" spans="1:2" x14ac:dyDescent="0.35">
      <c r="A1001">
        <v>77</v>
      </c>
      <c r="B1001">
        <v>1</v>
      </c>
    </row>
    <row r="1002" spans="1:2" x14ac:dyDescent="0.35">
      <c r="A1002">
        <v>77</v>
      </c>
      <c r="B1002">
        <v>1</v>
      </c>
    </row>
    <row r="1003" spans="1:2" x14ac:dyDescent="0.35">
      <c r="A1003">
        <v>77</v>
      </c>
      <c r="B1003">
        <v>1</v>
      </c>
    </row>
    <row r="1004" spans="1:2" x14ac:dyDescent="0.35">
      <c r="A1004">
        <v>77</v>
      </c>
      <c r="B1004">
        <v>1</v>
      </c>
    </row>
    <row r="1005" spans="1:2" x14ac:dyDescent="0.35">
      <c r="A1005">
        <v>77</v>
      </c>
      <c r="B1005">
        <v>1</v>
      </c>
    </row>
    <row r="1006" spans="1:2" x14ac:dyDescent="0.35">
      <c r="A1006">
        <v>77</v>
      </c>
      <c r="B1006">
        <v>1</v>
      </c>
    </row>
    <row r="1007" spans="1:2" x14ac:dyDescent="0.35">
      <c r="A1007">
        <v>77</v>
      </c>
      <c r="B1007">
        <v>1</v>
      </c>
    </row>
    <row r="1008" spans="1:2" x14ac:dyDescent="0.35">
      <c r="A1008">
        <v>78</v>
      </c>
      <c r="B1008">
        <v>1</v>
      </c>
    </row>
    <row r="1009" spans="1:2" x14ac:dyDescent="0.35">
      <c r="A1009">
        <v>78</v>
      </c>
      <c r="B1009">
        <v>1</v>
      </c>
    </row>
    <row r="1010" spans="1:2" x14ac:dyDescent="0.35">
      <c r="A1010">
        <v>78</v>
      </c>
      <c r="B1010">
        <v>1</v>
      </c>
    </row>
    <row r="1011" spans="1:2" x14ac:dyDescent="0.35">
      <c r="A1011">
        <v>78</v>
      </c>
      <c r="B1011">
        <v>1</v>
      </c>
    </row>
    <row r="1012" spans="1:2" x14ac:dyDescent="0.35">
      <c r="A1012">
        <v>78</v>
      </c>
      <c r="B1012">
        <v>1</v>
      </c>
    </row>
    <row r="1013" spans="1:2" x14ac:dyDescent="0.35">
      <c r="A1013">
        <v>78</v>
      </c>
      <c r="B1013">
        <v>1</v>
      </c>
    </row>
    <row r="1014" spans="1:2" x14ac:dyDescent="0.35">
      <c r="A1014">
        <v>78</v>
      </c>
      <c r="B1014">
        <v>1</v>
      </c>
    </row>
    <row r="1015" spans="1:2" x14ac:dyDescent="0.35">
      <c r="A1015">
        <v>78</v>
      </c>
      <c r="B1015">
        <v>1</v>
      </c>
    </row>
    <row r="1016" spans="1:2" x14ac:dyDescent="0.35">
      <c r="A1016">
        <v>78</v>
      </c>
      <c r="B1016">
        <v>1</v>
      </c>
    </row>
    <row r="1017" spans="1:2" x14ac:dyDescent="0.35">
      <c r="A1017">
        <v>78</v>
      </c>
      <c r="B1017">
        <v>1</v>
      </c>
    </row>
    <row r="1018" spans="1:2" x14ac:dyDescent="0.35">
      <c r="A1018">
        <v>78</v>
      </c>
      <c r="B1018">
        <v>1</v>
      </c>
    </row>
    <row r="1019" spans="1:2" x14ac:dyDescent="0.35">
      <c r="A1019">
        <v>78</v>
      </c>
      <c r="B1019">
        <v>1</v>
      </c>
    </row>
    <row r="1020" spans="1:2" x14ac:dyDescent="0.35">
      <c r="A1020">
        <v>78</v>
      </c>
      <c r="B1020">
        <v>1</v>
      </c>
    </row>
    <row r="1021" spans="1:2" x14ac:dyDescent="0.35">
      <c r="A1021">
        <v>78</v>
      </c>
      <c r="B1021">
        <v>1</v>
      </c>
    </row>
    <row r="1022" spans="1:2" x14ac:dyDescent="0.35">
      <c r="A1022">
        <v>78</v>
      </c>
      <c r="B1022">
        <v>1</v>
      </c>
    </row>
    <row r="1023" spans="1:2" x14ac:dyDescent="0.35">
      <c r="A1023">
        <v>78</v>
      </c>
      <c r="B1023">
        <v>1</v>
      </c>
    </row>
    <row r="1024" spans="1:2" x14ac:dyDescent="0.35">
      <c r="A1024">
        <v>78</v>
      </c>
      <c r="B1024">
        <v>1</v>
      </c>
    </row>
    <row r="1025" spans="1:2" x14ac:dyDescent="0.35">
      <c r="A1025">
        <v>78</v>
      </c>
      <c r="B1025">
        <v>1</v>
      </c>
    </row>
    <row r="1026" spans="1:2" x14ac:dyDescent="0.35">
      <c r="A1026">
        <v>78</v>
      </c>
      <c r="B1026">
        <v>1</v>
      </c>
    </row>
    <row r="1027" spans="1:2" x14ac:dyDescent="0.35">
      <c r="A1027">
        <v>78</v>
      </c>
      <c r="B1027">
        <v>1</v>
      </c>
    </row>
    <row r="1028" spans="1:2" x14ac:dyDescent="0.35">
      <c r="A1028">
        <v>78</v>
      </c>
      <c r="B1028">
        <v>1</v>
      </c>
    </row>
    <row r="1029" spans="1:2" x14ac:dyDescent="0.35">
      <c r="A1029">
        <v>78</v>
      </c>
      <c r="B1029">
        <v>1</v>
      </c>
    </row>
    <row r="1030" spans="1:2" x14ac:dyDescent="0.35">
      <c r="A1030">
        <v>78</v>
      </c>
      <c r="B1030">
        <v>1</v>
      </c>
    </row>
    <row r="1031" spans="1:2" x14ac:dyDescent="0.35">
      <c r="A1031">
        <v>78</v>
      </c>
      <c r="B1031">
        <v>1</v>
      </c>
    </row>
    <row r="1032" spans="1:2" x14ac:dyDescent="0.35">
      <c r="A1032">
        <v>78</v>
      </c>
      <c r="B1032">
        <v>1</v>
      </c>
    </row>
    <row r="1033" spans="1:2" x14ac:dyDescent="0.35">
      <c r="A1033">
        <v>78</v>
      </c>
      <c r="B1033">
        <v>1</v>
      </c>
    </row>
    <row r="1034" spans="1:2" x14ac:dyDescent="0.35">
      <c r="A1034">
        <v>78</v>
      </c>
      <c r="B1034">
        <v>1</v>
      </c>
    </row>
    <row r="1035" spans="1:2" x14ac:dyDescent="0.35">
      <c r="A1035">
        <v>78</v>
      </c>
      <c r="B1035">
        <v>1</v>
      </c>
    </row>
    <row r="1036" spans="1:2" x14ac:dyDescent="0.35">
      <c r="A1036">
        <v>78</v>
      </c>
      <c r="B1036">
        <v>1</v>
      </c>
    </row>
    <row r="1037" spans="1:2" x14ac:dyDescent="0.35">
      <c r="A1037">
        <v>78</v>
      </c>
      <c r="B1037">
        <v>1</v>
      </c>
    </row>
    <row r="1038" spans="1:2" x14ac:dyDescent="0.35">
      <c r="A1038">
        <v>78</v>
      </c>
      <c r="B1038">
        <v>1</v>
      </c>
    </row>
    <row r="1039" spans="1:2" x14ac:dyDescent="0.35">
      <c r="A1039">
        <v>78</v>
      </c>
      <c r="B1039">
        <v>1</v>
      </c>
    </row>
    <row r="1040" spans="1:2" x14ac:dyDescent="0.35">
      <c r="A1040">
        <v>78</v>
      </c>
      <c r="B1040">
        <v>1</v>
      </c>
    </row>
    <row r="1041" spans="1:2" x14ac:dyDescent="0.35">
      <c r="A1041">
        <v>78</v>
      </c>
      <c r="B1041">
        <v>1</v>
      </c>
    </row>
    <row r="1042" spans="1:2" x14ac:dyDescent="0.35">
      <c r="A1042">
        <v>78</v>
      </c>
      <c r="B1042">
        <v>1</v>
      </c>
    </row>
    <row r="1043" spans="1:2" x14ac:dyDescent="0.35">
      <c r="A1043">
        <v>78</v>
      </c>
      <c r="B1043">
        <v>1</v>
      </c>
    </row>
    <row r="1044" spans="1:2" x14ac:dyDescent="0.35">
      <c r="A1044">
        <v>78</v>
      </c>
      <c r="B1044">
        <v>1</v>
      </c>
    </row>
    <row r="1045" spans="1:2" x14ac:dyDescent="0.35">
      <c r="A1045">
        <v>78</v>
      </c>
      <c r="B1045">
        <v>1</v>
      </c>
    </row>
    <row r="1046" spans="1:2" x14ac:dyDescent="0.35">
      <c r="A1046">
        <v>78</v>
      </c>
      <c r="B1046">
        <v>1</v>
      </c>
    </row>
    <row r="1047" spans="1:2" x14ac:dyDescent="0.35">
      <c r="A1047">
        <v>78</v>
      </c>
      <c r="B1047">
        <v>1</v>
      </c>
    </row>
    <row r="1048" spans="1:2" x14ac:dyDescent="0.35">
      <c r="A1048">
        <v>78</v>
      </c>
      <c r="B1048">
        <v>1</v>
      </c>
    </row>
    <row r="1049" spans="1:2" x14ac:dyDescent="0.35">
      <c r="A1049">
        <v>78</v>
      </c>
      <c r="B1049">
        <v>1</v>
      </c>
    </row>
    <row r="1050" spans="1:2" x14ac:dyDescent="0.35">
      <c r="A1050">
        <v>78</v>
      </c>
      <c r="B1050">
        <v>1</v>
      </c>
    </row>
    <row r="1051" spans="1:2" x14ac:dyDescent="0.35">
      <c r="A1051">
        <v>78</v>
      </c>
      <c r="B1051">
        <v>1</v>
      </c>
    </row>
    <row r="1052" spans="1:2" x14ac:dyDescent="0.35">
      <c r="A1052">
        <v>79</v>
      </c>
      <c r="B1052">
        <v>1</v>
      </c>
    </row>
    <row r="1053" spans="1:2" x14ac:dyDescent="0.35">
      <c r="A1053">
        <v>79</v>
      </c>
      <c r="B1053">
        <v>1</v>
      </c>
    </row>
    <row r="1054" spans="1:2" x14ac:dyDescent="0.35">
      <c r="A1054">
        <v>79</v>
      </c>
      <c r="B1054">
        <v>1</v>
      </c>
    </row>
    <row r="1055" spans="1:2" x14ac:dyDescent="0.35">
      <c r="A1055">
        <v>79</v>
      </c>
      <c r="B1055">
        <v>1</v>
      </c>
    </row>
    <row r="1056" spans="1:2" x14ac:dyDescent="0.35">
      <c r="A1056">
        <v>79</v>
      </c>
      <c r="B1056">
        <v>1</v>
      </c>
    </row>
    <row r="1057" spans="1:2" x14ac:dyDescent="0.35">
      <c r="A1057">
        <v>79</v>
      </c>
      <c r="B1057">
        <v>1</v>
      </c>
    </row>
    <row r="1058" spans="1:2" x14ac:dyDescent="0.35">
      <c r="A1058">
        <v>79</v>
      </c>
      <c r="B1058">
        <v>1</v>
      </c>
    </row>
    <row r="1059" spans="1:2" x14ac:dyDescent="0.35">
      <c r="A1059">
        <v>79</v>
      </c>
      <c r="B1059">
        <v>1</v>
      </c>
    </row>
    <row r="1060" spans="1:2" x14ac:dyDescent="0.35">
      <c r="A1060">
        <v>79</v>
      </c>
      <c r="B1060">
        <v>1</v>
      </c>
    </row>
    <row r="1061" spans="1:2" x14ac:dyDescent="0.35">
      <c r="A1061">
        <v>79</v>
      </c>
      <c r="B1061">
        <v>1</v>
      </c>
    </row>
    <row r="1062" spans="1:2" x14ac:dyDescent="0.35">
      <c r="A1062">
        <v>79</v>
      </c>
      <c r="B1062">
        <v>1</v>
      </c>
    </row>
    <row r="1063" spans="1:2" x14ac:dyDescent="0.35">
      <c r="A1063">
        <v>79</v>
      </c>
      <c r="B1063">
        <v>1</v>
      </c>
    </row>
    <row r="1064" spans="1:2" x14ac:dyDescent="0.35">
      <c r="A1064">
        <v>79</v>
      </c>
      <c r="B1064">
        <v>1</v>
      </c>
    </row>
    <row r="1065" spans="1:2" x14ac:dyDescent="0.35">
      <c r="A1065">
        <v>79</v>
      </c>
      <c r="B1065">
        <v>1</v>
      </c>
    </row>
    <row r="1066" spans="1:2" x14ac:dyDescent="0.35">
      <c r="A1066">
        <v>79</v>
      </c>
      <c r="B1066">
        <v>1</v>
      </c>
    </row>
    <row r="1067" spans="1:2" x14ac:dyDescent="0.35">
      <c r="A1067">
        <v>79</v>
      </c>
      <c r="B1067">
        <v>1</v>
      </c>
    </row>
    <row r="1068" spans="1:2" x14ac:dyDescent="0.35">
      <c r="A1068">
        <v>79</v>
      </c>
      <c r="B1068">
        <v>1</v>
      </c>
    </row>
    <row r="1069" spans="1:2" x14ac:dyDescent="0.35">
      <c r="A1069">
        <v>79</v>
      </c>
      <c r="B1069">
        <v>1</v>
      </c>
    </row>
    <row r="1070" spans="1:2" x14ac:dyDescent="0.35">
      <c r="A1070">
        <v>79</v>
      </c>
      <c r="B1070">
        <v>1</v>
      </c>
    </row>
    <row r="1071" spans="1:2" x14ac:dyDescent="0.35">
      <c r="A1071">
        <v>79</v>
      </c>
      <c r="B1071">
        <v>1</v>
      </c>
    </row>
    <row r="1072" spans="1:2" x14ac:dyDescent="0.35">
      <c r="A1072">
        <v>79</v>
      </c>
      <c r="B1072">
        <v>1</v>
      </c>
    </row>
    <row r="1073" spans="1:2" x14ac:dyDescent="0.35">
      <c r="A1073">
        <v>79</v>
      </c>
      <c r="B1073">
        <v>1</v>
      </c>
    </row>
    <row r="1074" spans="1:2" x14ac:dyDescent="0.35">
      <c r="A1074">
        <v>79</v>
      </c>
      <c r="B1074">
        <v>1</v>
      </c>
    </row>
    <row r="1075" spans="1:2" x14ac:dyDescent="0.35">
      <c r="A1075">
        <v>79</v>
      </c>
      <c r="B1075">
        <v>1</v>
      </c>
    </row>
    <row r="1076" spans="1:2" x14ac:dyDescent="0.35">
      <c r="A1076">
        <v>79</v>
      </c>
      <c r="B1076">
        <v>1</v>
      </c>
    </row>
    <row r="1077" spans="1:2" x14ac:dyDescent="0.35">
      <c r="A1077">
        <v>79</v>
      </c>
      <c r="B1077">
        <v>1</v>
      </c>
    </row>
    <row r="1078" spans="1:2" x14ac:dyDescent="0.35">
      <c r="A1078">
        <v>79</v>
      </c>
      <c r="B1078">
        <v>1</v>
      </c>
    </row>
    <row r="1079" spans="1:2" x14ac:dyDescent="0.35">
      <c r="A1079">
        <v>79</v>
      </c>
      <c r="B1079">
        <v>1</v>
      </c>
    </row>
    <row r="1080" spans="1:2" x14ac:dyDescent="0.35">
      <c r="A1080">
        <v>79</v>
      </c>
      <c r="B1080">
        <v>1</v>
      </c>
    </row>
    <row r="1081" spans="1:2" x14ac:dyDescent="0.35">
      <c r="A1081">
        <v>79</v>
      </c>
      <c r="B1081">
        <v>1</v>
      </c>
    </row>
    <row r="1082" spans="1:2" x14ac:dyDescent="0.35">
      <c r="A1082">
        <v>79</v>
      </c>
      <c r="B1082">
        <v>1</v>
      </c>
    </row>
    <row r="1083" spans="1:2" x14ac:dyDescent="0.35">
      <c r="A1083">
        <v>79</v>
      </c>
      <c r="B1083">
        <v>1</v>
      </c>
    </row>
    <row r="1084" spans="1:2" x14ac:dyDescent="0.35">
      <c r="A1084">
        <v>79</v>
      </c>
      <c r="B1084">
        <v>1</v>
      </c>
    </row>
    <row r="1085" spans="1:2" x14ac:dyDescent="0.35">
      <c r="A1085">
        <v>79</v>
      </c>
      <c r="B1085">
        <v>1</v>
      </c>
    </row>
    <row r="1086" spans="1:2" x14ac:dyDescent="0.35">
      <c r="A1086">
        <v>79</v>
      </c>
      <c r="B1086">
        <v>1</v>
      </c>
    </row>
    <row r="1087" spans="1:2" x14ac:dyDescent="0.35">
      <c r="A1087">
        <v>79</v>
      </c>
      <c r="B1087">
        <v>1</v>
      </c>
    </row>
    <row r="1088" spans="1:2" x14ac:dyDescent="0.35">
      <c r="A1088">
        <v>79</v>
      </c>
      <c r="B1088">
        <v>1</v>
      </c>
    </row>
    <row r="1089" spans="1:2" x14ac:dyDescent="0.35">
      <c r="A1089">
        <v>79</v>
      </c>
      <c r="B1089">
        <v>1</v>
      </c>
    </row>
    <row r="1090" spans="1:2" x14ac:dyDescent="0.35">
      <c r="A1090">
        <v>79</v>
      </c>
      <c r="B1090">
        <v>1</v>
      </c>
    </row>
    <row r="1091" spans="1:2" x14ac:dyDescent="0.35">
      <c r="A1091">
        <v>79</v>
      </c>
      <c r="B1091">
        <v>1</v>
      </c>
    </row>
    <row r="1092" spans="1:2" x14ac:dyDescent="0.35">
      <c r="A1092">
        <v>79</v>
      </c>
      <c r="B1092">
        <v>1</v>
      </c>
    </row>
    <row r="1093" spans="1:2" x14ac:dyDescent="0.35">
      <c r="A1093">
        <v>79</v>
      </c>
      <c r="B1093">
        <v>1</v>
      </c>
    </row>
    <row r="1094" spans="1:2" x14ac:dyDescent="0.35">
      <c r="A1094">
        <v>79</v>
      </c>
      <c r="B1094">
        <v>1</v>
      </c>
    </row>
    <row r="1095" spans="1:2" x14ac:dyDescent="0.35">
      <c r="A1095">
        <v>79</v>
      </c>
      <c r="B1095">
        <v>1</v>
      </c>
    </row>
    <row r="1096" spans="1:2" x14ac:dyDescent="0.35">
      <c r="A1096">
        <v>79</v>
      </c>
      <c r="B1096">
        <v>1</v>
      </c>
    </row>
    <row r="1097" spans="1:2" x14ac:dyDescent="0.35">
      <c r="A1097">
        <v>79</v>
      </c>
      <c r="B1097">
        <v>1</v>
      </c>
    </row>
    <row r="1098" spans="1:2" x14ac:dyDescent="0.35">
      <c r="A1098">
        <v>79</v>
      </c>
      <c r="B1098">
        <v>1</v>
      </c>
    </row>
    <row r="1099" spans="1:2" x14ac:dyDescent="0.35">
      <c r="A1099">
        <v>79</v>
      </c>
      <c r="B1099">
        <v>1</v>
      </c>
    </row>
    <row r="1100" spans="1:2" x14ac:dyDescent="0.35">
      <c r="A1100">
        <v>79</v>
      </c>
      <c r="B1100">
        <v>1</v>
      </c>
    </row>
    <row r="1101" spans="1:2" x14ac:dyDescent="0.35">
      <c r="A1101">
        <v>79</v>
      </c>
      <c r="B1101">
        <v>1</v>
      </c>
    </row>
    <row r="1102" spans="1:2" x14ac:dyDescent="0.35">
      <c r="A1102">
        <v>79</v>
      </c>
      <c r="B1102">
        <v>1</v>
      </c>
    </row>
    <row r="1103" spans="1:2" x14ac:dyDescent="0.35">
      <c r="A1103">
        <v>80</v>
      </c>
      <c r="B1103">
        <v>1</v>
      </c>
    </row>
    <row r="1104" spans="1:2" x14ac:dyDescent="0.35">
      <c r="A1104">
        <v>80</v>
      </c>
      <c r="B1104">
        <v>1</v>
      </c>
    </row>
    <row r="1105" spans="1:2" x14ac:dyDescent="0.35">
      <c r="A1105">
        <v>80</v>
      </c>
      <c r="B1105">
        <v>1</v>
      </c>
    </row>
    <row r="1106" spans="1:2" x14ac:dyDescent="0.35">
      <c r="A1106">
        <v>80</v>
      </c>
      <c r="B1106">
        <v>1</v>
      </c>
    </row>
    <row r="1107" spans="1:2" x14ac:dyDescent="0.35">
      <c r="A1107">
        <v>80</v>
      </c>
      <c r="B1107">
        <v>1</v>
      </c>
    </row>
    <row r="1108" spans="1:2" x14ac:dyDescent="0.35">
      <c r="A1108">
        <v>80</v>
      </c>
      <c r="B1108">
        <v>1</v>
      </c>
    </row>
    <row r="1109" spans="1:2" x14ac:dyDescent="0.35">
      <c r="A1109">
        <v>80</v>
      </c>
      <c r="B1109">
        <v>1</v>
      </c>
    </row>
    <row r="1110" spans="1:2" x14ac:dyDescent="0.35">
      <c r="A1110">
        <v>80</v>
      </c>
      <c r="B1110">
        <v>1</v>
      </c>
    </row>
    <row r="1111" spans="1:2" x14ac:dyDescent="0.35">
      <c r="A1111">
        <v>80</v>
      </c>
      <c r="B1111">
        <v>1</v>
      </c>
    </row>
    <row r="1112" spans="1:2" x14ac:dyDescent="0.35">
      <c r="A1112">
        <v>80</v>
      </c>
      <c r="B1112">
        <v>1</v>
      </c>
    </row>
    <row r="1113" spans="1:2" x14ac:dyDescent="0.35">
      <c r="A1113">
        <v>80</v>
      </c>
      <c r="B1113">
        <v>1</v>
      </c>
    </row>
    <row r="1114" spans="1:2" x14ac:dyDescent="0.35">
      <c r="A1114">
        <v>80</v>
      </c>
      <c r="B1114">
        <v>1</v>
      </c>
    </row>
    <row r="1115" spans="1:2" x14ac:dyDescent="0.35">
      <c r="A1115">
        <v>80</v>
      </c>
      <c r="B1115">
        <v>1</v>
      </c>
    </row>
    <row r="1116" spans="1:2" x14ac:dyDescent="0.35">
      <c r="A1116">
        <v>80</v>
      </c>
      <c r="B1116">
        <v>1</v>
      </c>
    </row>
    <row r="1117" spans="1:2" x14ac:dyDescent="0.35">
      <c r="A1117">
        <v>80</v>
      </c>
      <c r="B1117">
        <v>1</v>
      </c>
    </row>
    <row r="1118" spans="1:2" x14ac:dyDescent="0.35">
      <c r="A1118">
        <v>80</v>
      </c>
      <c r="B1118">
        <v>1</v>
      </c>
    </row>
    <row r="1119" spans="1:2" x14ac:dyDescent="0.35">
      <c r="A1119">
        <v>80</v>
      </c>
      <c r="B1119">
        <v>1</v>
      </c>
    </row>
    <row r="1120" spans="1:2" x14ac:dyDescent="0.35">
      <c r="A1120">
        <v>80</v>
      </c>
      <c r="B1120">
        <v>1</v>
      </c>
    </row>
    <row r="1121" spans="1:2" x14ac:dyDescent="0.35">
      <c r="A1121">
        <v>80</v>
      </c>
      <c r="B1121">
        <v>1</v>
      </c>
    </row>
    <row r="1122" spans="1:2" x14ac:dyDescent="0.35">
      <c r="A1122">
        <v>80</v>
      </c>
      <c r="B1122">
        <v>1</v>
      </c>
    </row>
    <row r="1123" spans="1:2" x14ac:dyDescent="0.35">
      <c r="A1123">
        <v>80</v>
      </c>
      <c r="B1123">
        <v>1</v>
      </c>
    </row>
    <row r="1124" spans="1:2" x14ac:dyDescent="0.35">
      <c r="A1124">
        <v>80</v>
      </c>
      <c r="B1124">
        <v>1</v>
      </c>
    </row>
    <row r="1125" spans="1:2" x14ac:dyDescent="0.35">
      <c r="A1125">
        <v>80</v>
      </c>
      <c r="B1125">
        <v>1</v>
      </c>
    </row>
    <row r="1126" spans="1:2" x14ac:dyDescent="0.35">
      <c r="A1126">
        <v>80</v>
      </c>
      <c r="B1126">
        <v>1</v>
      </c>
    </row>
    <row r="1127" spans="1:2" x14ac:dyDescent="0.35">
      <c r="A1127">
        <v>80</v>
      </c>
      <c r="B1127">
        <v>1</v>
      </c>
    </row>
    <row r="1128" spans="1:2" x14ac:dyDescent="0.35">
      <c r="A1128">
        <v>80</v>
      </c>
      <c r="B1128">
        <v>1</v>
      </c>
    </row>
    <row r="1129" spans="1:2" x14ac:dyDescent="0.35">
      <c r="A1129">
        <v>80</v>
      </c>
      <c r="B1129">
        <v>1</v>
      </c>
    </row>
    <row r="1130" spans="1:2" x14ac:dyDescent="0.35">
      <c r="A1130">
        <v>80</v>
      </c>
      <c r="B1130">
        <v>1</v>
      </c>
    </row>
    <row r="1131" spans="1:2" x14ac:dyDescent="0.35">
      <c r="A1131">
        <v>80</v>
      </c>
      <c r="B1131">
        <v>1</v>
      </c>
    </row>
    <row r="1132" spans="1:2" x14ac:dyDescent="0.35">
      <c r="A1132">
        <v>80</v>
      </c>
      <c r="B1132">
        <v>1</v>
      </c>
    </row>
    <row r="1133" spans="1:2" x14ac:dyDescent="0.35">
      <c r="A1133">
        <v>80</v>
      </c>
      <c r="B1133">
        <v>1</v>
      </c>
    </row>
    <row r="1134" spans="1:2" x14ac:dyDescent="0.35">
      <c r="A1134">
        <v>80</v>
      </c>
      <c r="B1134">
        <v>1</v>
      </c>
    </row>
    <row r="1135" spans="1:2" x14ac:dyDescent="0.35">
      <c r="A1135">
        <v>80</v>
      </c>
      <c r="B1135">
        <v>1</v>
      </c>
    </row>
    <row r="1136" spans="1:2" x14ac:dyDescent="0.35">
      <c r="A1136">
        <v>80</v>
      </c>
      <c r="B1136">
        <v>1</v>
      </c>
    </row>
    <row r="1137" spans="1:2" x14ac:dyDescent="0.35">
      <c r="A1137">
        <v>80</v>
      </c>
      <c r="B1137">
        <v>1</v>
      </c>
    </row>
    <row r="1138" spans="1:2" x14ac:dyDescent="0.35">
      <c r="A1138">
        <v>80</v>
      </c>
      <c r="B1138">
        <v>1</v>
      </c>
    </row>
    <row r="1139" spans="1:2" x14ac:dyDescent="0.35">
      <c r="A1139">
        <v>80</v>
      </c>
      <c r="B1139">
        <v>1</v>
      </c>
    </row>
    <row r="1140" spans="1:2" x14ac:dyDescent="0.35">
      <c r="A1140">
        <v>80</v>
      </c>
      <c r="B1140">
        <v>1</v>
      </c>
    </row>
    <row r="1141" spans="1:2" x14ac:dyDescent="0.35">
      <c r="A1141">
        <v>80</v>
      </c>
      <c r="B1141">
        <v>1</v>
      </c>
    </row>
    <row r="1142" spans="1:2" x14ac:dyDescent="0.35">
      <c r="A1142">
        <v>80</v>
      </c>
      <c r="B1142">
        <v>1</v>
      </c>
    </row>
    <row r="1143" spans="1:2" x14ac:dyDescent="0.35">
      <c r="A1143">
        <v>80</v>
      </c>
      <c r="B1143">
        <v>1</v>
      </c>
    </row>
    <row r="1144" spans="1:2" x14ac:dyDescent="0.35">
      <c r="A1144">
        <v>80</v>
      </c>
      <c r="B1144">
        <v>1</v>
      </c>
    </row>
    <row r="1145" spans="1:2" x14ac:dyDescent="0.35">
      <c r="A1145">
        <v>80</v>
      </c>
      <c r="B1145">
        <v>1</v>
      </c>
    </row>
    <row r="1146" spans="1:2" x14ac:dyDescent="0.35">
      <c r="A1146">
        <v>80</v>
      </c>
      <c r="B1146">
        <v>1</v>
      </c>
    </row>
    <row r="1147" spans="1:2" x14ac:dyDescent="0.35">
      <c r="A1147">
        <v>80</v>
      </c>
      <c r="B1147">
        <v>1</v>
      </c>
    </row>
    <row r="1148" spans="1:2" x14ac:dyDescent="0.35">
      <c r="A1148">
        <v>80</v>
      </c>
      <c r="B1148">
        <v>1</v>
      </c>
    </row>
    <row r="1149" spans="1:2" x14ac:dyDescent="0.35">
      <c r="A1149">
        <v>80</v>
      </c>
      <c r="B1149">
        <v>1</v>
      </c>
    </row>
    <row r="1150" spans="1:2" x14ac:dyDescent="0.35">
      <c r="A1150">
        <v>80</v>
      </c>
      <c r="B1150">
        <v>1</v>
      </c>
    </row>
    <row r="1151" spans="1:2" x14ac:dyDescent="0.35">
      <c r="A1151">
        <v>80</v>
      </c>
      <c r="B1151">
        <v>1</v>
      </c>
    </row>
    <row r="1152" spans="1:2" x14ac:dyDescent="0.35">
      <c r="A1152">
        <v>80</v>
      </c>
      <c r="B1152">
        <v>1</v>
      </c>
    </row>
    <row r="1153" spans="1:2" x14ac:dyDescent="0.35">
      <c r="A1153">
        <v>80</v>
      </c>
      <c r="B1153">
        <v>1</v>
      </c>
    </row>
    <row r="1154" spans="1:2" x14ac:dyDescent="0.35">
      <c r="A1154">
        <v>80</v>
      </c>
      <c r="B1154">
        <v>1</v>
      </c>
    </row>
    <row r="1155" spans="1:2" x14ac:dyDescent="0.35">
      <c r="A1155">
        <v>81</v>
      </c>
      <c r="B1155">
        <v>1</v>
      </c>
    </row>
    <row r="1156" spans="1:2" x14ac:dyDescent="0.35">
      <c r="A1156">
        <v>81</v>
      </c>
      <c r="B1156">
        <v>1</v>
      </c>
    </row>
    <row r="1157" spans="1:2" x14ac:dyDescent="0.35">
      <c r="A1157">
        <v>81</v>
      </c>
      <c r="B1157">
        <v>1</v>
      </c>
    </row>
    <row r="1158" spans="1:2" x14ac:dyDescent="0.35">
      <c r="A1158">
        <v>81</v>
      </c>
      <c r="B1158">
        <v>1</v>
      </c>
    </row>
    <row r="1159" spans="1:2" x14ac:dyDescent="0.35">
      <c r="A1159">
        <v>81</v>
      </c>
      <c r="B1159">
        <v>1</v>
      </c>
    </row>
    <row r="1160" spans="1:2" x14ac:dyDescent="0.35">
      <c r="A1160">
        <v>81</v>
      </c>
      <c r="B1160">
        <v>1</v>
      </c>
    </row>
    <row r="1161" spans="1:2" x14ac:dyDescent="0.35">
      <c r="A1161">
        <v>81</v>
      </c>
      <c r="B1161">
        <v>1</v>
      </c>
    </row>
    <row r="1162" spans="1:2" x14ac:dyDescent="0.35">
      <c r="A1162">
        <v>81</v>
      </c>
      <c r="B1162">
        <v>1</v>
      </c>
    </row>
    <row r="1163" spans="1:2" x14ac:dyDescent="0.35">
      <c r="A1163">
        <v>81</v>
      </c>
      <c r="B1163">
        <v>1</v>
      </c>
    </row>
    <row r="1164" spans="1:2" x14ac:dyDescent="0.35">
      <c r="A1164">
        <v>81</v>
      </c>
      <c r="B1164">
        <v>1</v>
      </c>
    </row>
    <row r="1165" spans="1:2" x14ac:dyDescent="0.35">
      <c r="A1165">
        <v>81</v>
      </c>
      <c r="B1165">
        <v>1</v>
      </c>
    </row>
    <row r="1166" spans="1:2" x14ac:dyDescent="0.35">
      <c r="A1166">
        <v>81</v>
      </c>
      <c r="B1166">
        <v>1</v>
      </c>
    </row>
    <row r="1167" spans="1:2" x14ac:dyDescent="0.35">
      <c r="A1167">
        <v>81</v>
      </c>
      <c r="B1167">
        <v>1</v>
      </c>
    </row>
    <row r="1168" spans="1:2" x14ac:dyDescent="0.35">
      <c r="A1168">
        <v>81</v>
      </c>
      <c r="B1168">
        <v>1</v>
      </c>
    </row>
    <row r="1169" spans="1:2" x14ac:dyDescent="0.35">
      <c r="A1169">
        <v>81</v>
      </c>
      <c r="B1169">
        <v>1</v>
      </c>
    </row>
    <row r="1170" spans="1:2" x14ac:dyDescent="0.35">
      <c r="A1170">
        <v>81</v>
      </c>
      <c r="B1170">
        <v>1</v>
      </c>
    </row>
    <row r="1171" spans="1:2" x14ac:dyDescent="0.35">
      <c r="A1171">
        <v>81</v>
      </c>
      <c r="B1171">
        <v>1</v>
      </c>
    </row>
    <row r="1172" spans="1:2" x14ac:dyDescent="0.35">
      <c r="A1172">
        <v>81</v>
      </c>
      <c r="B1172">
        <v>1</v>
      </c>
    </row>
    <row r="1173" spans="1:2" x14ac:dyDescent="0.35">
      <c r="A1173">
        <v>81</v>
      </c>
      <c r="B1173">
        <v>1</v>
      </c>
    </row>
    <row r="1174" spans="1:2" x14ac:dyDescent="0.35">
      <c r="A1174">
        <v>81</v>
      </c>
      <c r="B1174">
        <v>1</v>
      </c>
    </row>
    <row r="1175" spans="1:2" x14ac:dyDescent="0.35">
      <c r="A1175">
        <v>81</v>
      </c>
      <c r="B1175">
        <v>1</v>
      </c>
    </row>
    <row r="1176" spans="1:2" x14ac:dyDescent="0.35">
      <c r="A1176">
        <v>81</v>
      </c>
      <c r="B1176">
        <v>1</v>
      </c>
    </row>
    <row r="1177" spans="1:2" x14ac:dyDescent="0.35">
      <c r="A1177">
        <v>81</v>
      </c>
      <c r="B1177">
        <v>1</v>
      </c>
    </row>
    <row r="1178" spans="1:2" x14ac:dyDescent="0.35">
      <c r="A1178">
        <v>81</v>
      </c>
      <c r="B1178">
        <v>1</v>
      </c>
    </row>
    <row r="1179" spans="1:2" x14ac:dyDescent="0.35">
      <c r="A1179">
        <v>81</v>
      </c>
      <c r="B1179">
        <v>1</v>
      </c>
    </row>
    <row r="1180" spans="1:2" x14ac:dyDescent="0.35">
      <c r="A1180">
        <v>81</v>
      </c>
      <c r="B1180">
        <v>1</v>
      </c>
    </row>
    <row r="1181" spans="1:2" x14ac:dyDescent="0.35">
      <c r="A1181">
        <v>81</v>
      </c>
      <c r="B1181">
        <v>1</v>
      </c>
    </row>
    <row r="1182" spans="1:2" x14ac:dyDescent="0.35">
      <c r="A1182">
        <v>81</v>
      </c>
      <c r="B1182">
        <v>1</v>
      </c>
    </row>
    <row r="1183" spans="1:2" x14ac:dyDescent="0.35">
      <c r="A1183">
        <v>81</v>
      </c>
      <c r="B1183">
        <v>1</v>
      </c>
    </row>
    <row r="1184" spans="1:2" x14ac:dyDescent="0.35">
      <c r="A1184">
        <v>81</v>
      </c>
      <c r="B1184">
        <v>1</v>
      </c>
    </row>
    <row r="1185" spans="1:2" x14ac:dyDescent="0.35">
      <c r="A1185">
        <v>81</v>
      </c>
      <c r="B1185">
        <v>1</v>
      </c>
    </row>
    <row r="1186" spans="1:2" x14ac:dyDescent="0.35">
      <c r="A1186">
        <v>81</v>
      </c>
      <c r="B1186">
        <v>1</v>
      </c>
    </row>
    <row r="1187" spans="1:2" x14ac:dyDescent="0.35">
      <c r="A1187">
        <v>81</v>
      </c>
      <c r="B1187">
        <v>1</v>
      </c>
    </row>
    <row r="1188" spans="1:2" x14ac:dyDescent="0.35">
      <c r="A1188">
        <v>81</v>
      </c>
      <c r="B1188">
        <v>1</v>
      </c>
    </row>
    <row r="1189" spans="1:2" x14ac:dyDescent="0.35">
      <c r="A1189">
        <v>81</v>
      </c>
      <c r="B1189">
        <v>1</v>
      </c>
    </row>
    <row r="1190" spans="1:2" x14ac:dyDescent="0.35">
      <c r="A1190">
        <v>81</v>
      </c>
      <c r="B1190">
        <v>1</v>
      </c>
    </row>
    <row r="1191" spans="1:2" x14ac:dyDescent="0.35">
      <c r="A1191">
        <v>81</v>
      </c>
      <c r="B1191">
        <v>1</v>
      </c>
    </row>
    <row r="1192" spans="1:2" x14ac:dyDescent="0.35">
      <c r="A1192">
        <v>81</v>
      </c>
      <c r="B1192">
        <v>1</v>
      </c>
    </row>
    <row r="1193" spans="1:2" x14ac:dyDescent="0.35">
      <c r="A1193">
        <v>81</v>
      </c>
      <c r="B1193">
        <v>1</v>
      </c>
    </row>
    <row r="1194" spans="1:2" x14ac:dyDescent="0.35">
      <c r="A1194">
        <v>81</v>
      </c>
      <c r="B1194">
        <v>1</v>
      </c>
    </row>
    <row r="1195" spans="1:2" x14ac:dyDescent="0.35">
      <c r="A1195">
        <v>81</v>
      </c>
      <c r="B1195">
        <v>1</v>
      </c>
    </row>
    <row r="1196" spans="1:2" x14ac:dyDescent="0.35">
      <c r="A1196">
        <v>81</v>
      </c>
      <c r="B1196">
        <v>1</v>
      </c>
    </row>
    <row r="1197" spans="1:2" x14ac:dyDescent="0.35">
      <c r="A1197">
        <v>81</v>
      </c>
      <c r="B1197">
        <v>1</v>
      </c>
    </row>
    <row r="1198" spans="1:2" x14ac:dyDescent="0.35">
      <c r="A1198">
        <v>81</v>
      </c>
      <c r="B1198">
        <v>1</v>
      </c>
    </row>
    <row r="1199" spans="1:2" x14ac:dyDescent="0.35">
      <c r="A1199">
        <v>82</v>
      </c>
      <c r="B1199">
        <v>1</v>
      </c>
    </row>
    <row r="1200" spans="1:2" x14ac:dyDescent="0.35">
      <c r="A1200">
        <v>82</v>
      </c>
      <c r="B1200">
        <v>1</v>
      </c>
    </row>
    <row r="1201" spans="1:2" x14ac:dyDescent="0.35">
      <c r="A1201">
        <v>82</v>
      </c>
      <c r="B1201">
        <v>1</v>
      </c>
    </row>
    <row r="1202" spans="1:2" x14ac:dyDescent="0.35">
      <c r="A1202">
        <v>82</v>
      </c>
      <c r="B1202">
        <v>1</v>
      </c>
    </row>
    <row r="1203" spans="1:2" x14ac:dyDescent="0.35">
      <c r="A1203">
        <v>82</v>
      </c>
      <c r="B1203">
        <v>1</v>
      </c>
    </row>
    <row r="1204" spans="1:2" x14ac:dyDescent="0.35">
      <c r="A1204">
        <v>82</v>
      </c>
      <c r="B1204">
        <v>1</v>
      </c>
    </row>
    <row r="1205" spans="1:2" x14ac:dyDescent="0.35">
      <c r="A1205">
        <v>82</v>
      </c>
      <c r="B1205">
        <v>1</v>
      </c>
    </row>
    <row r="1206" spans="1:2" x14ac:dyDescent="0.35">
      <c r="A1206">
        <v>82</v>
      </c>
      <c r="B1206">
        <v>1</v>
      </c>
    </row>
    <row r="1207" spans="1:2" x14ac:dyDescent="0.35">
      <c r="A1207">
        <v>82</v>
      </c>
      <c r="B1207">
        <v>1</v>
      </c>
    </row>
    <row r="1208" spans="1:2" x14ac:dyDescent="0.35">
      <c r="A1208">
        <v>82</v>
      </c>
      <c r="B1208">
        <v>1</v>
      </c>
    </row>
    <row r="1209" spans="1:2" x14ac:dyDescent="0.35">
      <c r="A1209">
        <v>82</v>
      </c>
      <c r="B1209">
        <v>1</v>
      </c>
    </row>
    <row r="1210" spans="1:2" x14ac:dyDescent="0.35">
      <c r="A1210">
        <v>82</v>
      </c>
      <c r="B1210">
        <v>1</v>
      </c>
    </row>
    <row r="1211" spans="1:2" x14ac:dyDescent="0.35">
      <c r="A1211">
        <v>82</v>
      </c>
      <c r="B1211">
        <v>1</v>
      </c>
    </row>
    <row r="1212" spans="1:2" x14ac:dyDescent="0.35">
      <c r="A1212">
        <v>82</v>
      </c>
      <c r="B1212">
        <v>1</v>
      </c>
    </row>
    <row r="1213" spans="1:2" x14ac:dyDescent="0.35">
      <c r="A1213">
        <v>82</v>
      </c>
      <c r="B1213">
        <v>1</v>
      </c>
    </row>
    <row r="1214" spans="1:2" x14ac:dyDescent="0.35">
      <c r="A1214">
        <v>82</v>
      </c>
      <c r="B1214">
        <v>1</v>
      </c>
    </row>
    <row r="1215" spans="1:2" x14ac:dyDescent="0.35">
      <c r="A1215">
        <v>82</v>
      </c>
      <c r="B1215">
        <v>1</v>
      </c>
    </row>
    <row r="1216" spans="1:2" x14ac:dyDescent="0.35">
      <c r="A1216">
        <v>82</v>
      </c>
      <c r="B1216">
        <v>1</v>
      </c>
    </row>
    <row r="1217" spans="1:2" x14ac:dyDescent="0.35">
      <c r="A1217">
        <v>82</v>
      </c>
      <c r="B1217">
        <v>1</v>
      </c>
    </row>
    <row r="1218" spans="1:2" x14ac:dyDescent="0.35">
      <c r="A1218">
        <v>82</v>
      </c>
      <c r="B1218">
        <v>1</v>
      </c>
    </row>
    <row r="1219" spans="1:2" x14ac:dyDescent="0.35">
      <c r="A1219">
        <v>82</v>
      </c>
      <c r="B1219">
        <v>1</v>
      </c>
    </row>
    <row r="1220" spans="1:2" x14ac:dyDescent="0.35">
      <c r="A1220">
        <v>82</v>
      </c>
      <c r="B1220">
        <v>1</v>
      </c>
    </row>
    <row r="1221" spans="1:2" x14ac:dyDescent="0.35">
      <c r="A1221">
        <v>82</v>
      </c>
      <c r="B1221">
        <v>1</v>
      </c>
    </row>
    <row r="1222" spans="1:2" x14ac:dyDescent="0.35">
      <c r="A1222">
        <v>82</v>
      </c>
      <c r="B1222">
        <v>1</v>
      </c>
    </row>
    <row r="1223" spans="1:2" x14ac:dyDescent="0.35">
      <c r="A1223">
        <v>82</v>
      </c>
      <c r="B1223">
        <v>1</v>
      </c>
    </row>
    <row r="1224" spans="1:2" x14ac:dyDescent="0.35">
      <c r="A1224">
        <v>82</v>
      </c>
      <c r="B1224">
        <v>1</v>
      </c>
    </row>
    <row r="1225" spans="1:2" x14ac:dyDescent="0.35">
      <c r="A1225">
        <v>82</v>
      </c>
      <c r="B1225">
        <v>1</v>
      </c>
    </row>
    <row r="1226" spans="1:2" x14ac:dyDescent="0.35">
      <c r="A1226">
        <v>82</v>
      </c>
      <c r="B1226">
        <v>1</v>
      </c>
    </row>
    <row r="1227" spans="1:2" x14ac:dyDescent="0.35">
      <c r="A1227">
        <v>82</v>
      </c>
      <c r="B1227">
        <v>1</v>
      </c>
    </row>
    <row r="1228" spans="1:2" x14ac:dyDescent="0.35">
      <c r="A1228">
        <v>82</v>
      </c>
      <c r="B1228">
        <v>1</v>
      </c>
    </row>
    <row r="1229" spans="1:2" x14ac:dyDescent="0.35">
      <c r="A1229">
        <v>82</v>
      </c>
      <c r="B1229">
        <v>1</v>
      </c>
    </row>
    <row r="1230" spans="1:2" x14ac:dyDescent="0.35">
      <c r="A1230">
        <v>82</v>
      </c>
      <c r="B1230">
        <v>1</v>
      </c>
    </row>
    <row r="1231" spans="1:2" x14ac:dyDescent="0.35">
      <c r="A1231">
        <v>82</v>
      </c>
      <c r="B1231">
        <v>1</v>
      </c>
    </row>
    <row r="1232" spans="1:2" x14ac:dyDescent="0.35">
      <c r="A1232">
        <v>82</v>
      </c>
      <c r="B1232">
        <v>1</v>
      </c>
    </row>
    <row r="1233" spans="1:2" x14ac:dyDescent="0.35">
      <c r="A1233">
        <v>82</v>
      </c>
      <c r="B1233">
        <v>1</v>
      </c>
    </row>
    <row r="1234" spans="1:2" x14ac:dyDescent="0.35">
      <c r="A1234">
        <v>82</v>
      </c>
      <c r="B1234">
        <v>1</v>
      </c>
    </row>
    <row r="1235" spans="1:2" x14ac:dyDescent="0.35">
      <c r="A1235">
        <v>82</v>
      </c>
      <c r="B1235">
        <v>1</v>
      </c>
    </row>
    <row r="1236" spans="1:2" x14ac:dyDescent="0.35">
      <c r="A1236">
        <v>82</v>
      </c>
      <c r="B1236">
        <v>1</v>
      </c>
    </row>
    <row r="1237" spans="1:2" x14ac:dyDescent="0.35">
      <c r="A1237">
        <v>82</v>
      </c>
      <c r="B1237">
        <v>1</v>
      </c>
    </row>
    <row r="1238" spans="1:2" x14ac:dyDescent="0.35">
      <c r="A1238">
        <v>82</v>
      </c>
      <c r="B1238">
        <v>1</v>
      </c>
    </row>
    <row r="1239" spans="1:2" x14ac:dyDescent="0.35">
      <c r="A1239">
        <v>82</v>
      </c>
      <c r="B1239">
        <v>1</v>
      </c>
    </row>
    <row r="1240" spans="1:2" x14ac:dyDescent="0.35">
      <c r="A1240">
        <v>82</v>
      </c>
      <c r="B1240">
        <v>1</v>
      </c>
    </row>
    <row r="1241" spans="1:2" x14ac:dyDescent="0.35">
      <c r="A1241">
        <v>82</v>
      </c>
      <c r="B1241">
        <v>1</v>
      </c>
    </row>
    <row r="1242" spans="1:2" x14ac:dyDescent="0.35">
      <c r="A1242">
        <v>82</v>
      </c>
      <c r="B1242">
        <v>1</v>
      </c>
    </row>
    <row r="1243" spans="1:2" x14ac:dyDescent="0.35">
      <c r="A1243">
        <v>82</v>
      </c>
      <c r="B1243">
        <v>1</v>
      </c>
    </row>
    <row r="1244" spans="1:2" x14ac:dyDescent="0.35">
      <c r="A1244">
        <v>82</v>
      </c>
      <c r="B1244">
        <v>1</v>
      </c>
    </row>
    <row r="1245" spans="1:2" x14ac:dyDescent="0.35">
      <c r="A1245">
        <v>82</v>
      </c>
      <c r="B1245">
        <v>1</v>
      </c>
    </row>
    <row r="1246" spans="1:2" x14ac:dyDescent="0.35">
      <c r="A1246">
        <v>82</v>
      </c>
      <c r="B1246">
        <v>1</v>
      </c>
    </row>
    <row r="1247" spans="1:2" x14ac:dyDescent="0.35">
      <c r="A1247">
        <v>82</v>
      </c>
      <c r="B1247">
        <v>1</v>
      </c>
    </row>
    <row r="1248" spans="1:2" x14ac:dyDescent="0.35">
      <c r="A1248">
        <v>82</v>
      </c>
      <c r="B1248">
        <v>1</v>
      </c>
    </row>
    <row r="1249" spans="1:2" x14ac:dyDescent="0.35">
      <c r="A1249">
        <v>82</v>
      </c>
      <c r="B1249">
        <v>1</v>
      </c>
    </row>
    <row r="1250" spans="1:2" x14ac:dyDescent="0.35">
      <c r="A1250">
        <v>82</v>
      </c>
      <c r="B1250">
        <v>1</v>
      </c>
    </row>
    <row r="1251" spans="1:2" x14ac:dyDescent="0.35">
      <c r="A1251">
        <v>83</v>
      </c>
      <c r="B1251">
        <v>1</v>
      </c>
    </row>
    <row r="1252" spans="1:2" x14ac:dyDescent="0.35">
      <c r="A1252">
        <v>83</v>
      </c>
      <c r="B1252">
        <v>1</v>
      </c>
    </row>
    <row r="1253" spans="1:2" x14ac:dyDescent="0.35">
      <c r="A1253">
        <v>83</v>
      </c>
      <c r="B1253">
        <v>1</v>
      </c>
    </row>
    <row r="1254" spans="1:2" x14ac:dyDescent="0.35">
      <c r="A1254">
        <v>83</v>
      </c>
      <c r="B1254">
        <v>1</v>
      </c>
    </row>
    <row r="1255" spans="1:2" x14ac:dyDescent="0.35">
      <c r="A1255">
        <v>83</v>
      </c>
      <c r="B1255">
        <v>1</v>
      </c>
    </row>
    <row r="1256" spans="1:2" x14ac:dyDescent="0.35">
      <c r="A1256">
        <v>83</v>
      </c>
      <c r="B1256">
        <v>1</v>
      </c>
    </row>
    <row r="1257" spans="1:2" x14ac:dyDescent="0.35">
      <c r="A1257">
        <v>83</v>
      </c>
      <c r="B1257">
        <v>1</v>
      </c>
    </row>
    <row r="1258" spans="1:2" x14ac:dyDescent="0.35">
      <c r="A1258">
        <v>83</v>
      </c>
      <c r="B1258">
        <v>1</v>
      </c>
    </row>
    <row r="1259" spans="1:2" x14ac:dyDescent="0.35">
      <c r="A1259">
        <v>83</v>
      </c>
      <c r="B1259">
        <v>1</v>
      </c>
    </row>
    <row r="1260" spans="1:2" x14ac:dyDescent="0.35">
      <c r="A1260">
        <v>83</v>
      </c>
      <c r="B1260">
        <v>1</v>
      </c>
    </row>
    <row r="1261" spans="1:2" x14ac:dyDescent="0.35">
      <c r="A1261">
        <v>83</v>
      </c>
      <c r="B1261">
        <v>1</v>
      </c>
    </row>
    <row r="1262" spans="1:2" x14ac:dyDescent="0.35">
      <c r="A1262">
        <v>83</v>
      </c>
      <c r="B1262">
        <v>1</v>
      </c>
    </row>
    <row r="1263" spans="1:2" x14ac:dyDescent="0.35">
      <c r="A1263">
        <v>83</v>
      </c>
      <c r="B1263">
        <v>1</v>
      </c>
    </row>
    <row r="1264" spans="1:2" x14ac:dyDescent="0.35">
      <c r="A1264">
        <v>83</v>
      </c>
      <c r="B1264">
        <v>1</v>
      </c>
    </row>
    <row r="1265" spans="1:2" x14ac:dyDescent="0.35">
      <c r="A1265">
        <v>83</v>
      </c>
      <c r="B1265">
        <v>1</v>
      </c>
    </row>
    <row r="1266" spans="1:2" x14ac:dyDescent="0.35">
      <c r="A1266">
        <v>83</v>
      </c>
      <c r="B1266">
        <v>1</v>
      </c>
    </row>
    <row r="1267" spans="1:2" x14ac:dyDescent="0.35">
      <c r="A1267">
        <v>83</v>
      </c>
      <c r="B1267">
        <v>1</v>
      </c>
    </row>
    <row r="1268" spans="1:2" x14ac:dyDescent="0.35">
      <c r="A1268">
        <v>83</v>
      </c>
      <c r="B1268">
        <v>1</v>
      </c>
    </row>
    <row r="1269" spans="1:2" x14ac:dyDescent="0.35">
      <c r="A1269">
        <v>83</v>
      </c>
      <c r="B1269">
        <v>1</v>
      </c>
    </row>
    <row r="1270" spans="1:2" x14ac:dyDescent="0.35">
      <c r="A1270">
        <v>83</v>
      </c>
      <c r="B1270">
        <v>1</v>
      </c>
    </row>
    <row r="1271" spans="1:2" x14ac:dyDescent="0.35">
      <c r="A1271">
        <v>83</v>
      </c>
      <c r="B1271">
        <v>1</v>
      </c>
    </row>
    <row r="1272" spans="1:2" x14ac:dyDescent="0.35">
      <c r="A1272">
        <v>83</v>
      </c>
      <c r="B1272">
        <v>1</v>
      </c>
    </row>
    <row r="1273" spans="1:2" x14ac:dyDescent="0.35">
      <c r="A1273">
        <v>83</v>
      </c>
      <c r="B1273">
        <v>1</v>
      </c>
    </row>
    <row r="1274" spans="1:2" x14ac:dyDescent="0.35">
      <c r="A1274">
        <v>83</v>
      </c>
      <c r="B1274">
        <v>1</v>
      </c>
    </row>
    <row r="1275" spans="1:2" x14ac:dyDescent="0.35">
      <c r="A1275">
        <v>83</v>
      </c>
      <c r="B1275">
        <v>1</v>
      </c>
    </row>
    <row r="1276" spans="1:2" x14ac:dyDescent="0.35">
      <c r="A1276">
        <v>83</v>
      </c>
      <c r="B1276">
        <v>1</v>
      </c>
    </row>
    <row r="1277" spans="1:2" x14ac:dyDescent="0.35">
      <c r="A1277">
        <v>83</v>
      </c>
      <c r="B1277">
        <v>1</v>
      </c>
    </row>
    <row r="1278" spans="1:2" x14ac:dyDescent="0.35">
      <c r="A1278">
        <v>83</v>
      </c>
      <c r="B1278">
        <v>1</v>
      </c>
    </row>
    <row r="1279" spans="1:2" x14ac:dyDescent="0.35">
      <c r="A1279">
        <v>83</v>
      </c>
      <c r="B1279">
        <v>1</v>
      </c>
    </row>
    <row r="1280" spans="1:2" x14ac:dyDescent="0.35">
      <c r="A1280">
        <v>83</v>
      </c>
      <c r="B1280">
        <v>1</v>
      </c>
    </row>
    <row r="1281" spans="1:2" x14ac:dyDescent="0.35">
      <c r="A1281">
        <v>83</v>
      </c>
      <c r="B1281">
        <v>1</v>
      </c>
    </row>
    <row r="1282" spans="1:2" x14ac:dyDescent="0.35">
      <c r="A1282">
        <v>83</v>
      </c>
      <c r="B1282">
        <v>1</v>
      </c>
    </row>
    <row r="1283" spans="1:2" x14ac:dyDescent="0.35">
      <c r="A1283">
        <v>83</v>
      </c>
      <c r="B1283">
        <v>1</v>
      </c>
    </row>
    <row r="1284" spans="1:2" x14ac:dyDescent="0.35">
      <c r="A1284">
        <v>83</v>
      </c>
      <c r="B1284">
        <v>1</v>
      </c>
    </row>
    <row r="1285" spans="1:2" x14ac:dyDescent="0.35">
      <c r="A1285">
        <v>83</v>
      </c>
      <c r="B1285">
        <v>1</v>
      </c>
    </row>
    <row r="1286" spans="1:2" x14ac:dyDescent="0.35">
      <c r="A1286">
        <v>83</v>
      </c>
      <c r="B1286">
        <v>1</v>
      </c>
    </row>
    <row r="1287" spans="1:2" x14ac:dyDescent="0.35">
      <c r="A1287">
        <v>83</v>
      </c>
      <c r="B1287">
        <v>1</v>
      </c>
    </row>
    <row r="1288" spans="1:2" x14ac:dyDescent="0.35">
      <c r="A1288">
        <v>83</v>
      </c>
      <c r="B1288">
        <v>1</v>
      </c>
    </row>
    <row r="1289" spans="1:2" x14ac:dyDescent="0.35">
      <c r="A1289">
        <v>83</v>
      </c>
      <c r="B1289">
        <v>1</v>
      </c>
    </row>
    <row r="1290" spans="1:2" x14ac:dyDescent="0.35">
      <c r="A1290">
        <v>83</v>
      </c>
      <c r="B1290">
        <v>1</v>
      </c>
    </row>
    <row r="1291" spans="1:2" x14ac:dyDescent="0.35">
      <c r="A1291">
        <v>83</v>
      </c>
      <c r="B1291">
        <v>1</v>
      </c>
    </row>
    <row r="1292" spans="1:2" x14ac:dyDescent="0.35">
      <c r="A1292">
        <v>83</v>
      </c>
      <c r="B1292">
        <v>1</v>
      </c>
    </row>
    <row r="1293" spans="1:2" x14ac:dyDescent="0.35">
      <c r="A1293">
        <v>83</v>
      </c>
      <c r="B1293">
        <v>1</v>
      </c>
    </row>
    <row r="1294" spans="1:2" x14ac:dyDescent="0.35">
      <c r="A1294">
        <v>83</v>
      </c>
      <c r="B1294">
        <v>1</v>
      </c>
    </row>
    <row r="1295" spans="1:2" x14ac:dyDescent="0.35">
      <c r="A1295">
        <v>83</v>
      </c>
      <c r="B1295">
        <v>1</v>
      </c>
    </row>
    <row r="1296" spans="1:2" x14ac:dyDescent="0.35">
      <c r="A1296">
        <v>83</v>
      </c>
      <c r="B1296">
        <v>1</v>
      </c>
    </row>
    <row r="1297" spans="1:2" x14ac:dyDescent="0.35">
      <c r="A1297">
        <v>83</v>
      </c>
      <c r="B1297">
        <v>1</v>
      </c>
    </row>
    <row r="1298" spans="1:2" x14ac:dyDescent="0.35">
      <c r="A1298">
        <v>83</v>
      </c>
      <c r="B1298">
        <v>1</v>
      </c>
    </row>
    <row r="1299" spans="1:2" x14ac:dyDescent="0.35">
      <c r="A1299">
        <v>83</v>
      </c>
      <c r="B1299">
        <v>1</v>
      </c>
    </row>
    <row r="1300" spans="1:2" x14ac:dyDescent="0.35">
      <c r="A1300">
        <v>83</v>
      </c>
      <c r="B1300">
        <v>1</v>
      </c>
    </row>
    <row r="1301" spans="1:2" x14ac:dyDescent="0.35">
      <c r="A1301">
        <v>83</v>
      </c>
      <c r="B1301">
        <v>1</v>
      </c>
    </row>
    <row r="1302" spans="1:2" x14ac:dyDescent="0.35">
      <c r="A1302">
        <v>83</v>
      </c>
      <c r="B1302">
        <v>1</v>
      </c>
    </row>
    <row r="1303" spans="1:2" x14ac:dyDescent="0.35">
      <c r="A1303">
        <v>84</v>
      </c>
      <c r="B1303">
        <v>1</v>
      </c>
    </row>
    <row r="1304" spans="1:2" x14ac:dyDescent="0.35">
      <c r="A1304">
        <v>84</v>
      </c>
      <c r="B1304">
        <v>1</v>
      </c>
    </row>
    <row r="1305" spans="1:2" x14ac:dyDescent="0.35">
      <c r="A1305">
        <v>84</v>
      </c>
      <c r="B1305">
        <v>1</v>
      </c>
    </row>
    <row r="1306" spans="1:2" x14ac:dyDescent="0.35">
      <c r="A1306">
        <v>84</v>
      </c>
      <c r="B1306">
        <v>1</v>
      </c>
    </row>
    <row r="1307" spans="1:2" x14ac:dyDescent="0.35">
      <c r="A1307">
        <v>84</v>
      </c>
      <c r="B1307">
        <v>1</v>
      </c>
    </row>
    <row r="1308" spans="1:2" x14ac:dyDescent="0.35">
      <c r="A1308">
        <v>84</v>
      </c>
      <c r="B1308">
        <v>1</v>
      </c>
    </row>
    <row r="1309" spans="1:2" x14ac:dyDescent="0.35">
      <c r="A1309">
        <v>84</v>
      </c>
      <c r="B1309">
        <v>1</v>
      </c>
    </row>
    <row r="1310" spans="1:2" x14ac:dyDescent="0.35">
      <c r="A1310">
        <v>84</v>
      </c>
      <c r="B1310">
        <v>1</v>
      </c>
    </row>
    <row r="1311" spans="1:2" x14ac:dyDescent="0.35">
      <c r="A1311">
        <v>84</v>
      </c>
      <c r="B1311">
        <v>1</v>
      </c>
    </row>
    <row r="1312" spans="1:2" x14ac:dyDescent="0.35">
      <c r="A1312">
        <v>84</v>
      </c>
      <c r="B1312">
        <v>1</v>
      </c>
    </row>
    <row r="1313" spans="1:2" x14ac:dyDescent="0.35">
      <c r="A1313">
        <v>84</v>
      </c>
      <c r="B1313">
        <v>1</v>
      </c>
    </row>
    <row r="1314" spans="1:2" x14ac:dyDescent="0.35">
      <c r="A1314">
        <v>84</v>
      </c>
      <c r="B1314">
        <v>1</v>
      </c>
    </row>
    <row r="1315" spans="1:2" x14ac:dyDescent="0.35">
      <c r="A1315">
        <v>84</v>
      </c>
      <c r="B1315">
        <v>1</v>
      </c>
    </row>
    <row r="1316" spans="1:2" x14ac:dyDescent="0.35">
      <c r="A1316">
        <v>84</v>
      </c>
      <c r="B1316">
        <v>1</v>
      </c>
    </row>
    <row r="1317" spans="1:2" x14ac:dyDescent="0.35">
      <c r="A1317">
        <v>84</v>
      </c>
      <c r="B1317">
        <v>1</v>
      </c>
    </row>
    <row r="1318" spans="1:2" x14ac:dyDescent="0.35">
      <c r="A1318">
        <v>84</v>
      </c>
      <c r="B1318">
        <v>1</v>
      </c>
    </row>
    <row r="1319" spans="1:2" x14ac:dyDescent="0.35">
      <c r="A1319">
        <v>84</v>
      </c>
      <c r="B1319">
        <v>1</v>
      </c>
    </row>
    <row r="1320" spans="1:2" x14ac:dyDescent="0.35">
      <c r="A1320">
        <v>84</v>
      </c>
      <c r="B1320">
        <v>1</v>
      </c>
    </row>
    <row r="1321" spans="1:2" x14ac:dyDescent="0.35">
      <c r="A1321">
        <v>84</v>
      </c>
      <c r="B1321">
        <v>1</v>
      </c>
    </row>
    <row r="1322" spans="1:2" x14ac:dyDescent="0.35">
      <c r="A1322">
        <v>84</v>
      </c>
      <c r="B1322">
        <v>1</v>
      </c>
    </row>
    <row r="1323" spans="1:2" x14ac:dyDescent="0.35">
      <c r="A1323">
        <v>84</v>
      </c>
      <c r="B1323">
        <v>1</v>
      </c>
    </row>
    <row r="1324" spans="1:2" x14ac:dyDescent="0.35">
      <c r="A1324">
        <v>84</v>
      </c>
      <c r="B1324">
        <v>1</v>
      </c>
    </row>
    <row r="1325" spans="1:2" x14ac:dyDescent="0.35">
      <c r="A1325">
        <v>84</v>
      </c>
      <c r="B1325">
        <v>1</v>
      </c>
    </row>
    <row r="1326" spans="1:2" x14ac:dyDescent="0.35">
      <c r="A1326">
        <v>84</v>
      </c>
      <c r="B1326">
        <v>1</v>
      </c>
    </row>
    <row r="1327" spans="1:2" x14ac:dyDescent="0.35">
      <c r="A1327">
        <v>84</v>
      </c>
      <c r="B1327">
        <v>1</v>
      </c>
    </row>
    <row r="1328" spans="1:2" x14ac:dyDescent="0.35">
      <c r="A1328">
        <v>84</v>
      </c>
      <c r="B1328">
        <v>1</v>
      </c>
    </row>
    <row r="1329" spans="1:2" x14ac:dyDescent="0.35">
      <c r="A1329">
        <v>84</v>
      </c>
      <c r="B1329">
        <v>1</v>
      </c>
    </row>
    <row r="1330" spans="1:2" x14ac:dyDescent="0.35">
      <c r="A1330">
        <v>84</v>
      </c>
      <c r="B1330">
        <v>1</v>
      </c>
    </row>
    <row r="1331" spans="1:2" x14ac:dyDescent="0.35">
      <c r="A1331">
        <v>84</v>
      </c>
      <c r="B1331">
        <v>1</v>
      </c>
    </row>
    <row r="1332" spans="1:2" x14ac:dyDescent="0.35">
      <c r="A1332">
        <v>84</v>
      </c>
      <c r="B1332">
        <v>1</v>
      </c>
    </row>
    <row r="1333" spans="1:2" x14ac:dyDescent="0.35">
      <c r="A1333">
        <v>84</v>
      </c>
      <c r="B1333">
        <v>1</v>
      </c>
    </row>
    <row r="1334" spans="1:2" x14ac:dyDescent="0.35">
      <c r="A1334">
        <v>84</v>
      </c>
      <c r="B1334">
        <v>1</v>
      </c>
    </row>
    <row r="1335" spans="1:2" x14ac:dyDescent="0.35">
      <c r="A1335">
        <v>84</v>
      </c>
      <c r="B1335">
        <v>1</v>
      </c>
    </row>
    <row r="1336" spans="1:2" x14ac:dyDescent="0.35">
      <c r="A1336">
        <v>84</v>
      </c>
      <c r="B1336">
        <v>1</v>
      </c>
    </row>
    <row r="1337" spans="1:2" x14ac:dyDescent="0.35">
      <c r="A1337">
        <v>84</v>
      </c>
      <c r="B1337">
        <v>1</v>
      </c>
    </row>
    <row r="1338" spans="1:2" x14ac:dyDescent="0.35">
      <c r="A1338">
        <v>84</v>
      </c>
      <c r="B1338">
        <v>1</v>
      </c>
    </row>
    <row r="1339" spans="1:2" x14ac:dyDescent="0.35">
      <c r="A1339">
        <v>84</v>
      </c>
      <c r="B1339">
        <v>1</v>
      </c>
    </row>
    <row r="1340" spans="1:2" x14ac:dyDescent="0.35">
      <c r="A1340">
        <v>84</v>
      </c>
      <c r="B1340">
        <v>1</v>
      </c>
    </row>
    <row r="1341" spans="1:2" x14ac:dyDescent="0.35">
      <c r="A1341">
        <v>84</v>
      </c>
      <c r="B1341">
        <v>1</v>
      </c>
    </row>
    <row r="1342" spans="1:2" x14ac:dyDescent="0.35">
      <c r="A1342">
        <v>84</v>
      </c>
      <c r="B1342">
        <v>1</v>
      </c>
    </row>
    <row r="1343" spans="1:2" x14ac:dyDescent="0.35">
      <c r="A1343">
        <v>84</v>
      </c>
      <c r="B1343">
        <v>1</v>
      </c>
    </row>
    <row r="1344" spans="1:2" x14ac:dyDescent="0.35">
      <c r="A1344">
        <v>84</v>
      </c>
      <c r="B1344">
        <v>1</v>
      </c>
    </row>
    <row r="1345" spans="1:2" x14ac:dyDescent="0.35">
      <c r="A1345">
        <v>84</v>
      </c>
      <c r="B1345">
        <v>1</v>
      </c>
    </row>
    <row r="1346" spans="1:2" x14ac:dyDescent="0.35">
      <c r="A1346">
        <v>84</v>
      </c>
      <c r="B1346">
        <v>1</v>
      </c>
    </row>
    <row r="1347" spans="1:2" x14ac:dyDescent="0.35">
      <c r="A1347">
        <v>84</v>
      </c>
      <c r="B1347">
        <v>1</v>
      </c>
    </row>
    <row r="1348" spans="1:2" x14ac:dyDescent="0.35">
      <c r="A1348">
        <v>84</v>
      </c>
      <c r="B1348">
        <v>1</v>
      </c>
    </row>
    <row r="1349" spans="1:2" x14ac:dyDescent="0.35">
      <c r="A1349">
        <v>84</v>
      </c>
      <c r="B1349">
        <v>1</v>
      </c>
    </row>
    <row r="1350" spans="1:2" x14ac:dyDescent="0.35">
      <c r="A1350">
        <v>84</v>
      </c>
      <c r="B1350">
        <v>1</v>
      </c>
    </row>
    <row r="1351" spans="1:2" x14ac:dyDescent="0.35">
      <c r="A1351">
        <v>85</v>
      </c>
      <c r="B1351">
        <v>1</v>
      </c>
    </row>
    <row r="1352" spans="1:2" x14ac:dyDescent="0.35">
      <c r="A1352">
        <v>85</v>
      </c>
      <c r="B1352">
        <v>1</v>
      </c>
    </row>
    <row r="1353" spans="1:2" x14ac:dyDescent="0.35">
      <c r="A1353">
        <v>85</v>
      </c>
      <c r="B1353">
        <v>1</v>
      </c>
    </row>
    <row r="1354" spans="1:2" x14ac:dyDescent="0.35">
      <c r="A1354">
        <v>85</v>
      </c>
      <c r="B1354">
        <v>1</v>
      </c>
    </row>
    <row r="1355" spans="1:2" x14ac:dyDescent="0.35">
      <c r="A1355">
        <v>85</v>
      </c>
      <c r="B1355">
        <v>1</v>
      </c>
    </row>
    <row r="1356" spans="1:2" x14ac:dyDescent="0.35">
      <c r="A1356">
        <v>85</v>
      </c>
      <c r="B1356">
        <v>1</v>
      </c>
    </row>
    <row r="1357" spans="1:2" x14ac:dyDescent="0.35">
      <c r="A1357">
        <v>85</v>
      </c>
      <c r="B1357">
        <v>1</v>
      </c>
    </row>
    <row r="1358" spans="1:2" x14ac:dyDescent="0.35">
      <c r="A1358">
        <v>85</v>
      </c>
      <c r="B1358">
        <v>1</v>
      </c>
    </row>
    <row r="1359" spans="1:2" x14ac:dyDescent="0.35">
      <c r="A1359">
        <v>85</v>
      </c>
      <c r="B1359">
        <v>1</v>
      </c>
    </row>
    <row r="1360" spans="1:2" x14ac:dyDescent="0.35">
      <c r="A1360">
        <v>85</v>
      </c>
      <c r="B1360">
        <v>1</v>
      </c>
    </row>
    <row r="1361" spans="1:2" x14ac:dyDescent="0.35">
      <c r="A1361">
        <v>85</v>
      </c>
      <c r="B1361">
        <v>1</v>
      </c>
    </row>
    <row r="1362" spans="1:2" x14ac:dyDescent="0.35">
      <c r="A1362">
        <v>85</v>
      </c>
      <c r="B1362">
        <v>1</v>
      </c>
    </row>
    <row r="1363" spans="1:2" x14ac:dyDescent="0.35">
      <c r="A1363">
        <v>85</v>
      </c>
      <c r="B1363">
        <v>1</v>
      </c>
    </row>
    <row r="1364" spans="1:2" x14ac:dyDescent="0.35">
      <c r="A1364">
        <v>85</v>
      </c>
      <c r="B1364">
        <v>1</v>
      </c>
    </row>
    <row r="1365" spans="1:2" x14ac:dyDescent="0.35">
      <c r="A1365">
        <v>85</v>
      </c>
      <c r="B1365">
        <v>1</v>
      </c>
    </row>
    <row r="1366" spans="1:2" x14ac:dyDescent="0.35">
      <c r="A1366">
        <v>85</v>
      </c>
      <c r="B1366">
        <v>1</v>
      </c>
    </row>
    <row r="1367" spans="1:2" x14ac:dyDescent="0.35">
      <c r="A1367">
        <v>85</v>
      </c>
      <c r="B1367">
        <v>1</v>
      </c>
    </row>
    <row r="1368" spans="1:2" x14ac:dyDescent="0.35">
      <c r="A1368">
        <v>85</v>
      </c>
      <c r="B1368">
        <v>1</v>
      </c>
    </row>
    <row r="1369" spans="1:2" x14ac:dyDescent="0.35">
      <c r="A1369">
        <v>85</v>
      </c>
      <c r="B1369">
        <v>1</v>
      </c>
    </row>
    <row r="1370" spans="1:2" x14ac:dyDescent="0.35">
      <c r="A1370">
        <v>85</v>
      </c>
      <c r="B1370">
        <v>1</v>
      </c>
    </row>
    <row r="1371" spans="1:2" x14ac:dyDescent="0.35">
      <c r="A1371">
        <v>85</v>
      </c>
      <c r="B1371">
        <v>1</v>
      </c>
    </row>
    <row r="1372" spans="1:2" x14ac:dyDescent="0.35">
      <c r="A1372">
        <v>85</v>
      </c>
      <c r="B1372">
        <v>1</v>
      </c>
    </row>
    <row r="1373" spans="1:2" x14ac:dyDescent="0.35">
      <c r="A1373">
        <v>85</v>
      </c>
      <c r="B1373">
        <v>1</v>
      </c>
    </row>
    <row r="1374" spans="1:2" x14ac:dyDescent="0.35">
      <c r="A1374">
        <v>85</v>
      </c>
      <c r="B1374">
        <v>1</v>
      </c>
    </row>
    <row r="1375" spans="1:2" x14ac:dyDescent="0.35">
      <c r="A1375">
        <v>85</v>
      </c>
      <c r="B1375">
        <v>1</v>
      </c>
    </row>
    <row r="1376" spans="1:2" x14ac:dyDescent="0.35">
      <c r="A1376">
        <v>85</v>
      </c>
      <c r="B1376">
        <v>1</v>
      </c>
    </row>
    <row r="1377" spans="1:2" x14ac:dyDescent="0.35">
      <c r="A1377">
        <v>85</v>
      </c>
      <c r="B1377">
        <v>1</v>
      </c>
    </row>
    <row r="1378" spans="1:2" x14ac:dyDescent="0.35">
      <c r="A1378">
        <v>85</v>
      </c>
      <c r="B1378">
        <v>1</v>
      </c>
    </row>
    <row r="1379" spans="1:2" x14ac:dyDescent="0.35">
      <c r="A1379">
        <v>85</v>
      </c>
      <c r="B1379">
        <v>1</v>
      </c>
    </row>
    <row r="1380" spans="1:2" x14ac:dyDescent="0.35">
      <c r="A1380">
        <v>85</v>
      </c>
      <c r="B1380">
        <v>1</v>
      </c>
    </row>
    <row r="1381" spans="1:2" x14ac:dyDescent="0.35">
      <c r="A1381">
        <v>85</v>
      </c>
      <c r="B1381">
        <v>1</v>
      </c>
    </row>
    <row r="1382" spans="1:2" x14ac:dyDescent="0.35">
      <c r="A1382">
        <v>85</v>
      </c>
      <c r="B1382">
        <v>1</v>
      </c>
    </row>
    <row r="1383" spans="1:2" x14ac:dyDescent="0.35">
      <c r="A1383">
        <v>85</v>
      </c>
      <c r="B1383">
        <v>1</v>
      </c>
    </row>
    <row r="1384" spans="1:2" x14ac:dyDescent="0.35">
      <c r="A1384">
        <v>85</v>
      </c>
      <c r="B1384">
        <v>1</v>
      </c>
    </row>
    <row r="1385" spans="1:2" x14ac:dyDescent="0.35">
      <c r="A1385">
        <v>85</v>
      </c>
      <c r="B1385">
        <v>1</v>
      </c>
    </row>
    <row r="1386" spans="1:2" x14ac:dyDescent="0.35">
      <c r="A1386">
        <v>85</v>
      </c>
      <c r="B1386">
        <v>1</v>
      </c>
    </row>
    <row r="1387" spans="1:2" x14ac:dyDescent="0.35">
      <c r="A1387">
        <v>85</v>
      </c>
      <c r="B1387">
        <v>1</v>
      </c>
    </row>
    <row r="1388" spans="1:2" x14ac:dyDescent="0.35">
      <c r="A1388">
        <v>85</v>
      </c>
      <c r="B1388">
        <v>1</v>
      </c>
    </row>
    <row r="1389" spans="1:2" x14ac:dyDescent="0.35">
      <c r="A1389">
        <v>85</v>
      </c>
      <c r="B1389">
        <v>1</v>
      </c>
    </row>
    <row r="1390" spans="1:2" x14ac:dyDescent="0.35">
      <c r="A1390">
        <v>85</v>
      </c>
      <c r="B1390">
        <v>1</v>
      </c>
    </row>
    <row r="1391" spans="1:2" x14ac:dyDescent="0.35">
      <c r="A1391">
        <v>85</v>
      </c>
      <c r="B1391">
        <v>1</v>
      </c>
    </row>
    <row r="1392" spans="1:2" x14ac:dyDescent="0.35">
      <c r="A1392">
        <v>85</v>
      </c>
      <c r="B1392">
        <v>1</v>
      </c>
    </row>
    <row r="1393" spans="1:2" x14ac:dyDescent="0.35">
      <c r="A1393">
        <v>85</v>
      </c>
      <c r="B1393">
        <v>1</v>
      </c>
    </row>
    <row r="1394" spans="1:2" x14ac:dyDescent="0.35">
      <c r="A1394">
        <v>85</v>
      </c>
      <c r="B1394">
        <v>1</v>
      </c>
    </row>
    <row r="1395" spans="1:2" x14ac:dyDescent="0.35">
      <c r="A1395">
        <v>85</v>
      </c>
      <c r="B1395">
        <v>1</v>
      </c>
    </row>
    <row r="1396" spans="1:2" x14ac:dyDescent="0.35">
      <c r="A1396">
        <v>85</v>
      </c>
      <c r="B1396">
        <v>1</v>
      </c>
    </row>
    <row r="1397" spans="1:2" x14ac:dyDescent="0.35">
      <c r="A1397">
        <v>85</v>
      </c>
      <c r="B1397">
        <v>1</v>
      </c>
    </row>
    <row r="1398" spans="1:2" x14ac:dyDescent="0.35">
      <c r="A1398">
        <v>85</v>
      </c>
      <c r="B1398">
        <v>1</v>
      </c>
    </row>
    <row r="1399" spans="1:2" x14ac:dyDescent="0.35">
      <c r="A1399">
        <v>85</v>
      </c>
      <c r="B1399">
        <v>1</v>
      </c>
    </row>
    <row r="1400" spans="1:2" x14ac:dyDescent="0.35">
      <c r="A1400">
        <v>85</v>
      </c>
      <c r="B1400">
        <v>1</v>
      </c>
    </row>
    <row r="1401" spans="1:2" x14ac:dyDescent="0.35">
      <c r="A1401">
        <v>86</v>
      </c>
      <c r="B1401">
        <v>1</v>
      </c>
    </row>
    <row r="1402" spans="1:2" x14ac:dyDescent="0.35">
      <c r="A1402">
        <v>86</v>
      </c>
      <c r="B1402">
        <v>1</v>
      </c>
    </row>
    <row r="1403" spans="1:2" x14ac:dyDescent="0.35">
      <c r="A1403">
        <v>86</v>
      </c>
      <c r="B1403">
        <v>1</v>
      </c>
    </row>
    <row r="1404" spans="1:2" x14ac:dyDescent="0.35">
      <c r="A1404">
        <v>86</v>
      </c>
      <c r="B1404">
        <v>1</v>
      </c>
    </row>
    <row r="1405" spans="1:2" x14ac:dyDescent="0.35">
      <c r="A1405">
        <v>86</v>
      </c>
      <c r="B1405">
        <v>1</v>
      </c>
    </row>
    <row r="1406" spans="1:2" x14ac:dyDescent="0.35">
      <c r="A1406">
        <v>86</v>
      </c>
      <c r="B1406">
        <v>1</v>
      </c>
    </row>
    <row r="1407" spans="1:2" x14ac:dyDescent="0.35">
      <c r="A1407">
        <v>86</v>
      </c>
      <c r="B1407">
        <v>1</v>
      </c>
    </row>
    <row r="1408" spans="1:2" x14ac:dyDescent="0.35">
      <c r="A1408">
        <v>86</v>
      </c>
      <c r="B1408">
        <v>1</v>
      </c>
    </row>
    <row r="1409" spans="1:2" x14ac:dyDescent="0.35">
      <c r="A1409">
        <v>86</v>
      </c>
      <c r="B1409">
        <v>1</v>
      </c>
    </row>
    <row r="1410" spans="1:2" x14ac:dyDescent="0.35">
      <c r="A1410">
        <v>86</v>
      </c>
      <c r="B1410">
        <v>1</v>
      </c>
    </row>
    <row r="1411" spans="1:2" x14ac:dyDescent="0.35">
      <c r="A1411">
        <v>86</v>
      </c>
      <c r="B1411">
        <v>1</v>
      </c>
    </row>
    <row r="1412" spans="1:2" x14ac:dyDescent="0.35">
      <c r="A1412">
        <v>86</v>
      </c>
      <c r="B1412">
        <v>1</v>
      </c>
    </row>
    <row r="1413" spans="1:2" x14ac:dyDescent="0.35">
      <c r="A1413">
        <v>86</v>
      </c>
      <c r="B1413">
        <v>1</v>
      </c>
    </row>
    <row r="1414" spans="1:2" x14ac:dyDescent="0.35">
      <c r="A1414">
        <v>86</v>
      </c>
      <c r="B1414">
        <v>1</v>
      </c>
    </row>
    <row r="1415" spans="1:2" x14ac:dyDescent="0.35">
      <c r="A1415">
        <v>86</v>
      </c>
      <c r="B1415">
        <v>1</v>
      </c>
    </row>
    <row r="1416" spans="1:2" x14ac:dyDescent="0.35">
      <c r="A1416">
        <v>86</v>
      </c>
      <c r="B1416">
        <v>1</v>
      </c>
    </row>
    <row r="1417" spans="1:2" x14ac:dyDescent="0.35">
      <c r="A1417">
        <v>86</v>
      </c>
      <c r="B1417">
        <v>1</v>
      </c>
    </row>
    <row r="1418" spans="1:2" x14ac:dyDescent="0.35">
      <c r="A1418">
        <v>86</v>
      </c>
      <c r="B1418">
        <v>1</v>
      </c>
    </row>
    <row r="1419" spans="1:2" x14ac:dyDescent="0.35">
      <c r="A1419">
        <v>86</v>
      </c>
      <c r="B1419">
        <v>1</v>
      </c>
    </row>
    <row r="1420" spans="1:2" x14ac:dyDescent="0.35">
      <c r="A1420">
        <v>86</v>
      </c>
      <c r="B1420">
        <v>1</v>
      </c>
    </row>
    <row r="1421" spans="1:2" x14ac:dyDescent="0.35">
      <c r="A1421">
        <v>86</v>
      </c>
      <c r="B1421">
        <v>1</v>
      </c>
    </row>
    <row r="1422" spans="1:2" x14ac:dyDescent="0.35">
      <c r="A1422">
        <v>86</v>
      </c>
      <c r="B1422">
        <v>1</v>
      </c>
    </row>
    <row r="1423" spans="1:2" x14ac:dyDescent="0.35">
      <c r="A1423">
        <v>86</v>
      </c>
      <c r="B1423">
        <v>1</v>
      </c>
    </row>
    <row r="1424" spans="1:2" x14ac:dyDescent="0.35">
      <c r="A1424">
        <v>86</v>
      </c>
      <c r="B1424">
        <v>1</v>
      </c>
    </row>
    <row r="1425" spans="1:2" x14ac:dyDescent="0.35">
      <c r="A1425">
        <v>86</v>
      </c>
      <c r="B1425">
        <v>1</v>
      </c>
    </row>
    <row r="1426" spans="1:2" x14ac:dyDescent="0.35">
      <c r="A1426">
        <v>86</v>
      </c>
      <c r="B1426">
        <v>1</v>
      </c>
    </row>
    <row r="1427" spans="1:2" x14ac:dyDescent="0.35">
      <c r="A1427">
        <v>86</v>
      </c>
      <c r="B1427">
        <v>1</v>
      </c>
    </row>
    <row r="1428" spans="1:2" x14ac:dyDescent="0.35">
      <c r="A1428">
        <v>86</v>
      </c>
      <c r="B1428">
        <v>1</v>
      </c>
    </row>
    <row r="1429" spans="1:2" x14ac:dyDescent="0.35">
      <c r="A1429">
        <v>86</v>
      </c>
      <c r="B1429">
        <v>1</v>
      </c>
    </row>
    <row r="1430" spans="1:2" x14ac:dyDescent="0.35">
      <c r="A1430">
        <v>86</v>
      </c>
      <c r="B1430">
        <v>1</v>
      </c>
    </row>
    <row r="1431" spans="1:2" x14ac:dyDescent="0.35">
      <c r="A1431">
        <v>86</v>
      </c>
      <c r="B1431">
        <v>1</v>
      </c>
    </row>
    <row r="1432" spans="1:2" x14ac:dyDescent="0.35">
      <c r="A1432">
        <v>86</v>
      </c>
      <c r="B1432">
        <v>1</v>
      </c>
    </row>
    <row r="1433" spans="1:2" x14ac:dyDescent="0.35">
      <c r="A1433">
        <v>86</v>
      </c>
      <c r="B1433">
        <v>1</v>
      </c>
    </row>
    <row r="1434" spans="1:2" x14ac:dyDescent="0.35">
      <c r="A1434">
        <v>86</v>
      </c>
      <c r="B1434">
        <v>1</v>
      </c>
    </row>
    <row r="1435" spans="1:2" x14ac:dyDescent="0.35">
      <c r="A1435">
        <v>86</v>
      </c>
      <c r="B1435">
        <v>1</v>
      </c>
    </row>
    <row r="1436" spans="1:2" x14ac:dyDescent="0.35">
      <c r="A1436">
        <v>86</v>
      </c>
      <c r="B1436">
        <v>1</v>
      </c>
    </row>
    <row r="1437" spans="1:2" x14ac:dyDescent="0.35">
      <c r="A1437">
        <v>86</v>
      </c>
      <c r="B1437">
        <v>1</v>
      </c>
    </row>
    <row r="1438" spans="1:2" x14ac:dyDescent="0.35">
      <c r="A1438">
        <v>86</v>
      </c>
      <c r="B1438">
        <v>1</v>
      </c>
    </row>
    <row r="1439" spans="1:2" x14ac:dyDescent="0.35">
      <c r="A1439">
        <v>86</v>
      </c>
      <c r="B1439">
        <v>1</v>
      </c>
    </row>
    <row r="1440" spans="1:2" x14ac:dyDescent="0.35">
      <c r="A1440">
        <v>86</v>
      </c>
      <c r="B1440">
        <v>1</v>
      </c>
    </row>
    <row r="1441" spans="1:2" x14ac:dyDescent="0.35">
      <c r="A1441">
        <v>86</v>
      </c>
      <c r="B1441">
        <v>1</v>
      </c>
    </row>
    <row r="1442" spans="1:2" x14ac:dyDescent="0.35">
      <c r="A1442">
        <v>86</v>
      </c>
      <c r="B1442">
        <v>1</v>
      </c>
    </row>
    <row r="1443" spans="1:2" x14ac:dyDescent="0.35">
      <c r="A1443">
        <v>86</v>
      </c>
      <c r="B1443">
        <v>1</v>
      </c>
    </row>
    <row r="1444" spans="1:2" x14ac:dyDescent="0.35">
      <c r="A1444">
        <v>86</v>
      </c>
      <c r="B1444">
        <v>1</v>
      </c>
    </row>
    <row r="1445" spans="1:2" x14ac:dyDescent="0.35">
      <c r="A1445">
        <v>86</v>
      </c>
      <c r="B1445">
        <v>1</v>
      </c>
    </row>
    <row r="1446" spans="1:2" x14ac:dyDescent="0.35">
      <c r="A1446">
        <v>86</v>
      </c>
      <c r="B1446">
        <v>1</v>
      </c>
    </row>
    <row r="1447" spans="1:2" x14ac:dyDescent="0.35">
      <c r="A1447">
        <v>86</v>
      </c>
      <c r="B1447">
        <v>1</v>
      </c>
    </row>
    <row r="1448" spans="1:2" x14ac:dyDescent="0.35">
      <c r="A1448">
        <v>86</v>
      </c>
      <c r="B1448">
        <v>1</v>
      </c>
    </row>
    <row r="1449" spans="1:2" x14ac:dyDescent="0.35">
      <c r="A1449">
        <v>86</v>
      </c>
      <c r="B1449">
        <v>1</v>
      </c>
    </row>
    <row r="1450" spans="1:2" x14ac:dyDescent="0.35">
      <c r="A1450">
        <v>86</v>
      </c>
      <c r="B1450">
        <v>1</v>
      </c>
    </row>
    <row r="1451" spans="1:2" x14ac:dyDescent="0.35">
      <c r="A1451">
        <v>86</v>
      </c>
      <c r="B1451">
        <v>1</v>
      </c>
    </row>
    <row r="1452" spans="1:2" x14ac:dyDescent="0.35">
      <c r="A1452">
        <v>86</v>
      </c>
      <c r="B1452">
        <v>1</v>
      </c>
    </row>
    <row r="1453" spans="1:2" x14ac:dyDescent="0.35">
      <c r="A1453">
        <v>86</v>
      </c>
      <c r="B1453">
        <v>1</v>
      </c>
    </row>
    <row r="1454" spans="1:2" x14ac:dyDescent="0.35">
      <c r="A1454">
        <v>86</v>
      </c>
      <c r="B1454">
        <v>1</v>
      </c>
    </row>
    <row r="1455" spans="1:2" x14ac:dyDescent="0.35">
      <c r="A1455">
        <v>86</v>
      </c>
      <c r="B1455">
        <v>1</v>
      </c>
    </row>
    <row r="1456" spans="1:2" x14ac:dyDescent="0.35">
      <c r="A1456">
        <v>86</v>
      </c>
      <c r="B1456">
        <v>1</v>
      </c>
    </row>
    <row r="1457" spans="1:2" x14ac:dyDescent="0.35">
      <c r="A1457">
        <v>86</v>
      </c>
      <c r="B1457">
        <v>1</v>
      </c>
    </row>
    <row r="1458" spans="1:2" x14ac:dyDescent="0.35">
      <c r="A1458">
        <v>86</v>
      </c>
      <c r="B1458">
        <v>1</v>
      </c>
    </row>
    <row r="1459" spans="1:2" x14ac:dyDescent="0.35">
      <c r="A1459">
        <v>86</v>
      </c>
      <c r="B1459">
        <v>1</v>
      </c>
    </row>
    <row r="1460" spans="1:2" x14ac:dyDescent="0.35">
      <c r="A1460">
        <v>86</v>
      </c>
      <c r="B1460">
        <v>1</v>
      </c>
    </row>
    <row r="1461" spans="1:2" x14ac:dyDescent="0.35">
      <c r="A1461">
        <v>86</v>
      </c>
      <c r="B1461">
        <v>1</v>
      </c>
    </row>
    <row r="1462" spans="1:2" x14ac:dyDescent="0.35">
      <c r="A1462">
        <v>86</v>
      </c>
      <c r="B1462">
        <v>1</v>
      </c>
    </row>
    <row r="1463" spans="1:2" x14ac:dyDescent="0.35">
      <c r="A1463">
        <v>87</v>
      </c>
      <c r="B1463">
        <v>1</v>
      </c>
    </row>
    <row r="1464" spans="1:2" x14ac:dyDescent="0.35">
      <c r="A1464">
        <v>87</v>
      </c>
      <c r="B1464">
        <v>1</v>
      </c>
    </row>
    <row r="1465" spans="1:2" x14ac:dyDescent="0.35">
      <c r="A1465">
        <v>87</v>
      </c>
      <c r="B1465">
        <v>1</v>
      </c>
    </row>
    <row r="1466" spans="1:2" x14ac:dyDescent="0.35">
      <c r="A1466">
        <v>87</v>
      </c>
      <c r="B1466">
        <v>1</v>
      </c>
    </row>
    <row r="1467" spans="1:2" x14ac:dyDescent="0.35">
      <c r="A1467">
        <v>87</v>
      </c>
      <c r="B1467">
        <v>1</v>
      </c>
    </row>
    <row r="1468" spans="1:2" x14ac:dyDescent="0.35">
      <c r="A1468">
        <v>87</v>
      </c>
      <c r="B1468">
        <v>1</v>
      </c>
    </row>
    <row r="1469" spans="1:2" x14ac:dyDescent="0.35">
      <c r="A1469">
        <v>87</v>
      </c>
      <c r="B1469">
        <v>1</v>
      </c>
    </row>
    <row r="1470" spans="1:2" x14ac:dyDescent="0.35">
      <c r="A1470">
        <v>87</v>
      </c>
      <c r="B1470">
        <v>1</v>
      </c>
    </row>
    <row r="1471" spans="1:2" x14ac:dyDescent="0.35">
      <c r="A1471">
        <v>87</v>
      </c>
      <c r="B1471">
        <v>1</v>
      </c>
    </row>
    <row r="1472" spans="1:2" x14ac:dyDescent="0.35">
      <c r="A1472">
        <v>87</v>
      </c>
      <c r="B1472">
        <v>1</v>
      </c>
    </row>
    <row r="1473" spans="1:2" x14ac:dyDescent="0.35">
      <c r="A1473">
        <v>87</v>
      </c>
      <c r="B1473">
        <v>1</v>
      </c>
    </row>
    <row r="1474" spans="1:2" x14ac:dyDescent="0.35">
      <c r="A1474">
        <v>87</v>
      </c>
      <c r="B1474">
        <v>1</v>
      </c>
    </row>
    <row r="1475" spans="1:2" x14ac:dyDescent="0.35">
      <c r="A1475">
        <v>87</v>
      </c>
      <c r="B1475">
        <v>1</v>
      </c>
    </row>
    <row r="1476" spans="1:2" x14ac:dyDescent="0.35">
      <c r="A1476">
        <v>87</v>
      </c>
      <c r="B1476">
        <v>1</v>
      </c>
    </row>
    <row r="1477" spans="1:2" x14ac:dyDescent="0.35">
      <c r="A1477">
        <v>87</v>
      </c>
      <c r="B1477">
        <v>1</v>
      </c>
    </row>
    <row r="1478" spans="1:2" x14ac:dyDescent="0.35">
      <c r="A1478">
        <v>87</v>
      </c>
      <c r="B1478">
        <v>1</v>
      </c>
    </row>
    <row r="1479" spans="1:2" x14ac:dyDescent="0.35">
      <c r="A1479">
        <v>87</v>
      </c>
      <c r="B1479">
        <v>1</v>
      </c>
    </row>
    <row r="1480" spans="1:2" x14ac:dyDescent="0.35">
      <c r="A1480">
        <v>87</v>
      </c>
      <c r="B1480">
        <v>1</v>
      </c>
    </row>
    <row r="1481" spans="1:2" x14ac:dyDescent="0.35">
      <c r="A1481">
        <v>87</v>
      </c>
      <c r="B1481">
        <v>1</v>
      </c>
    </row>
    <row r="1482" spans="1:2" x14ac:dyDescent="0.35">
      <c r="A1482">
        <v>87</v>
      </c>
      <c r="B1482">
        <v>1</v>
      </c>
    </row>
    <row r="1483" spans="1:2" x14ac:dyDescent="0.35">
      <c r="A1483">
        <v>87</v>
      </c>
      <c r="B1483">
        <v>1</v>
      </c>
    </row>
    <row r="1484" spans="1:2" x14ac:dyDescent="0.35">
      <c r="A1484">
        <v>87</v>
      </c>
      <c r="B1484">
        <v>1</v>
      </c>
    </row>
    <row r="1485" spans="1:2" x14ac:dyDescent="0.35">
      <c r="A1485">
        <v>87</v>
      </c>
      <c r="B1485">
        <v>1</v>
      </c>
    </row>
    <row r="1486" spans="1:2" x14ac:dyDescent="0.35">
      <c r="A1486">
        <v>87</v>
      </c>
      <c r="B1486">
        <v>1</v>
      </c>
    </row>
    <row r="1487" spans="1:2" x14ac:dyDescent="0.35">
      <c r="A1487">
        <v>87</v>
      </c>
      <c r="B1487">
        <v>1</v>
      </c>
    </row>
    <row r="1488" spans="1:2" x14ac:dyDescent="0.35">
      <c r="A1488">
        <v>87</v>
      </c>
      <c r="B1488">
        <v>1</v>
      </c>
    </row>
    <row r="1489" spans="1:2" x14ac:dyDescent="0.35">
      <c r="A1489">
        <v>87</v>
      </c>
      <c r="B1489">
        <v>1</v>
      </c>
    </row>
    <row r="1490" spans="1:2" x14ac:dyDescent="0.35">
      <c r="A1490">
        <v>87</v>
      </c>
      <c r="B1490">
        <v>1</v>
      </c>
    </row>
    <row r="1491" spans="1:2" x14ac:dyDescent="0.35">
      <c r="A1491">
        <v>87</v>
      </c>
      <c r="B1491">
        <v>1</v>
      </c>
    </row>
    <row r="1492" spans="1:2" x14ac:dyDescent="0.35">
      <c r="A1492">
        <v>87</v>
      </c>
      <c r="B1492">
        <v>1</v>
      </c>
    </row>
    <row r="1493" spans="1:2" x14ac:dyDescent="0.35">
      <c r="A1493">
        <v>87</v>
      </c>
      <c r="B1493">
        <v>1</v>
      </c>
    </row>
    <row r="1494" spans="1:2" x14ac:dyDescent="0.35">
      <c r="A1494">
        <v>87</v>
      </c>
      <c r="B1494">
        <v>1</v>
      </c>
    </row>
    <row r="1495" spans="1:2" x14ac:dyDescent="0.35">
      <c r="A1495">
        <v>87</v>
      </c>
      <c r="B1495">
        <v>1</v>
      </c>
    </row>
    <row r="1496" spans="1:2" x14ac:dyDescent="0.35">
      <c r="A1496">
        <v>87</v>
      </c>
      <c r="B1496">
        <v>1</v>
      </c>
    </row>
    <row r="1497" spans="1:2" x14ac:dyDescent="0.35">
      <c r="A1497">
        <v>87</v>
      </c>
      <c r="B1497">
        <v>1</v>
      </c>
    </row>
    <row r="1498" spans="1:2" x14ac:dyDescent="0.35">
      <c r="A1498">
        <v>87</v>
      </c>
      <c r="B1498">
        <v>1</v>
      </c>
    </row>
    <row r="1499" spans="1:2" x14ac:dyDescent="0.35">
      <c r="A1499">
        <v>87</v>
      </c>
      <c r="B1499">
        <v>1</v>
      </c>
    </row>
    <row r="1500" spans="1:2" x14ac:dyDescent="0.35">
      <c r="A1500">
        <v>87</v>
      </c>
      <c r="B1500">
        <v>1</v>
      </c>
    </row>
    <row r="1501" spans="1:2" x14ac:dyDescent="0.35">
      <c r="A1501">
        <v>87</v>
      </c>
      <c r="B1501">
        <v>1</v>
      </c>
    </row>
    <row r="1502" spans="1:2" x14ac:dyDescent="0.35">
      <c r="A1502">
        <v>87</v>
      </c>
      <c r="B1502">
        <v>1</v>
      </c>
    </row>
    <row r="1503" spans="1:2" x14ac:dyDescent="0.35">
      <c r="A1503">
        <v>87</v>
      </c>
      <c r="B1503">
        <v>1</v>
      </c>
    </row>
    <row r="1504" spans="1:2" x14ac:dyDescent="0.35">
      <c r="A1504">
        <v>87</v>
      </c>
      <c r="B1504">
        <v>1</v>
      </c>
    </row>
    <row r="1505" spans="1:2" x14ac:dyDescent="0.35">
      <c r="A1505">
        <v>87</v>
      </c>
      <c r="B1505">
        <v>1</v>
      </c>
    </row>
    <row r="1506" spans="1:2" x14ac:dyDescent="0.35">
      <c r="A1506">
        <v>87</v>
      </c>
      <c r="B1506">
        <v>1</v>
      </c>
    </row>
    <row r="1507" spans="1:2" x14ac:dyDescent="0.35">
      <c r="A1507">
        <v>88</v>
      </c>
      <c r="B1507">
        <v>1</v>
      </c>
    </row>
    <row r="1508" spans="1:2" x14ac:dyDescent="0.35">
      <c r="A1508">
        <v>88</v>
      </c>
      <c r="B1508">
        <v>1</v>
      </c>
    </row>
    <row r="1509" spans="1:2" x14ac:dyDescent="0.35">
      <c r="A1509">
        <v>88</v>
      </c>
      <c r="B1509">
        <v>1</v>
      </c>
    </row>
    <row r="1510" spans="1:2" x14ac:dyDescent="0.35">
      <c r="A1510">
        <v>88</v>
      </c>
      <c r="B1510">
        <v>1</v>
      </c>
    </row>
    <row r="1511" spans="1:2" x14ac:dyDescent="0.35">
      <c r="A1511">
        <v>88</v>
      </c>
      <c r="B1511">
        <v>1</v>
      </c>
    </row>
    <row r="1512" spans="1:2" x14ac:dyDescent="0.35">
      <c r="A1512">
        <v>88</v>
      </c>
      <c r="B1512">
        <v>1</v>
      </c>
    </row>
    <row r="1513" spans="1:2" x14ac:dyDescent="0.35">
      <c r="A1513">
        <v>88</v>
      </c>
      <c r="B1513">
        <v>1</v>
      </c>
    </row>
    <row r="1514" spans="1:2" x14ac:dyDescent="0.35">
      <c r="A1514">
        <v>88</v>
      </c>
      <c r="B1514">
        <v>1</v>
      </c>
    </row>
    <row r="1515" spans="1:2" x14ac:dyDescent="0.35">
      <c r="A1515">
        <v>88</v>
      </c>
      <c r="B1515">
        <v>1</v>
      </c>
    </row>
    <row r="1516" spans="1:2" x14ac:dyDescent="0.35">
      <c r="A1516">
        <v>88</v>
      </c>
      <c r="B1516">
        <v>1</v>
      </c>
    </row>
    <row r="1517" spans="1:2" x14ac:dyDescent="0.35">
      <c r="A1517">
        <v>88</v>
      </c>
      <c r="B1517">
        <v>1</v>
      </c>
    </row>
    <row r="1518" spans="1:2" x14ac:dyDescent="0.35">
      <c r="A1518">
        <v>88</v>
      </c>
      <c r="B1518">
        <v>1</v>
      </c>
    </row>
    <row r="1519" spans="1:2" x14ac:dyDescent="0.35">
      <c r="A1519">
        <v>88</v>
      </c>
      <c r="B1519">
        <v>1</v>
      </c>
    </row>
    <row r="1520" spans="1:2" x14ac:dyDescent="0.35">
      <c r="A1520">
        <v>88</v>
      </c>
      <c r="B1520">
        <v>1</v>
      </c>
    </row>
    <row r="1521" spans="1:2" x14ac:dyDescent="0.35">
      <c r="A1521">
        <v>88</v>
      </c>
      <c r="B1521">
        <v>1</v>
      </c>
    </row>
    <row r="1522" spans="1:2" x14ac:dyDescent="0.35">
      <c r="A1522">
        <v>88</v>
      </c>
      <c r="B1522">
        <v>1</v>
      </c>
    </row>
    <row r="1523" spans="1:2" x14ac:dyDescent="0.35">
      <c r="A1523">
        <v>88</v>
      </c>
      <c r="B1523">
        <v>1</v>
      </c>
    </row>
    <row r="1524" spans="1:2" x14ac:dyDescent="0.35">
      <c r="A1524">
        <v>88</v>
      </c>
      <c r="B1524">
        <v>1</v>
      </c>
    </row>
    <row r="1525" spans="1:2" x14ac:dyDescent="0.35">
      <c r="A1525">
        <v>88</v>
      </c>
      <c r="B1525">
        <v>1</v>
      </c>
    </row>
    <row r="1526" spans="1:2" x14ac:dyDescent="0.35">
      <c r="A1526">
        <v>88</v>
      </c>
      <c r="B1526">
        <v>1</v>
      </c>
    </row>
    <row r="1527" spans="1:2" x14ac:dyDescent="0.35">
      <c r="A1527">
        <v>88</v>
      </c>
      <c r="B1527">
        <v>1</v>
      </c>
    </row>
    <row r="1528" spans="1:2" x14ac:dyDescent="0.35">
      <c r="A1528">
        <v>88</v>
      </c>
      <c r="B1528">
        <v>1</v>
      </c>
    </row>
    <row r="1529" spans="1:2" x14ac:dyDescent="0.35">
      <c r="A1529">
        <v>88</v>
      </c>
      <c r="B1529">
        <v>1</v>
      </c>
    </row>
    <row r="1530" spans="1:2" x14ac:dyDescent="0.35">
      <c r="A1530">
        <v>88</v>
      </c>
      <c r="B1530">
        <v>1</v>
      </c>
    </row>
    <row r="1531" spans="1:2" x14ac:dyDescent="0.35">
      <c r="A1531">
        <v>88</v>
      </c>
      <c r="B1531">
        <v>1</v>
      </c>
    </row>
    <row r="1532" spans="1:2" x14ac:dyDescent="0.35">
      <c r="A1532">
        <v>88</v>
      </c>
      <c r="B1532">
        <v>1</v>
      </c>
    </row>
    <row r="1533" spans="1:2" x14ac:dyDescent="0.35">
      <c r="A1533">
        <v>88</v>
      </c>
      <c r="B1533">
        <v>1</v>
      </c>
    </row>
    <row r="1534" spans="1:2" x14ac:dyDescent="0.35">
      <c r="A1534">
        <v>88</v>
      </c>
      <c r="B1534">
        <v>1</v>
      </c>
    </row>
    <row r="1535" spans="1:2" x14ac:dyDescent="0.35">
      <c r="A1535">
        <v>88</v>
      </c>
      <c r="B1535">
        <v>1</v>
      </c>
    </row>
    <row r="1536" spans="1:2" x14ac:dyDescent="0.35">
      <c r="A1536">
        <v>88</v>
      </c>
      <c r="B1536">
        <v>1</v>
      </c>
    </row>
    <row r="1537" spans="1:2" x14ac:dyDescent="0.35">
      <c r="A1537">
        <v>88</v>
      </c>
      <c r="B1537">
        <v>1</v>
      </c>
    </row>
    <row r="1538" spans="1:2" x14ac:dyDescent="0.35">
      <c r="A1538">
        <v>88</v>
      </c>
      <c r="B1538">
        <v>1</v>
      </c>
    </row>
    <row r="1539" spans="1:2" x14ac:dyDescent="0.35">
      <c r="A1539">
        <v>88</v>
      </c>
      <c r="B1539">
        <v>1</v>
      </c>
    </row>
    <row r="1540" spans="1:2" x14ac:dyDescent="0.35">
      <c r="A1540">
        <v>88</v>
      </c>
      <c r="B1540">
        <v>1</v>
      </c>
    </row>
    <row r="1541" spans="1:2" x14ac:dyDescent="0.35">
      <c r="A1541">
        <v>88</v>
      </c>
      <c r="B1541">
        <v>1</v>
      </c>
    </row>
    <row r="1542" spans="1:2" x14ac:dyDescent="0.35">
      <c r="A1542">
        <v>88</v>
      </c>
      <c r="B1542">
        <v>1</v>
      </c>
    </row>
    <row r="1543" spans="1:2" x14ac:dyDescent="0.35">
      <c r="A1543">
        <v>88</v>
      </c>
      <c r="B1543">
        <v>1</v>
      </c>
    </row>
    <row r="1544" spans="1:2" x14ac:dyDescent="0.35">
      <c r="A1544">
        <v>88</v>
      </c>
      <c r="B1544">
        <v>1</v>
      </c>
    </row>
    <row r="1545" spans="1:2" x14ac:dyDescent="0.35">
      <c r="A1545">
        <v>88</v>
      </c>
      <c r="B1545">
        <v>1</v>
      </c>
    </row>
    <row r="1546" spans="1:2" x14ac:dyDescent="0.35">
      <c r="A1546">
        <v>88</v>
      </c>
      <c r="B1546">
        <v>1</v>
      </c>
    </row>
    <row r="1547" spans="1:2" x14ac:dyDescent="0.35">
      <c r="A1547">
        <v>88</v>
      </c>
      <c r="B1547">
        <v>1</v>
      </c>
    </row>
    <row r="1548" spans="1:2" x14ac:dyDescent="0.35">
      <c r="A1548">
        <v>88</v>
      </c>
      <c r="B1548">
        <v>1</v>
      </c>
    </row>
    <row r="1549" spans="1:2" x14ac:dyDescent="0.35">
      <c r="A1549">
        <v>88</v>
      </c>
      <c r="B1549">
        <v>1</v>
      </c>
    </row>
    <row r="1550" spans="1:2" x14ac:dyDescent="0.35">
      <c r="A1550">
        <v>88</v>
      </c>
      <c r="B1550">
        <v>1</v>
      </c>
    </row>
    <row r="1551" spans="1:2" x14ac:dyDescent="0.35">
      <c r="A1551">
        <v>88</v>
      </c>
      <c r="B1551">
        <v>1</v>
      </c>
    </row>
    <row r="1552" spans="1:2" x14ac:dyDescent="0.35">
      <c r="A1552">
        <v>88</v>
      </c>
      <c r="B1552">
        <v>1</v>
      </c>
    </row>
    <row r="1553" spans="1:2" x14ac:dyDescent="0.35">
      <c r="A1553">
        <v>88</v>
      </c>
      <c r="B1553">
        <v>1</v>
      </c>
    </row>
    <row r="1554" spans="1:2" x14ac:dyDescent="0.35">
      <c r="A1554">
        <v>88</v>
      </c>
      <c r="B1554">
        <v>1</v>
      </c>
    </row>
    <row r="1555" spans="1:2" x14ac:dyDescent="0.35">
      <c r="A1555">
        <v>88</v>
      </c>
      <c r="B1555">
        <v>1</v>
      </c>
    </row>
    <row r="1556" spans="1:2" x14ac:dyDescent="0.35">
      <c r="A1556">
        <v>88</v>
      </c>
      <c r="B1556">
        <v>1</v>
      </c>
    </row>
    <row r="1557" spans="1:2" x14ac:dyDescent="0.35">
      <c r="A1557">
        <v>88</v>
      </c>
      <c r="B1557">
        <v>1</v>
      </c>
    </row>
    <row r="1558" spans="1:2" x14ac:dyDescent="0.35">
      <c r="A1558">
        <v>88</v>
      </c>
      <c r="B1558">
        <v>1</v>
      </c>
    </row>
    <row r="1559" spans="1:2" x14ac:dyDescent="0.35">
      <c r="A1559">
        <v>88</v>
      </c>
      <c r="B1559">
        <v>1</v>
      </c>
    </row>
    <row r="1560" spans="1:2" x14ac:dyDescent="0.35">
      <c r="A1560">
        <v>88</v>
      </c>
      <c r="B1560">
        <v>1</v>
      </c>
    </row>
    <row r="1561" spans="1:2" x14ac:dyDescent="0.35">
      <c r="A1561">
        <v>88</v>
      </c>
      <c r="B1561">
        <v>1</v>
      </c>
    </row>
    <row r="1562" spans="1:2" x14ac:dyDescent="0.35">
      <c r="A1562">
        <v>88</v>
      </c>
      <c r="B1562">
        <v>1</v>
      </c>
    </row>
    <row r="1563" spans="1:2" x14ac:dyDescent="0.35">
      <c r="A1563">
        <v>88</v>
      </c>
      <c r="B1563">
        <v>1</v>
      </c>
    </row>
    <row r="1564" spans="1:2" x14ac:dyDescent="0.35">
      <c r="A1564">
        <v>88</v>
      </c>
      <c r="B1564">
        <v>1</v>
      </c>
    </row>
    <row r="1565" spans="1:2" x14ac:dyDescent="0.35">
      <c r="A1565">
        <v>88</v>
      </c>
      <c r="B1565">
        <v>1</v>
      </c>
    </row>
    <row r="1566" spans="1:2" x14ac:dyDescent="0.35">
      <c r="A1566">
        <v>88</v>
      </c>
      <c r="B1566">
        <v>1</v>
      </c>
    </row>
    <row r="1567" spans="1:2" x14ac:dyDescent="0.35">
      <c r="A1567">
        <v>88</v>
      </c>
      <c r="B1567">
        <v>1</v>
      </c>
    </row>
    <row r="1568" spans="1:2" x14ac:dyDescent="0.35">
      <c r="A1568">
        <v>89</v>
      </c>
      <c r="B1568">
        <v>1</v>
      </c>
    </row>
    <row r="1569" spans="1:2" x14ac:dyDescent="0.35">
      <c r="A1569">
        <v>89</v>
      </c>
      <c r="B1569">
        <v>1</v>
      </c>
    </row>
    <row r="1570" spans="1:2" x14ac:dyDescent="0.35">
      <c r="A1570">
        <v>89</v>
      </c>
      <c r="B1570">
        <v>1</v>
      </c>
    </row>
    <row r="1571" spans="1:2" x14ac:dyDescent="0.35">
      <c r="A1571">
        <v>89</v>
      </c>
      <c r="B1571">
        <v>1</v>
      </c>
    </row>
    <row r="1572" spans="1:2" x14ac:dyDescent="0.35">
      <c r="A1572">
        <v>89</v>
      </c>
      <c r="B1572">
        <v>1</v>
      </c>
    </row>
    <row r="1573" spans="1:2" x14ac:dyDescent="0.35">
      <c r="A1573">
        <v>89</v>
      </c>
      <c r="B1573">
        <v>1</v>
      </c>
    </row>
    <row r="1574" spans="1:2" x14ac:dyDescent="0.35">
      <c r="A1574">
        <v>89</v>
      </c>
      <c r="B1574">
        <v>1</v>
      </c>
    </row>
    <row r="1575" spans="1:2" x14ac:dyDescent="0.35">
      <c r="A1575">
        <v>89</v>
      </c>
      <c r="B1575">
        <v>1</v>
      </c>
    </row>
    <row r="1576" spans="1:2" x14ac:dyDescent="0.35">
      <c r="A1576">
        <v>89</v>
      </c>
      <c r="B1576">
        <v>1</v>
      </c>
    </row>
    <row r="1577" spans="1:2" x14ac:dyDescent="0.35">
      <c r="A1577">
        <v>89</v>
      </c>
      <c r="B1577">
        <v>1</v>
      </c>
    </row>
    <row r="1578" spans="1:2" x14ac:dyDescent="0.35">
      <c r="A1578">
        <v>89</v>
      </c>
      <c r="B1578">
        <v>1</v>
      </c>
    </row>
    <row r="1579" spans="1:2" x14ac:dyDescent="0.35">
      <c r="A1579">
        <v>89</v>
      </c>
      <c r="B1579">
        <v>1</v>
      </c>
    </row>
    <row r="1580" spans="1:2" x14ac:dyDescent="0.35">
      <c r="A1580">
        <v>89</v>
      </c>
      <c r="B1580">
        <v>1</v>
      </c>
    </row>
    <row r="1581" spans="1:2" x14ac:dyDescent="0.35">
      <c r="A1581">
        <v>89</v>
      </c>
      <c r="B1581">
        <v>1</v>
      </c>
    </row>
    <row r="1582" spans="1:2" x14ac:dyDescent="0.35">
      <c r="A1582">
        <v>89</v>
      </c>
      <c r="B1582">
        <v>1</v>
      </c>
    </row>
    <row r="1583" spans="1:2" x14ac:dyDescent="0.35">
      <c r="A1583">
        <v>89</v>
      </c>
      <c r="B1583">
        <v>1</v>
      </c>
    </row>
    <row r="1584" spans="1:2" x14ac:dyDescent="0.35">
      <c r="A1584">
        <v>89</v>
      </c>
      <c r="B1584">
        <v>1</v>
      </c>
    </row>
    <row r="1585" spans="1:2" x14ac:dyDescent="0.35">
      <c r="A1585">
        <v>89</v>
      </c>
      <c r="B1585">
        <v>1</v>
      </c>
    </row>
    <row r="1586" spans="1:2" x14ac:dyDescent="0.35">
      <c r="A1586">
        <v>89</v>
      </c>
      <c r="B1586">
        <v>1</v>
      </c>
    </row>
    <row r="1587" spans="1:2" x14ac:dyDescent="0.35">
      <c r="A1587">
        <v>89</v>
      </c>
      <c r="B1587">
        <v>1</v>
      </c>
    </row>
    <row r="1588" spans="1:2" x14ac:dyDescent="0.35">
      <c r="A1588">
        <v>89</v>
      </c>
      <c r="B1588">
        <v>1</v>
      </c>
    </row>
    <row r="1589" spans="1:2" x14ac:dyDescent="0.35">
      <c r="A1589">
        <v>89</v>
      </c>
      <c r="B1589">
        <v>1</v>
      </c>
    </row>
    <row r="1590" spans="1:2" x14ac:dyDescent="0.35">
      <c r="A1590">
        <v>89</v>
      </c>
      <c r="B1590">
        <v>1</v>
      </c>
    </row>
    <row r="1591" spans="1:2" x14ac:dyDescent="0.35">
      <c r="A1591">
        <v>89</v>
      </c>
      <c r="B1591">
        <v>1</v>
      </c>
    </row>
    <row r="1592" spans="1:2" x14ac:dyDescent="0.35">
      <c r="A1592">
        <v>89</v>
      </c>
      <c r="B1592">
        <v>1</v>
      </c>
    </row>
    <row r="1593" spans="1:2" x14ac:dyDescent="0.35">
      <c r="A1593">
        <v>89</v>
      </c>
      <c r="B1593">
        <v>1</v>
      </c>
    </row>
    <row r="1594" spans="1:2" x14ac:dyDescent="0.35">
      <c r="A1594">
        <v>89</v>
      </c>
      <c r="B1594">
        <v>1</v>
      </c>
    </row>
    <row r="1595" spans="1:2" x14ac:dyDescent="0.35">
      <c r="A1595">
        <v>89</v>
      </c>
      <c r="B1595">
        <v>1</v>
      </c>
    </row>
    <row r="1596" spans="1:2" x14ac:dyDescent="0.35">
      <c r="A1596">
        <v>89</v>
      </c>
      <c r="B1596">
        <v>1</v>
      </c>
    </row>
    <row r="1597" spans="1:2" x14ac:dyDescent="0.35">
      <c r="A1597">
        <v>89</v>
      </c>
      <c r="B1597">
        <v>1</v>
      </c>
    </row>
    <row r="1598" spans="1:2" x14ac:dyDescent="0.35">
      <c r="A1598">
        <v>89</v>
      </c>
      <c r="B1598">
        <v>1</v>
      </c>
    </row>
    <row r="1599" spans="1:2" x14ac:dyDescent="0.35">
      <c r="A1599">
        <v>89</v>
      </c>
      <c r="B1599">
        <v>1</v>
      </c>
    </row>
    <row r="1600" spans="1:2" x14ac:dyDescent="0.35">
      <c r="A1600">
        <v>89</v>
      </c>
      <c r="B1600">
        <v>1</v>
      </c>
    </row>
    <row r="1601" spans="1:2" x14ac:dyDescent="0.35">
      <c r="A1601">
        <v>89</v>
      </c>
      <c r="B1601">
        <v>1</v>
      </c>
    </row>
    <row r="1602" spans="1:2" x14ac:dyDescent="0.35">
      <c r="A1602">
        <v>89</v>
      </c>
      <c r="B1602">
        <v>1</v>
      </c>
    </row>
    <row r="1603" spans="1:2" x14ac:dyDescent="0.35">
      <c r="A1603">
        <v>89</v>
      </c>
      <c r="B1603">
        <v>1</v>
      </c>
    </row>
    <row r="1604" spans="1:2" x14ac:dyDescent="0.35">
      <c r="A1604">
        <v>89</v>
      </c>
      <c r="B1604">
        <v>1</v>
      </c>
    </row>
    <row r="1605" spans="1:2" x14ac:dyDescent="0.35">
      <c r="A1605">
        <v>89</v>
      </c>
      <c r="B1605">
        <v>1</v>
      </c>
    </row>
    <row r="1606" spans="1:2" x14ac:dyDescent="0.35">
      <c r="A1606">
        <v>89</v>
      </c>
      <c r="B1606">
        <v>1</v>
      </c>
    </row>
    <row r="1607" spans="1:2" x14ac:dyDescent="0.35">
      <c r="A1607">
        <v>89</v>
      </c>
      <c r="B1607">
        <v>1</v>
      </c>
    </row>
    <row r="1608" spans="1:2" x14ac:dyDescent="0.35">
      <c r="A1608">
        <v>89</v>
      </c>
      <c r="B1608">
        <v>1</v>
      </c>
    </row>
    <row r="1609" spans="1:2" x14ac:dyDescent="0.35">
      <c r="A1609">
        <v>89</v>
      </c>
      <c r="B1609">
        <v>1</v>
      </c>
    </row>
    <row r="1610" spans="1:2" x14ac:dyDescent="0.35">
      <c r="A1610">
        <v>89</v>
      </c>
      <c r="B1610">
        <v>1</v>
      </c>
    </row>
    <row r="1611" spans="1:2" x14ac:dyDescent="0.35">
      <c r="A1611">
        <v>89</v>
      </c>
      <c r="B1611">
        <v>1</v>
      </c>
    </row>
    <row r="1612" spans="1:2" x14ac:dyDescent="0.35">
      <c r="A1612">
        <v>89</v>
      </c>
      <c r="B1612">
        <v>1</v>
      </c>
    </row>
    <row r="1613" spans="1:2" x14ac:dyDescent="0.35">
      <c r="A1613">
        <v>89</v>
      </c>
      <c r="B1613">
        <v>1</v>
      </c>
    </row>
    <row r="1614" spans="1:2" x14ac:dyDescent="0.35">
      <c r="A1614">
        <v>89</v>
      </c>
      <c r="B1614">
        <v>1</v>
      </c>
    </row>
    <row r="1615" spans="1:2" x14ac:dyDescent="0.35">
      <c r="A1615">
        <v>90</v>
      </c>
      <c r="B1615">
        <v>1</v>
      </c>
    </row>
    <row r="1616" spans="1:2" x14ac:dyDescent="0.35">
      <c r="A1616">
        <v>90</v>
      </c>
      <c r="B1616">
        <v>1</v>
      </c>
    </row>
    <row r="1617" spans="1:2" x14ac:dyDescent="0.35">
      <c r="A1617">
        <v>90</v>
      </c>
      <c r="B1617">
        <v>1</v>
      </c>
    </row>
    <row r="1618" spans="1:2" x14ac:dyDescent="0.35">
      <c r="A1618">
        <v>90</v>
      </c>
      <c r="B1618">
        <v>1</v>
      </c>
    </row>
    <row r="1619" spans="1:2" x14ac:dyDescent="0.35">
      <c r="A1619">
        <v>90</v>
      </c>
      <c r="B1619">
        <v>1</v>
      </c>
    </row>
    <row r="1620" spans="1:2" x14ac:dyDescent="0.35">
      <c r="A1620">
        <v>90</v>
      </c>
      <c r="B1620">
        <v>1</v>
      </c>
    </row>
    <row r="1621" spans="1:2" x14ac:dyDescent="0.35">
      <c r="A1621">
        <v>90</v>
      </c>
      <c r="B1621">
        <v>1</v>
      </c>
    </row>
    <row r="1622" spans="1:2" x14ac:dyDescent="0.35">
      <c r="A1622">
        <v>90</v>
      </c>
      <c r="B1622">
        <v>1</v>
      </c>
    </row>
    <row r="1623" spans="1:2" x14ac:dyDescent="0.35">
      <c r="A1623">
        <v>90</v>
      </c>
      <c r="B1623">
        <v>1</v>
      </c>
    </row>
    <row r="1624" spans="1:2" x14ac:dyDescent="0.35">
      <c r="A1624">
        <v>90</v>
      </c>
      <c r="B1624">
        <v>1</v>
      </c>
    </row>
    <row r="1625" spans="1:2" x14ac:dyDescent="0.35">
      <c r="A1625">
        <v>90</v>
      </c>
      <c r="B1625">
        <v>1</v>
      </c>
    </row>
    <row r="1626" spans="1:2" x14ac:dyDescent="0.35">
      <c r="A1626">
        <v>90</v>
      </c>
      <c r="B1626">
        <v>1</v>
      </c>
    </row>
    <row r="1627" spans="1:2" x14ac:dyDescent="0.35">
      <c r="A1627">
        <v>90</v>
      </c>
      <c r="B1627">
        <v>1</v>
      </c>
    </row>
    <row r="1628" spans="1:2" x14ac:dyDescent="0.35">
      <c r="A1628">
        <v>90</v>
      </c>
      <c r="B1628">
        <v>1</v>
      </c>
    </row>
    <row r="1629" spans="1:2" x14ac:dyDescent="0.35">
      <c r="A1629">
        <v>90</v>
      </c>
      <c r="B1629">
        <v>1</v>
      </c>
    </row>
    <row r="1630" spans="1:2" x14ac:dyDescent="0.35">
      <c r="A1630">
        <v>90</v>
      </c>
      <c r="B1630">
        <v>1</v>
      </c>
    </row>
    <row r="1631" spans="1:2" x14ac:dyDescent="0.35">
      <c r="A1631">
        <v>90</v>
      </c>
      <c r="B1631">
        <v>1</v>
      </c>
    </row>
    <row r="1632" spans="1:2" x14ac:dyDescent="0.35">
      <c r="A1632">
        <v>90</v>
      </c>
      <c r="B1632">
        <v>1</v>
      </c>
    </row>
    <row r="1633" spans="1:2" x14ac:dyDescent="0.35">
      <c r="A1633">
        <v>90</v>
      </c>
      <c r="B1633">
        <v>1</v>
      </c>
    </row>
    <row r="1634" spans="1:2" x14ac:dyDescent="0.35">
      <c r="A1634">
        <v>90</v>
      </c>
      <c r="B1634">
        <v>1</v>
      </c>
    </row>
    <row r="1635" spans="1:2" x14ac:dyDescent="0.35">
      <c r="A1635">
        <v>90</v>
      </c>
      <c r="B1635">
        <v>1</v>
      </c>
    </row>
    <row r="1636" spans="1:2" x14ac:dyDescent="0.35">
      <c r="A1636">
        <v>90</v>
      </c>
      <c r="B1636">
        <v>1</v>
      </c>
    </row>
    <row r="1637" spans="1:2" x14ac:dyDescent="0.35">
      <c r="A1637">
        <v>90</v>
      </c>
      <c r="B1637">
        <v>1</v>
      </c>
    </row>
    <row r="1638" spans="1:2" x14ac:dyDescent="0.35">
      <c r="A1638">
        <v>90</v>
      </c>
      <c r="B1638">
        <v>1</v>
      </c>
    </row>
    <row r="1639" spans="1:2" x14ac:dyDescent="0.35">
      <c r="A1639">
        <v>90</v>
      </c>
      <c r="B1639">
        <v>1</v>
      </c>
    </row>
    <row r="1640" spans="1:2" x14ac:dyDescent="0.35">
      <c r="A1640">
        <v>90</v>
      </c>
      <c r="B1640">
        <v>1</v>
      </c>
    </row>
    <row r="1641" spans="1:2" x14ac:dyDescent="0.35">
      <c r="A1641">
        <v>90</v>
      </c>
      <c r="B1641">
        <v>1</v>
      </c>
    </row>
    <row r="1642" spans="1:2" x14ac:dyDescent="0.35">
      <c r="A1642">
        <v>90</v>
      </c>
      <c r="B1642">
        <v>1</v>
      </c>
    </row>
    <row r="1643" spans="1:2" x14ac:dyDescent="0.35">
      <c r="A1643">
        <v>90</v>
      </c>
      <c r="B1643">
        <v>1</v>
      </c>
    </row>
    <row r="1644" spans="1:2" x14ac:dyDescent="0.35">
      <c r="A1644">
        <v>90</v>
      </c>
      <c r="B1644">
        <v>1</v>
      </c>
    </row>
    <row r="1645" spans="1:2" x14ac:dyDescent="0.35">
      <c r="A1645">
        <v>90</v>
      </c>
      <c r="B1645">
        <v>1</v>
      </c>
    </row>
    <row r="1646" spans="1:2" x14ac:dyDescent="0.35">
      <c r="A1646">
        <v>90</v>
      </c>
      <c r="B1646">
        <v>1</v>
      </c>
    </row>
    <row r="1647" spans="1:2" x14ac:dyDescent="0.35">
      <c r="A1647">
        <v>90</v>
      </c>
      <c r="B1647">
        <v>1</v>
      </c>
    </row>
    <row r="1648" spans="1:2" x14ac:dyDescent="0.35">
      <c r="A1648">
        <v>90</v>
      </c>
      <c r="B1648">
        <v>1</v>
      </c>
    </row>
    <row r="1649" spans="1:2" x14ac:dyDescent="0.35">
      <c r="A1649">
        <v>90</v>
      </c>
      <c r="B1649">
        <v>1</v>
      </c>
    </row>
    <row r="1650" spans="1:2" x14ac:dyDescent="0.35">
      <c r="A1650">
        <v>90</v>
      </c>
      <c r="B1650">
        <v>1</v>
      </c>
    </row>
    <row r="1651" spans="1:2" x14ac:dyDescent="0.35">
      <c r="A1651">
        <v>90</v>
      </c>
      <c r="B1651">
        <v>1</v>
      </c>
    </row>
    <row r="1652" spans="1:2" x14ac:dyDescent="0.35">
      <c r="A1652">
        <v>90</v>
      </c>
      <c r="B1652">
        <v>1</v>
      </c>
    </row>
    <row r="1653" spans="1:2" x14ac:dyDescent="0.35">
      <c r="A1653">
        <v>90</v>
      </c>
      <c r="B1653">
        <v>1</v>
      </c>
    </row>
    <row r="1654" spans="1:2" x14ac:dyDescent="0.35">
      <c r="A1654">
        <v>90</v>
      </c>
      <c r="B1654">
        <v>1</v>
      </c>
    </row>
    <row r="1655" spans="1:2" x14ac:dyDescent="0.35">
      <c r="A1655">
        <v>90</v>
      </c>
      <c r="B1655">
        <v>1</v>
      </c>
    </row>
    <row r="1656" spans="1:2" x14ac:dyDescent="0.35">
      <c r="A1656">
        <v>90</v>
      </c>
      <c r="B1656">
        <v>1</v>
      </c>
    </row>
    <row r="1657" spans="1:2" x14ac:dyDescent="0.35">
      <c r="A1657">
        <v>90</v>
      </c>
      <c r="B1657">
        <v>1</v>
      </c>
    </row>
    <row r="1658" spans="1:2" x14ac:dyDescent="0.35">
      <c r="A1658">
        <v>90</v>
      </c>
      <c r="B1658">
        <v>1</v>
      </c>
    </row>
    <row r="1659" spans="1:2" x14ac:dyDescent="0.35">
      <c r="A1659">
        <v>90</v>
      </c>
      <c r="B1659">
        <v>1</v>
      </c>
    </row>
    <row r="1660" spans="1:2" x14ac:dyDescent="0.35">
      <c r="A1660">
        <v>90</v>
      </c>
      <c r="B1660">
        <v>1</v>
      </c>
    </row>
    <row r="1661" spans="1:2" x14ac:dyDescent="0.35">
      <c r="A1661">
        <v>90</v>
      </c>
      <c r="B1661">
        <v>1</v>
      </c>
    </row>
    <row r="1662" spans="1:2" x14ac:dyDescent="0.35">
      <c r="A1662">
        <v>90</v>
      </c>
      <c r="B1662">
        <v>1</v>
      </c>
    </row>
    <row r="1663" spans="1:2" x14ac:dyDescent="0.35">
      <c r="A1663">
        <v>90</v>
      </c>
      <c r="B1663">
        <v>1</v>
      </c>
    </row>
    <row r="1664" spans="1:2" x14ac:dyDescent="0.35">
      <c r="A1664">
        <v>90</v>
      </c>
      <c r="B1664">
        <v>1</v>
      </c>
    </row>
    <row r="1665" spans="1:2" x14ac:dyDescent="0.35">
      <c r="A1665">
        <v>90</v>
      </c>
      <c r="B1665">
        <v>1</v>
      </c>
    </row>
    <row r="1666" spans="1:2" x14ac:dyDescent="0.35">
      <c r="A1666">
        <v>90</v>
      </c>
      <c r="B1666">
        <v>1</v>
      </c>
    </row>
    <row r="1667" spans="1:2" x14ac:dyDescent="0.35">
      <c r="A1667">
        <v>90</v>
      </c>
      <c r="B1667">
        <v>1</v>
      </c>
    </row>
    <row r="1668" spans="1:2" x14ac:dyDescent="0.35">
      <c r="A1668">
        <v>90</v>
      </c>
      <c r="B1668">
        <v>1</v>
      </c>
    </row>
    <row r="1669" spans="1:2" x14ac:dyDescent="0.35">
      <c r="A1669">
        <v>90</v>
      </c>
      <c r="B1669">
        <v>1</v>
      </c>
    </row>
    <row r="1670" spans="1:2" x14ac:dyDescent="0.35">
      <c r="A1670">
        <v>90</v>
      </c>
      <c r="B1670">
        <v>1</v>
      </c>
    </row>
    <row r="1671" spans="1:2" x14ac:dyDescent="0.35">
      <c r="A1671">
        <v>91</v>
      </c>
      <c r="B1671">
        <v>1</v>
      </c>
    </row>
    <row r="1672" spans="1:2" x14ac:dyDescent="0.35">
      <c r="A1672">
        <v>91</v>
      </c>
      <c r="B1672">
        <v>1</v>
      </c>
    </row>
    <row r="1673" spans="1:2" x14ac:dyDescent="0.35">
      <c r="A1673">
        <v>91</v>
      </c>
      <c r="B1673">
        <v>1</v>
      </c>
    </row>
    <row r="1674" spans="1:2" x14ac:dyDescent="0.35">
      <c r="A1674">
        <v>91</v>
      </c>
      <c r="B1674">
        <v>1</v>
      </c>
    </row>
    <row r="1675" spans="1:2" x14ac:dyDescent="0.35">
      <c r="A1675">
        <v>91</v>
      </c>
      <c r="B1675">
        <v>1</v>
      </c>
    </row>
    <row r="1676" spans="1:2" x14ac:dyDescent="0.35">
      <c r="A1676">
        <v>91</v>
      </c>
      <c r="B1676">
        <v>1</v>
      </c>
    </row>
    <row r="1677" spans="1:2" x14ac:dyDescent="0.35">
      <c r="A1677">
        <v>91</v>
      </c>
      <c r="B1677">
        <v>1</v>
      </c>
    </row>
    <row r="1678" spans="1:2" x14ac:dyDescent="0.35">
      <c r="A1678">
        <v>91</v>
      </c>
      <c r="B1678">
        <v>1</v>
      </c>
    </row>
    <row r="1679" spans="1:2" x14ac:dyDescent="0.35">
      <c r="A1679">
        <v>91</v>
      </c>
      <c r="B1679">
        <v>1</v>
      </c>
    </row>
    <row r="1680" spans="1:2" x14ac:dyDescent="0.35">
      <c r="A1680">
        <v>91</v>
      </c>
      <c r="B1680">
        <v>1</v>
      </c>
    </row>
    <row r="1681" spans="1:2" x14ac:dyDescent="0.35">
      <c r="A1681">
        <v>91</v>
      </c>
      <c r="B1681">
        <v>1</v>
      </c>
    </row>
    <row r="1682" spans="1:2" x14ac:dyDescent="0.35">
      <c r="A1682">
        <v>91</v>
      </c>
      <c r="B1682">
        <v>1</v>
      </c>
    </row>
    <row r="1683" spans="1:2" x14ac:dyDescent="0.35">
      <c r="A1683">
        <v>91</v>
      </c>
      <c r="B1683">
        <v>1</v>
      </c>
    </row>
    <row r="1684" spans="1:2" x14ac:dyDescent="0.35">
      <c r="A1684">
        <v>91</v>
      </c>
      <c r="B1684">
        <v>1</v>
      </c>
    </row>
    <row r="1685" spans="1:2" x14ac:dyDescent="0.35">
      <c r="A1685">
        <v>91</v>
      </c>
      <c r="B1685">
        <v>1</v>
      </c>
    </row>
    <row r="1686" spans="1:2" x14ac:dyDescent="0.35">
      <c r="A1686">
        <v>91</v>
      </c>
      <c r="B1686">
        <v>1</v>
      </c>
    </row>
    <row r="1687" spans="1:2" x14ac:dyDescent="0.35">
      <c r="A1687">
        <v>91</v>
      </c>
      <c r="B1687">
        <v>1</v>
      </c>
    </row>
    <row r="1688" spans="1:2" x14ac:dyDescent="0.35">
      <c r="A1688">
        <v>91</v>
      </c>
      <c r="B1688">
        <v>1</v>
      </c>
    </row>
    <row r="1689" spans="1:2" x14ac:dyDescent="0.35">
      <c r="A1689">
        <v>91</v>
      </c>
      <c r="B1689">
        <v>1</v>
      </c>
    </row>
    <row r="1690" spans="1:2" x14ac:dyDescent="0.35">
      <c r="A1690">
        <v>91</v>
      </c>
      <c r="B1690">
        <v>1</v>
      </c>
    </row>
    <row r="1691" spans="1:2" x14ac:dyDescent="0.35">
      <c r="A1691">
        <v>91</v>
      </c>
      <c r="B1691">
        <v>1</v>
      </c>
    </row>
    <row r="1692" spans="1:2" x14ac:dyDescent="0.35">
      <c r="A1692">
        <v>91</v>
      </c>
      <c r="B1692">
        <v>1</v>
      </c>
    </row>
    <row r="1693" spans="1:2" x14ac:dyDescent="0.35">
      <c r="A1693">
        <v>91</v>
      </c>
      <c r="B1693">
        <v>1</v>
      </c>
    </row>
    <row r="1694" spans="1:2" x14ac:dyDescent="0.35">
      <c r="A1694">
        <v>91</v>
      </c>
      <c r="B1694">
        <v>1</v>
      </c>
    </row>
    <row r="1695" spans="1:2" x14ac:dyDescent="0.35">
      <c r="A1695">
        <v>91</v>
      </c>
      <c r="B1695">
        <v>1</v>
      </c>
    </row>
    <row r="1696" spans="1:2" x14ac:dyDescent="0.35">
      <c r="A1696">
        <v>91</v>
      </c>
      <c r="B1696">
        <v>1</v>
      </c>
    </row>
    <row r="1697" spans="1:2" x14ac:dyDescent="0.35">
      <c r="A1697">
        <v>91</v>
      </c>
      <c r="B1697">
        <v>1</v>
      </c>
    </row>
    <row r="1698" spans="1:2" x14ac:dyDescent="0.35">
      <c r="A1698">
        <v>91</v>
      </c>
      <c r="B1698">
        <v>1</v>
      </c>
    </row>
    <row r="1699" spans="1:2" x14ac:dyDescent="0.35">
      <c r="A1699">
        <v>91</v>
      </c>
      <c r="B1699">
        <v>1</v>
      </c>
    </row>
    <row r="1700" spans="1:2" x14ac:dyDescent="0.35">
      <c r="A1700">
        <v>91</v>
      </c>
      <c r="B1700">
        <v>1</v>
      </c>
    </row>
    <row r="1701" spans="1:2" x14ac:dyDescent="0.35">
      <c r="A1701">
        <v>91</v>
      </c>
      <c r="B1701">
        <v>1</v>
      </c>
    </row>
    <row r="1702" spans="1:2" x14ac:dyDescent="0.35">
      <c r="A1702">
        <v>91</v>
      </c>
      <c r="B1702">
        <v>1</v>
      </c>
    </row>
    <row r="1703" spans="1:2" x14ac:dyDescent="0.35">
      <c r="A1703">
        <v>91</v>
      </c>
      <c r="B1703">
        <v>1</v>
      </c>
    </row>
    <row r="1704" spans="1:2" x14ac:dyDescent="0.35">
      <c r="A1704">
        <v>91</v>
      </c>
      <c r="B1704">
        <v>1</v>
      </c>
    </row>
    <row r="1705" spans="1:2" x14ac:dyDescent="0.35">
      <c r="A1705">
        <v>91</v>
      </c>
      <c r="B1705">
        <v>1</v>
      </c>
    </row>
    <row r="1706" spans="1:2" x14ac:dyDescent="0.35">
      <c r="A1706">
        <v>91</v>
      </c>
      <c r="B1706">
        <v>1</v>
      </c>
    </row>
    <row r="1707" spans="1:2" x14ac:dyDescent="0.35">
      <c r="A1707">
        <v>91</v>
      </c>
      <c r="B1707">
        <v>1</v>
      </c>
    </row>
    <row r="1708" spans="1:2" x14ac:dyDescent="0.35">
      <c r="A1708">
        <v>91</v>
      </c>
      <c r="B1708">
        <v>1</v>
      </c>
    </row>
    <row r="1709" spans="1:2" x14ac:dyDescent="0.35">
      <c r="A1709">
        <v>91</v>
      </c>
      <c r="B1709">
        <v>1</v>
      </c>
    </row>
    <row r="1710" spans="1:2" x14ac:dyDescent="0.35">
      <c r="A1710">
        <v>91</v>
      </c>
      <c r="B1710">
        <v>1</v>
      </c>
    </row>
    <row r="1711" spans="1:2" x14ac:dyDescent="0.35">
      <c r="A1711">
        <v>91</v>
      </c>
      <c r="B1711">
        <v>1</v>
      </c>
    </row>
    <row r="1712" spans="1:2" x14ac:dyDescent="0.35">
      <c r="A1712">
        <v>91</v>
      </c>
      <c r="B1712">
        <v>1</v>
      </c>
    </row>
    <row r="1713" spans="1:2" x14ac:dyDescent="0.35">
      <c r="A1713">
        <v>91</v>
      </c>
      <c r="B1713">
        <v>1</v>
      </c>
    </row>
    <row r="1714" spans="1:2" x14ac:dyDescent="0.35">
      <c r="A1714">
        <v>91</v>
      </c>
      <c r="B1714">
        <v>1</v>
      </c>
    </row>
    <row r="1715" spans="1:2" x14ac:dyDescent="0.35">
      <c r="A1715">
        <v>91</v>
      </c>
      <c r="B1715">
        <v>1</v>
      </c>
    </row>
    <row r="1716" spans="1:2" x14ac:dyDescent="0.35">
      <c r="A1716">
        <v>91</v>
      </c>
      <c r="B1716">
        <v>1</v>
      </c>
    </row>
    <row r="1717" spans="1:2" x14ac:dyDescent="0.35">
      <c r="A1717">
        <v>91</v>
      </c>
      <c r="B1717">
        <v>1</v>
      </c>
    </row>
    <row r="1718" spans="1:2" x14ac:dyDescent="0.35">
      <c r="A1718">
        <v>91</v>
      </c>
      <c r="B1718">
        <v>1</v>
      </c>
    </row>
    <row r="1719" spans="1:2" x14ac:dyDescent="0.35">
      <c r="A1719">
        <v>91</v>
      </c>
      <c r="B1719">
        <v>1</v>
      </c>
    </row>
    <row r="1720" spans="1:2" x14ac:dyDescent="0.35">
      <c r="A1720">
        <v>91</v>
      </c>
      <c r="B1720">
        <v>1</v>
      </c>
    </row>
    <row r="1721" spans="1:2" x14ac:dyDescent="0.35">
      <c r="A1721">
        <v>91</v>
      </c>
      <c r="B1721">
        <v>1</v>
      </c>
    </row>
    <row r="1722" spans="1:2" x14ac:dyDescent="0.35">
      <c r="A1722">
        <v>91</v>
      </c>
      <c r="B1722">
        <v>1</v>
      </c>
    </row>
    <row r="1723" spans="1:2" x14ac:dyDescent="0.35">
      <c r="A1723">
        <v>91</v>
      </c>
      <c r="B1723">
        <v>1</v>
      </c>
    </row>
    <row r="1724" spans="1:2" x14ac:dyDescent="0.35">
      <c r="A1724">
        <v>91</v>
      </c>
      <c r="B1724">
        <v>1</v>
      </c>
    </row>
    <row r="1725" spans="1:2" x14ac:dyDescent="0.35">
      <c r="A1725">
        <v>91</v>
      </c>
      <c r="B1725">
        <v>1</v>
      </c>
    </row>
    <row r="1726" spans="1:2" x14ac:dyDescent="0.35">
      <c r="A1726">
        <v>91</v>
      </c>
      <c r="B1726">
        <v>1</v>
      </c>
    </row>
    <row r="1727" spans="1:2" x14ac:dyDescent="0.35">
      <c r="A1727">
        <v>91</v>
      </c>
      <c r="B1727">
        <v>1</v>
      </c>
    </row>
    <row r="1728" spans="1:2" x14ac:dyDescent="0.35">
      <c r="A1728">
        <v>91</v>
      </c>
      <c r="B1728">
        <v>1</v>
      </c>
    </row>
    <row r="1729" spans="1:2" x14ac:dyDescent="0.35">
      <c r="A1729">
        <v>91</v>
      </c>
      <c r="B1729">
        <v>1</v>
      </c>
    </row>
    <row r="1730" spans="1:2" x14ac:dyDescent="0.35">
      <c r="A1730">
        <v>91</v>
      </c>
      <c r="B1730">
        <v>1</v>
      </c>
    </row>
    <row r="1731" spans="1:2" x14ac:dyDescent="0.35">
      <c r="A1731">
        <v>91</v>
      </c>
      <c r="B1731">
        <v>1</v>
      </c>
    </row>
    <row r="1732" spans="1:2" x14ac:dyDescent="0.35">
      <c r="A1732">
        <v>91</v>
      </c>
      <c r="B1732">
        <v>1</v>
      </c>
    </row>
    <row r="1733" spans="1:2" x14ac:dyDescent="0.35">
      <c r="A1733">
        <v>91</v>
      </c>
      <c r="B1733">
        <v>1</v>
      </c>
    </row>
    <row r="1734" spans="1:2" x14ac:dyDescent="0.35">
      <c r="A1734">
        <v>92</v>
      </c>
      <c r="B1734">
        <v>1</v>
      </c>
    </row>
    <row r="1735" spans="1:2" x14ac:dyDescent="0.35">
      <c r="A1735">
        <v>92</v>
      </c>
      <c r="B1735">
        <v>1</v>
      </c>
    </row>
    <row r="1736" spans="1:2" x14ac:dyDescent="0.35">
      <c r="A1736">
        <v>92</v>
      </c>
      <c r="B1736">
        <v>1</v>
      </c>
    </row>
    <row r="1737" spans="1:2" x14ac:dyDescent="0.35">
      <c r="A1737">
        <v>92</v>
      </c>
      <c r="B1737">
        <v>1</v>
      </c>
    </row>
    <row r="1738" spans="1:2" x14ac:dyDescent="0.35">
      <c r="A1738">
        <v>92</v>
      </c>
      <c r="B1738">
        <v>1</v>
      </c>
    </row>
    <row r="1739" spans="1:2" x14ac:dyDescent="0.35">
      <c r="A1739">
        <v>92</v>
      </c>
      <c r="B1739">
        <v>1</v>
      </c>
    </row>
    <row r="1740" spans="1:2" x14ac:dyDescent="0.35">
      <c r="A1740">
        <v>92</v>
      </c>
      <c r="B1740">
        <v>1</v>
      </c>
    </row>
    <row r="1741" spans="1:2" x14ac:dyDescent="0.35">
      <c r="A1741">
        <v>92</v>
      </c>
      <c r="B1741">
        <v>1</v>
      </c>
    </row>
    <row r="1742" spans="1:2" x14ac:dyDescent="0.35">
      <c r="A1742">
        <v>92</v>
      </c>
      <c r="B1742">
        <v>1</v>
      </c>
    </row>
    <row r="1743" spans="1:2" x14ac:dyDescent="0.35">
      <c r="A1743">
        <v>92</v>
      </c>
      <c r="B1743">
        <v>1</v>
      </c>
    </row>
    <row r="1744" spans="1:2" x14ac:dyDescent="0.35">
      <c r="A1744">
        <v>92</v>
      </c>
      <c r="B1744">
        <v>1</v>
      </c>
    </row>
    <row r="1745" spans="1:2" x14ac:dyDescent="0.35">
      <c r="A1745">
        <v>92</v>
      </c>
      <c r="B1745">
        <v>1</v>
      </c>
    </row>
    <row r="1746" spans="1:2" x14ac:dyDescent="0.35">
      <c r="A1746">
        <v>92</v>
      </c>
      <c r="B1746">
        <v>1</v>
      </c>
    </row>
    <row r="1747" spans="1:2" x14ac:dyDescent="0.35">
      <c r="A1747">
        <v>92</v>
      </c>
      <c r="B1747">
        <v>1</v>
      </c>
    </row>
    <row r="1748" spans="1:2" x14ac:dyDescent="0.35">
      <c r="A1748">
        <v>92</v>
      </c>
      <c r="B1748">
        <v>1</v>
      </c>
    </row>
    <row r="1749" spans="1:2" x14ac:dyDescent="0.35">
      <c r="A1749">
        <v>92</v>
      </c>
      <c r="B1749">
        <v>1</v>
      </c>
    </row>
    <row r="1750" spans="1:2" x14ac:dyDescent="0.35">
      <c r="A1750">
        <v>92</v>
      </c>
      <c r="B1750">
        <v>1</v>
      </c>
    </row>
    <row r="1751" spans="1:2" x14ac:dyDescent="0.35">
      <c r="A1751">
        <v>92</v>
      </c>
      <c r="B1751">
        <v>1</v>
      </c>
    </row>
    <row r="1752" spans="1:2" x14ac:dyDescent="0.35">
      <c r="A1752">
        <v>92</v>
      </c>
      <c r="B1752">
        <v>1</v>
      </c>
    </row>
    <row r="1753" spans="1:2" x14ac:dyDescent="0.35">
      <c r="A1753">
        <v>92</v>
      </c>
      <c r="B1753">
        <v>1</v>
      </c>
    </row>
    <row r="1754" spans="1:2" x14ac:dyDescent="0.35">
      <c r="A1754">
        <v>92</v>
      </c>
      <c r="B1754">
        <v>1</v>
      </c>
    </row>
    <row r="1755" spans="1:2" x14ac:dyDescent="0.35">
      <c r="A1755">
        <v>92</v>
      </c>
      <c r="B1755">
        <v>1</v>
      </c>
    </row>
    <row r="1756" spans="1:2" x14ac:dyDescent="0.35">
      <c r="A1756">
        <v>92</v>
      </c>
      <c r="B1756">
        <v>1</v>
      </c>
    </row>
    <row r="1757" spans="1:2" x14ac:dyDescent="0.35">
      <c r="A1757">
        <v>92</v>
      </c>
      <c r="B1757">
        <v>1</v>
      </c>
    </row>
    <row r="1758" spans="1:2" x14ac:dyDescent="0.35">
      <c r="A1758">
        <v>92</v>
      </c>
      <c r="B1758">
        <v>1</v>
      </c>
    </row>
    <row r="1759" spans="1:2" x14ac:dyDescent="0.35">
      <c r="A1759">
        <v>92</v>
      </c>
      <c r="B1759">
        <v>1</v>
      </c>
    </row>
    <row r="1760" spans="1:2" x14ac:dyDescent="0.35">
      <c r="A1760">
        <v>92</v>
      </c>
      <c r="B1760">
        <v>1</v>
      </c>
    </row>
    <row r="1761" spans="1:2" x14ac:dyDescent="0.35">
      <c r="A1761">
        <v>92</v>
      </c>
      <c r="B1761">
        <v>1</v>
      </c>
    </row>
    <row r="1762" spans="1:2" x14ac:dyDescent="0.35">
      <c r="A1762">
        <v>92</v>
      </c>
      <c r="B1762">
        <v>1</v>
      </c>
    </row>
    <row r="1763" spans="1:2" x14ac:dyDescent="0.35">
      <c r="A1763">
        <v>92</v>
      </c>
      <c r="B1763">
        <v>1</v>
      </c>
    </row>
    <row r="1764" spans="1:2" x14ac:dyDescent="0.35">
      <c r="A1764">
        <v>92</v>
      </c>
      <c r="B1764">
        <v>1</v>
      </c>
    </row>
    <row r="1765" spans="1:2" x14ac:dyDescent="0.35">
      <c r="A1765">
        <v>92</v>
      </c>
      <c r="B1765">
        <v>1</v>
      </c>
    </row>
    <row r="1766" spans="1:2" x14ac:dyDescent="0.35">
      <c r="A1766">
        <v>92</v>
      </c>
      <c r="B1766">
        <v>1</v>
      </c>
    </row>
    <row r="1767" spans="1:2" x14ac:dyDescent="0.35">
      <c r="A1767">
        <v>92</v>
      </c>
      <c r="B1767">
        <v>1</v>
      </c>
    </row>
    <row r="1768" spans="1:2" x14ac:dyDescent="0.35">
      <c r="A1768">
        <v>92</v>
      </c>
      <c r="B1768">
        <v>1</v>
      </c>
    </row>
    <row r="1769" spans="1:2" x14ac:dyDescent="0.35">
      <c r="A1769">
        <v>92</v>
      </c>
      <c r="B1769">
        <v>1</v>
      </c>
    </row>
    <row r="1770" spans="1:2" x14ac:dyDescent="0.35">
      <c r="A1770">
        <v>92</v>
      </c>
      <c r="B1770">
        <v>1</v>
      </c>
    </row>
    <row r="1771" spans="1:2" x14ac:dyDescent="0.35">
      <c r="A1771">
        <v>92</v>
      </c>
      <c r="B1771">
        <v>1</v>
      </c>
    </row>
    <row r="1772" spans="1:2" x14ac:dyDescent="0.35">
      <c r="A1772">
        <v>92</v>
      </c>
      <c r="B1772">
        <v>1</v>
      </c>
    </row>
    <row r="1773" spans="1:2" x14ac:dyDescent="0.35">
      <c r="A1773">
        <v>92</v>
      </c>
      <c r="B1773">
        <v>1</v>
      </c>
    </row>
    <row r="1774" spans="1:2" x14ac:dyDescent="0.35">
      <c r="A1774">
        <v>92</v>
      </c>
      <c r="B1774">
        <v>1</v>
      </c>
    </row>
    <row r="1775" spans="1:2" x14ac:dyDescent="0.35">
      <c r="A1775">
        <v>92</v>
      </c>
      <c r="B1775">
        <v>1</v>
      </c>
    </row>
    <row r="1776" spans="1:2" x14ac:dyDescent="0.35">
      <c r="A1776">
        <v>92</v>
      </c>
      <c r="B1776">
        <v>1</v>
      </c>
    </row>
    <row r="1777" spans="1:2" x14ac:dyDescent="0.35">
      <c r="A1777">
        <v>92</v>
      </c>
      <c r="B1777">
        <v>1</v>
      </c>
    </row>
    <row r="1778" spans="1:2" x14ac:dyDescent="0.35">
      <c r="A1778">
        <v>92</v>
      </c>
      <c r="B1778">
        <v>1</v>
      </c>
    </row>
    <row r="1779" spans="1:2" x14ac:dyDescent="0.35">
      <c r="A1779">
        <v>92</v>
      </c>
      <c r="B1779">
        <v>1</v>
      </c>
    </row>
    <row r="1780" spans="1:2" x14ac:dyDescent="0.35">
      <c r="A1780">
        <v>92</v>
      </c>
      <c r="B1780">
        <v>1</v>
      </c>
    </row>
    <row r="1781" spans="1:2" x14ac:dyDescent="0.35">
      <c r="A1781">
        <v>92</v>
      </c>
      <c r="B1781">
        <v>1</v>
      </c>
    </row>
    <row r="1782" spans="1:2" x14ac:dyDescent="0.35">
      <c r="A1782">
        <v>92</v>
      </c>
      <c r="B1782">
        <v>1</v>
      </c>
    </row>
    <row r="1783" spans="1:2" x14ac:dyDescent="0.35">
      <c r="A1783">
        <v>92</v>
      </c>
      <c r="B1783">
        <v>1</v>
      </c>
    </row>
    <row r="1784" spans="1:2" x14ac:dyDescent="0.35">
      <c r="A1784">
        <v>92</v>
      </c>
      <c r="B1784">
        <v>1</v>
      </c>
    </row>
    <row r="1785" spans="1:2" x14ac:dyDescent="0.35">
      <c r="A1785">
        <v>92</v>
      </c>
      <c r="B1785">
        <v>1</v>
      </c>
    </row>
    <row r="1786" spans="1:2" x14ac:dyDescent="0.35">
      <c r="A1786">
        <v>93</v>
      </c>
      <c r="B1786">
        <v>1</v>
      </c>
    </row>
    <row r="1787" spans="1:2" x14ac:dyDescent="0.35">
      <c r="A1787">
        <v>93</v>
      </c>
      <c r="B1787">
        <v>1</v>
      </c>
    </row>
    <row r="1788" spans="1:2" x14ac:dyDescent="0.35">
      <c r="A1788">
        <v>93</v>
      </c>
      <c r="B1788">
        <v>1</v>
      </c>
    </row>
    <row r="1789" spans="1:2" x14ac:dyDescent="0.35">
      <c r="A1789">
        <v>93</v>
      </c>
      <c r="B1789">
        <v>1</v>
      </c>
    </row>
    <row r="1790" spans="1:2" x14ac:dyDescent="0.35">
      <c r="A1790">
        <v>93</v>
      </c>
      <c r="B1790">
        <v>1</v>
      </c>
    </row>
    <row r="1791" spans="1:2" x14ac:dyDescent="0.35">
      <c r="A1791">
        <v>93</v>
      </c>
      <c r="B1791">
        <v>1</v>
      </c>
    </row>
    <row r="1792" spans="1:2" x14ac:dyDescent="0.35">
      <c r="A1792">
        <v>93</v>
      </c>
      <c r="B1792">
        <v>1</v>
      </c>
    </row>
    <row r="1793" spans="1:2" x14ac:dyDescent="0.35">
      <c r="A1793">
        <v>93</v>
      </c>
      <c r="B1793">
        <v>1</v>
      </c>
    </row>
    <row r="1794" spans="1:2" x14ac:dyDescent="0.35">
      <c r="A1794">
        <v>93</v>
      </c>
      <c r="B1794">
        <v>1</v>
      </c>
    </row>
    <row r="1795" spans="1:2" x14ac:dyDescent="0.35">
      <c r="A1795">
        <v>93</v>
      </c>
      <c r="B1795">
        <v>1</v>
      </c>
    </row>
    <row r="1796" spans="1:2" x14ac:dyDescent="0.35">
      <c r="A1796">
        <v>93</v>
      </c>
      <c r="B1796">
        <v>1</v>
      </c>
    </row>
    <row r="1797" spans="1:2" x14ac:dyDescent="0.35">
      <c r="A1797">
        <v>93</v>
      </c>
      <c r="B1797">
        <v>1</v>
      </c>
    </row>
    <row r="1798" spans="1:2" x14ac:dyDescent="0.35">
      <c r="A1798">
        <v>93</v>
      </c>
      <c r="B1798">
        <v>1</v>
      </c>
    </row>
    <row r="1799" spans="1:2" x14ac:dyDescent="0.35">
      <c r="A1799">
        <v>93</v>
      </c>
      <c r="B1799">
        <v>1</v>
      </c>
    </row>
    <row r="1800" spans="1:2" x14ac:dyDescent="0.35">
      <c r="A1800">
        <v>93</v>
      </c>
      <c r="B1800">
        <v>1</v>
      </c>
    </row>
    <row r="1801" spans="1:2" x14ac:dyDescent="0.35">
      <c r="A1801">
        <v>93</v>
      </c>
      <c r="B1801">
        <v>1</v>
      </c>
    </row>
    <row r="1802" spans="1:2" x14ac:dyDescent="0.35">
      <c r="A1802">
        <v>93</v>
      </c>
      <c r="B1802">
        <v>1</v>
      </c>
    </row>
    <row r="1803" spans="1:2" x14ac:dyDescent="0.35">
      <c r="A1803">
        <v>93</v>
      </c>
      <c r="B1803">
        <v>1</v>
      </c>
    </row>
    <row r="1804" spans="1:2" x14ac:dyDescent="0.35">
      <c r="A1804">
        <v>93</v>
      </c>
      <c r="B1804">
        <v>1</v>
      </c>
    </row>
    <row r="1805" spans="1:2" x14ac:dyDescent="0.35">
      <c r="A1805">
        <v>93</v>
      </c>
      <c r="B1805">
        <v>1</v>
      </c>
    </row>
    <row r="1806" spans="1:2" x14ac:dyDescent="0.35">
      <c r="A1806">
        <v>93</v>
      </c>
      <c r="B1806">
        <v>1</v>
      </c>
    </row>
    <row r="1807" spans="1:2" x14ac:dyDescent="0.35">
      <c r="A1807">
        <v>93</v>
      </c>
      <c r="B1807">
        <v>1</v>
      </c>
    </row>
    <row r="1808" spans="1:2" x14ac:dyDescent="0.35">
      <c r="A1808">
        <v>93</v>
      </c>
      <c r="B1808">
        <v>1</v>
      </c>
    </row>
    <row r="1809" spans="1:2" x14ac:dyDescent="0.35">
      <c r="A1809">
        <v>93</v>
      </c>
      <c r="B1809">
        <v>1</v>
      </c>
    </row>
    <row r="1810" spans="1:2" x14ac:dyDescent="0.35">
      <c r="A1810">
        <v>93</v>
      </c>
      <c r="B1810">
        <v>1</v>
      </c>
    </row>
    <row r="1811" spans="1:2" x14ac:dyDescent="0.35">
      <c r="A1811">
        <v>93</v>
      </c>
      <c r="B1811">
        <v>1</v>
      </c>
    </row>
    <row r="1812" spans="1:2" x14ac:dyDescent="0.35">
      <c r="A1812">
        <v>93</v>
      </c>
      <c r="B1812">
        <v>1</v>
      </c>
    </row>
    <row r="1813" spans="1:2" x14ac:dyDescent="0.35">
      <c r="A1813">
        <v>93</v>
      </c>
      <c r="B1813">
        <v>1</v>
      </c>
    </row>
    <row r="1814" spans="1:2" x14ac:dyDescent="0.35">
      <c r="A1814">
        <v>93</v>
      </c>
      <c r="B1814">
        <v>1</v>
      </c>
    </row>
    <row r="1815" spans="1:2" x14ac:dyDescent="0.35">
      <c r="A1815">
        <v>93</v>
      </c>
      <c r="B1815">
        <v>1</v>
      </c>
    </row>
    <row r="1816" spans="1:2" x14ac:dyDescent="0.35">
      <c r="A1816">
        <v>93</v>
      </c>
      <c r="B1816">
        <v>1</v>
      </c>
    </row>
    <row r="1817" spans="1:2" x14ac:dyDescent="0.35">
      <c r="A1817">
        <v>93</v>
      </c>
      <c r="B1817">
        <v>1</v>
      </c>
    </row>
    <row r="1818" spans="1:2" x14ac:dyDescent="0.35">
      <c r="A1818">
        <v>93</v>
      </c>
      <c r="B1818">
        <v>1</v>
      </c>
    </row>
    <row r="1819" spans="1:2" x14ac:dyDescent="0.35">
      <c r="A1819">
        <v>93</v>
      </c>
      <c r="B1819">
        <v>1</v>
      </c>
    </row>
    <row r="1820" spans="1:2" x14ac:dyDescent="0.35">
      <c r="A1820">
        <v>93</v>
      </c>
      <c r="B1820">
        <v>1</v>
      </c>
    </row>
    <row r="1821" spans="1:2" x14ac:dyDescent="0.35">
      <c r="A1821">
        <v>93</v>
      </c>
      <c r="B1821">
        <v>1</v>
      </c>
    </row>
    <row r="1822" spans="1:2" x14ac:dyDescent="0.35">
      <c r="A1822">
        <v>93</v>
      </c>
      <c r="B1822">
        <v>1</v>
      </c>
    </row>
    <row r="1823" spans="1:2" x14ac:dyDescent="0.35">
      <c r="A1823">
        <v>94</v>
      </c>
      <c r="B1823">
        <v>1</v>
      </c>
    </row>
    <row r="1824" spans="1:2" x14ac:dyDescent="0.35">
      <c r="A1824">
        <v>94</v>
      </c>
      <c r="B1824">
        <v>1</v>
      </c>
    </row>
    <row r="1825" spans="1:2" x14ac:dyDescent="0.35">
      <c r="A1825">
        <v>94</v>
      </c>
      <c r="B1825">
        <v>1</v>
      </c>
    </row>
    <row r="1826" spans="1:2" x14ac:dyDescent="0.35">
      <c r="A1826">
        <v>94</v>
      </c>
      <c r="B1826">
        <v>1</v>
      </c>
    </row>
    <row r="1827" spans="1:2" x14ac:dyDescent="0.35">
      <c r="A1827">
        <v>94</v>
      </c>
      <c r="B1827">
        <v>1</v>
      </c>
    </row>
    <row r="1828" spans="1:2" x14ac:dyDescent="0.35">
      <c r="A1828">
        <v>94</v>
      </c>
      <c r="B1828">
        <v>1</v>
      </c>
    </row>
    <row r="1829" spans="1:2" x14ac:dyDescent="0.35">
      <c r="A1829">
        <v>94</v>
      </c>
      <c r="B1829">
        <v>1</v>
      </c>
    </row>
    <row r="1830" spans="1:2" x14ac:dyDescent="0.35">
      <c r="A1830">
        <v>94</v>
      </c>
      <c r="B1830">
        <v>1</v>
      </c>
    </row>
    <row r="1831" spans="1:2" x14ac:dyDescent="0.35">
      <c r="A1831">
        <v>94</v>
      </c>
      <c r="B1831">
        <v>1</v>
      </c>
    </row>
    <row r="1832" spans="1:2" x14ac:dyDescent="0.35">
      <c r="A1832">
        <v>94</v>
      </c>
      <c r="B1832">
        <v>1</v>
      </c>
    </row>
    <row r="1833" spans="1:2" x14ac:dyDescent="0.35">
      <c r="A1833">
        <v>94</v>
      </c>
      <c r="B1833">
        <v>1</v>
      </c>
    </row>
    <row r="1834" spans="1:2" x14ac:dyDescent="0.35">
      <c r="A1834">
        <v>94</v>
      </c>
      <c r="B1834">
        <v>1</v>
      </c>
    </row>
    <row r="1835" spans="1:2" x14ac:dyDescent="0.35">
      <c r="A1835">
        <v>94</v>
      </c>
      <c r="B1835">
        <v>1</v>
      </c>
    </row>
    <row r="1836" spans="1:2" x14ac:dyDescent="0.35">
      <c r="A1836">
        <v>94</v>
      </c>
      <c r="B1836">
        <v>1</v>
      </c>
    </row>
    <row r="1837" spans="1:2" x14ac:dyDescent="0.35">
      <c r="A1837">
        <v>94</v>
      </c>
      <c r="B1837">
        <v>1</v>
      </c>
    </row>
    <row r="1838" spans="1:2" x14ac:dyDescent="0.35">
      <c r="A1838">
        <v>94</v>
      </c>
      <c r="B1838">
        <v>1</v>
      </c>
    </row>
    <row r="1839" spans="1:2" x14ac:dyDescent="0.35">
      <c r="A1839">
        <v>94</v>
      </c>
      <c r="B1839">
        <v>1</v>
      </c>
    </row>
    <row r="1840" spans="1:2" x14ac:dyDescent="0.35">
      <c r="A1840">
        <v>94</v>
      </c>
      <c r="B1840">
        <v>1</v>
      </c>
    </row>
    <row r="1841" spans="1:2" x14ac:dyDescent="0.35">
      <c r="A1841">
        <v>94</v>
      </c>
      <c r="B1841">
        <v>1</v>
      </c>
    </row>
    <row r="1842" spans="1:2" x14ac:dyDescent="0.35">
      <c r="A1842">
        <v>94</v>
      </c>
      <c r="B1842">
        <v>1</v>
      </c>
    </row>
    <row r="1843" spans="1:2" x14ac:dyDescent="0.35">
      <c r="A1843">
        <v>94</v>
      </c>
      <c r="B1843">
        <v>1</v>
      </c>
    </row>
    <row r="1844" spans="1:2" x14ac:dyDescent="0.35">
      <c r="A1844">
        <v>94</v>
      </c>
      <c r="B1844">
        <v>1</v>
      </c>
    </row>
    <row r="1845" spans="1:2" x14ac:dyDescent="0.35">
      <c r="A1845">
        <v>94</v>
      </c>
      <c r="B1845">
        <v>1</v>
      </c>
    </row>
    <row r="1846" spans="1:2" x14ac:dyDescent="0.35">
      <c r="A1846">
        <v>94</v>
      </c>
      <c r="B1846">
        <v>1</v>
      </c>
    </row>
    <row r="1847" spans="1:2" x14ac:dyDescent="0.35">
      <c r="A1847">
        <v>94</v>
      </c>
      <c r="B1847">
        <v>1</v>
      </c>
    </row>
    <row r="1848" spans="1:2" x14ac:dyDescent="0.35">
      <c r="A1848">
        <v>94</v>
      </c>
      <c r="B1848">
        <v>1</v>
      </c>
    </row>
    <row r="1849" spans="1:2" x14ac:dyDescent="0.35">
      <c r="A1849">
        <v>94</v>
      </c>
      <c r="B1849">
        <v>1</v>
      </c>
    </row>
    <row r="1850" spans="1:2" x14ac:dyDescent="0.35">
      <c r="A1850">
        <v>94</v>
      </c>
      <c r="B1850">
        <v>1</v>
      </c>
    </row>
    <row r="1851" spans="1:2" x14ac:dyDescent="0.35">
      <c r="A1851">
        <v>94</v>
      </c>
      <c r="B1851">
        <v>1</v>
      </c>
    </row>
    <row r="1852" spans="1:2" x14ac:dyDescent="0.35">
      <c r="A1852">
        <v>94</v>
      </c>
      <c r="B1852">
        <v>1</v>
      </c>
    </row>
    <row r="1853" spans="1:2" x14ac:dyDescent="0.35">
      <c r="A1853">
        <v>94</v>
      </c>
      <c r="B1853">
        <v>1</v>
      </c>
    </row>
    <row r="1854" spans="1:2" x14ac:dyDescent="0.35">
      <c r="A1854">
        <v>94</v>
      </c>
      <c r="B1854">
        <v>1</v>
      </c>
    </row>
    <row r="1855" spans="1:2" x14ac:dyDescent="0.35">
      <c r="A1855">
        <v>94</v>
      </c>
      <c r="B1855">
        <v>1</v>
      </c>
    </row>
    <row r="1856" spans="1:2" x14ac:dyDescent="0.35">
      <c r="A1856">
        <v>94</v>
      </c>
      <c r="B1856">
        <v>1</v>
      </c>
    </row>
    <row r="1857" spans="1:2" x14ac:dyDescent="0.35">
      <c r="A1857">
        <v>94</v>
      </c>
      <c r="B1857">
        <v>1</v>
      </c>
    </row>
    <row r="1858" spans="1:2" x14ac:dyDescent="0.35">
      <c r="A1858">
        <v>94</v>
      </c>
      <c r="B1858">
        <v>1</v>
      </c>
    </row>
    <row r="1859" spans="1:2" x14ac:dyDescent="0.35">
      <c r="A1859">
        <v>94</v>
      </c>
      <c r="B1859">
        <v>1</v>
      </c>
    </row>
    <row r="1860" spans="1:2" x14ac:dyDescent="0.35">
      <c r="A1860">
        <v>94</v>
      </c>
      <c r="B1860">
        <v>1</v>
      </c>
    </row>
    <row r="1861" spans="1:2" x14ac:dyDescent="0.35">
      <c r="A1861">
        <v>94</v>
      </c>
      <c r="B1861">
        <v>1</v>
      </c>
    </row>
    <row r="1862" spans="1:2" x14ac:dyDescent="0.35">
      <c r="A1862">
        <v>94</v>
      </c>
      <c r="B1862">
        <v>1</v>
      </c>
    </row>
    <row r="1863" spans="1:2" x14ac:dyDescent="0.35">
      <c r="A1863">
        <v>94</v>
      </c>
      <c r="B1863">
        <v>1</v>
      </c>
    </row>
    <row r="1864" spans="1:2" x14ac:dyDescent="0.35">
      <c r="A1864">
        <v>94</v>
      </c>
      <c r="B1864">
        <v>1</v>
      </c>
    </row>
    <row r="1865" spans="1:2" x14ac:dyDescent="0.35">
      <c r="A1865">
        <v>94</v>
      </c>
      <c r="B1865">
        <v>1</v>
      </c>
    </row>
    <row r="1866" spans="1:2" x14ac:dyDescent="0.35">
      <c r="A1866">
        <v>94</v>
      </c>
      <c r="B1866">
        <v>1</v>
      </c>
    </row>
    <row r="1867" spans="1:2" x14ac:dyDescent="0.35">
      <c r="A1867">
        <v>94</v>
      </c>
      <c r="B1867">
        <v>1</v>
      </c>
    </row>
    <row r="1868" spans="1:2" x14ac:dyDescent="0.35">
      <c r="A1868">
        <v>94</v>
      </c>
      <c r="B1868">
        <v>1</v>
      </c>
    </row>
    <row r="1869" spans="1:2" x14ac:dyDescent="0.35">
      <c r="A1869">
        <v>94</v>
      </c>
      <c r="B1869">
        <v>1</v>
      </c>
    </row>
    <row r="1870" spans="1:2" x14ac:dyDescent="0.35">
      <c r="A1870">
        <v>94</v>
      </c>
      <c r="B1870">
        <v>1</v>
      </c>
    </row>
    <row r="1871" spans="1:2" x14ac:dyDescent="0.35">
      <c r="A1871">
        <v>94</v>
      </c>
      <c r="B1871">
        <v>1</v>
      </c>
    </row>
    <row r="1872" spans="1:2" x14ac:dyDescent="0.35">
      <c r="A1872">
        <v>95</v>
      </c>
      <c r="B1872">
        <v>1</v>
      </c>
    </row>
    <row r="1873" spans="1:2" x14ac:dyDescent="0.35">
      <c r="A1873">
        <v>95</v>
      </c>
      <c r="B1873">
        <v>1</v>
      </c>
    </row>
    <row r="1874" spans="1:2" x14ac:dyDescent="0.35">
      <c r="A1874">
        <v>95</v>
      </c>
      <c r="B1874">
        <v>1</v>
      </c>
    </row>
    <row r="1875" spans="1:2" x14ac:dyDescent="0.35">
      <c r="A1875">
        <v>95</v>
      </c>
      <c r="B1875">
        <v>1</v>
      </c>
    </row>
    <row r="1876" spans="1:2" x14ac:dyDescent="0.35">
      <c r="A1876">
        <v>95</v>
      </c>
      <c r="B1876">
        <v>1</v>
      </c>
    </row>
    <row r="1877" spans="1:2" x14ac:dyDescent="0.35">
      <c r="A1877">
        <v>95</v>
      </c>
      <c r="B1877">
        <v>1</v>
      </c>
    </row>
    <row r="1878" spans="1:2" x14ac:dyDescent="0.35">
      <c r="A1878">
        <v>95</v>
      </c>
      <c r="B1878">
        <v>1</v>
      </c>
    </row>
    <row r="1879" spans="1:2" x14ac:dyDescent="0.35">
      <c r="A1879">
        <v>95</v>
      </c>
      <c r="B1879">
        <v>1</v>
      </c>
    </row>
    <row r="1880" spans="1:2" x14ac:dyDescent="0.35">
      <c r="A1880">
        <v>95</v>
      </c>
      <c r="B1880">
        <v>1</v>
      </c>
    </row>
    <row r="1881" spans="1:2" x14ac:dyDescent="0.35">
      <c r="A1881">
        <v>95</v>
      </c>
      <c r="B1881">
        <v>1</v>
      </c>
    </row>
    <row r="1882" spans="1:2" x14ac:dyDescent="0.35">
      <c r="A1882">
        <v>95</v>
      </c>
      <c r="B1882">
        <v>1</v>
      </c>
    </row>
    <row r="1883" spans="1:2" x14ac:dyDescent="0.35">
      <c r="A1883">
        <v>95</v>
      </c>
      <c r="B1883">
        <v>1</v>
      </c>
    </row>
    <row r="1884" spans="1:2" x14ac:dyDescent="0.35">
      <c r="A1884">
        <v>95</v>
      </c>
      <c r="B1884">
        <v>1</v>
      </c>
    </row>
    <row r="1885" spans="1:2" x14ac:dyDescent="0.35">
      <c r="A1885">
        <v>95</v>
      </c>
      <c r="B1885">
        <v>1</v>
      </c>
    </row>
    <row r="1886" spans="1:2" x14ac:dyDescent="0.35">
      <c r="A1886">
        <v>95</v>
      </c>
      <c r="B1886">
        <v>1</v>
      </c>
    </row>
    <row r="1887" spans="1:2" x14ac:dyDescent="0.35">
      <c r="A1887">
        <v>95</v>
      </c>
      <c r="B1887">
        <v>1</v>
      </c>
    </row>
    <row r="1888" spans="1:2" x14ac:dyDescent="0.35">
      <c r="A1888">
        <v>95</v>
      </c>
      <c r="B1888">
        <v>1</v>
      </c>
    </row>
    <row r="1889" spans="1:2" x14ac:dyDescent="0.35">
      <c r="A1889">
        <v>95</v>
      </c>
      <c r="B1889">
        <v>1</v>
      </c>
    </row>
    <row r="1890" spans="1:2" x14ac:dyDescent="0.35">
      <c r="A1890">
        <v>95</v>
      </c>
      <c r="B1890">
        <v>1</v>
      </c>
    </row>
    <row r="1891" spans="1:2" x14ac:dyDescent="0.35">
      <c r="A1891">
        <v>95</v>
      </c>
      <c r="B1891">
        <v>1</v>
      </c>
    </row>
    <row r="1892" spans="1:2" x14ac:dyDescent="0.35">
      <c r="A1892">
        <v>95</v>
      </c>
      <c r="B1892">
        <v>1</v>
      </c>
    </row>
    <row r="1893" spans="1:2" x14ac:dyDescent="0.35">
      <c r="A1893">
        <v>95</v>
      </c>
      <c r="B1893">
        <v>1</v>
      </c>
    </row>
    <row r="1894" spans="1:2" x14ac:dyDescent="0.35">
      <c r="A1894">
        <v>95</v>
      </c>
      <c r="B1894">
        <v>1</v>
      </c>
    </row>
    <row r="1895" spans="1:2" x14ac:dyDescent="0.35">
      <c r="A1895">
        <v>95</v>
      </c>
      <c r="B1895">
        <v>1</v>
      </c>
    </row>
    <row r="1896" spans="1:2" x14ac:dyDescent="0.35">
      <c r="A1896">
        <v>95</v>
      </c>
      <c r="B1896">
        <v>1</v>
      </c>
    </row>
    <row r="1897" spans="1:2" x14ac:dyDescent="0.35">
      <c r="A1897">
        <v>95</v>
      </c>
      <c r="B1897">
        <v>1</v>
      </c>
    </row>
    <row r="1898" spans="1:2" x14ac:dyDescent="0.35">
      <c r="A1898">
        <v>95</v>
      </c>
      <c r="B1898">
        <v>1</v>
      </c>
    </row>
    <row r="1899" spans="1:2" x14ac:dyDescent="0.35">
      <c r="A1899">
        <v>95</v>
      </c>
      <c r="B1899">
        <v>1</v>
      </c>
    </row>
    <row r="1900" spans="1:2" x14ac:dyDescent="0.35">
      <c r="A1900">
        <v>95</v>
      </c>
      <c r="B1900">
        <v>1</v>
      </c>
    </row>
    <row r="1901" spans="1:2" x14ac:dyDescent="0.35">
      <c r="A1901">
        <v>95</v>
      </c>
      <c r="B1901">
        <v>1</v>
      </c>
    </row>
    <row r="1902" spans="1:2" x14ac:dyDescent="0.35">
      <c r="A1902">
        <v>95</v>
      </c>
      <c r="B1902">
        <v>1</v>
      </c>
    </row>
    <row r="1903" spans="1:2" x14ac:dyDescent="0.35">
      <c r="A1903">
        <v>95</v>
      </c>
      <c r="B1903">
        <v>1</v>
      </c>
    </row>
    <row r="1904" spans="1:2" x14ac:dyDescent="0.35">
      <c r="A1904">
        <v>95</v>
      </c>
      <c r="B1904">
        <v>1</v>
      </c>
    </row>
    <row r="1905" spans="1:2" x14ac:dyDescent="0.35">
      <c r="A1905">
        <v>95</v>
      </c>
      <c r="B1905">
        <v>1</v>
      </c>
    </row>
    <row r="1906" spans="1:2" x14ac:dyDescent="0.35">
      <c r="A1906">
        <v>95</v>
      </c>
      <c r="B1906">
        <v>1</v>
      </c>
    </row>
    <row r="1907" spans="1:2" x14ac:dyDescent="0.35">
      <c r="A1907">
        <v>95</v>
      </c>
      <c r="B1907">
        <v>1</v>
      </c>
    </row>
    <row r="1908" spans="1:2" x14ac:dyDescent="0.35">
      <c r="A1908">
        <v>95</v>
      </c>
      <c r="B1908">
        <v>1</v>
      </c>
    </row>
    <row r="1909" spans="1:2" x14ac:dyDescent="0.35">
      <c r="A1909">
        <v>95</v>
      </c>
      <c r="B1909">
        <v>1</v>
      </c>
    </row>
    <row r="1910" spans="1:2" x14ac:dyDescent="0.35">
      <c r="A1910">
        <v>95</v>
      </c>
      <c r="B1910">
        <v>1</v>
      </c>
    </row>
    <row r="1911" spans="1:2" x14ac:dyDescent="0.35">
      <c r="A1911">
        <v>95</v>
      </c>
      <c r="B1911">
        <v>1</v>
      </c>
    </row>
    <row r="1912" spans="1:2" x14ac:dyDescent="0.35">
      <c r="A1912">
        <v>95</v>
      </c>
      <c r="B1912">
        <v>1</v>
      </c>
    </row>
    <row r="1913" spans="1:2" x14ac:dyDescent="0.35">
      <c r="A1913">
        <v>95</v>
      </c>
      <c r="B1913">
        <v>1</v>
      </c>
    </row>
    <row r="1914" spans="1:2" x14ac:dyDescent="0.35">
      <c r="A1914">
        <v>96</v>
      </c>
      <c r="B1914">
        <v>1</v>
      </c>
    </row>
    <row r="1915" spans="1:2" x14ac:dyDescent="0.35">
      <c r="A1915">
        <v>96</v>
      </c>
      <c r="B1915">
        <v>1</v>
      </c>
    </row>
    <row r="1916" spans="1:2" x14ac:dyDescent="0.35">
      <c r="A1916">
        <v>96</v>
      </c>
      <c r="B1916">
        <v>1</v>
      </c>
    </row>
    <row r="1917" spans="1:2" x14ac:dyDescent="0.35">
      <c r="A1917">
        <v>96</v>
      </c>
      <c r="B1917">
        <v>1</v>
      </c>
    </row>
    <row r="1918" spans="1:2" x14ac:dyDescent="0.35">
      <c r="A1918">
        <v>96</v>
      </c>
      <c r="B1918">
        <v>1</v>
      </c>
    </row>
    <row r="1919" spans="1:2" x14ac:dyDescent="0.35">
      <c r="A1919">
        <v>96</v>
      </c>
      <c r="B1919">
        <v>1</v>
      </c>
    </row>
    <row r="1920" spans="1:2" x14ac:dyDescent="0.35">
      <c r="A1920">
        <v>96</v>
      </c>
      <c r="B1920">
        <v>1</v>
      </c>
    </row>
    <row r="1921" spans="1:2" x14ac:dyDescent="0.35">
      <c r="A1921">
        <v>96</v>
      </c>
      <c r="B1921">
        <v>1</v>
      </c>
    </row>
    <row r="1922" spans="1:2" x14ac:dyDescent="0.35">
      <c r="A1922">
        <v>96</v>
      </c>
      <c r="B1922">
        <v>1</v>
      </c>
    </row>
    <row r="1923" spans="1:2" x14ac:dyDescent="0.35">
      <c r="A1923">
        <v>96</v>
      </c>
      <c r="B1923">
        <v>1</v>
      </c>
    </row>
    <row r="1924" spans="1:2" x14ac:dyDescent="0.35">
      <c r="A1924">
        <v>96</v>
      </c>
      <c r="B1924">
        <v>1</v>
      </c>
    </row>
    <row r="1925" spans="1:2" x14ac:dyDescent="0.35">
      <c r="A1925">
        <v>96</v>
      </c>
      <c r="B1925">
        <v>1</v>
      </c>
    </row>
    <row r="1926" spans="1:2" x14ac:dyDescent="0.35">
      <c r="A1926">
        <v>96</v>
      </c>
      <c r="B1926">
        <v>1</v>
      </c>
    </row>
    <row r="1927" spans="1:2" x14ac:dyDescent="0.35">
      <c r="A1927">
        <v>96</v>
      </c>
      <c r="B1927">
        <v>1</v>
      </c>
    </row>
    <row r="1928" spans="1:2" x14ac:dyDescent="0.35">
      <c r="A1928">
        <v>96</v>
      </c>
      <c r="B1928">
        <v>1</v>
      </c>
    </row>
    <row r="1929" spans="1:2" x14ac:dyDescent="0.35">
      <c r="A1929">
        <v>96</v>
      </c>
      <c r="B1929">
        <v>1</v>
      </c>
    </row>
    <row r="1930" spans="1:2" x14ac:dyDescent="0.35">
      <c r="A1930">
        <v>96</v>
      </c>
      <c r="B1930">
        <v>1</v>
      </c>
    </row>
    <row r="1931" spans="1:2" x14ac:dyDescent="0.35">
      <c r="A1931">
        <v>96</v>
      </c>
      <c r="B1931">
        <v>1</v>
      </c>
    </row>
    <row r="1932" spans="1:2" x14ac:dyDescent="0.35">
      <c r="A1932">
        <v>96</v>
      </c>
      <c r="B1932">
        <v>1</v>
      </c>
    </row>
    <row r="1933" spans="1:2" x14ac:dyDescent="0.35">
      <c r="A1933">
        <v>96</v>
      </c>
      <c r="B1933">
        <v>1</v>
      </c>
    </row>
    <row r="1934" spans="1:2" x14ac:dyDescent="0.35">
      <c r="A1934">
        <v>96</v>
      </c>
      <c r="B1934">
        <v>1</v>
      </c>
    </row>
    <row r="1935" spans="1:2" x14ac:dyDescent="0.35">
      <c r="A1935">
        <v>96</v>
      </c>
      <c r="B1935">
        <v>1</v>
      </c>
    </row>
    <row r="1936" spans="1:2" x14ac:dyDescent="0.35">
      <c r="A1936">
        <v>96</v>
      </c>
      <c r="B1936">
        <v>1</v>
      </c>
    </row>
    <row r="1937" spans="1:2" x14ac:dyDescent="0.35">
      <c r="A1937">
        <v>96</v>
      </c>
      <c r="B1937">
        <v>1</v>
      </c>
    </row>
    <row r="1938" spans="1:2" x14ac:dyDescent="0.35">
      <c r="A1938">
        <v>96</v>
      </c>
      <c r="B1938">
        <v>1</v>
      </c>
    </row>
    <row r="1939" spans="1:2" x14ac:dyDescent="0.35">
      <c r="A1939">
        <v>96</v>
      </c>
      <c r="B1939">
        <v>1</v>
      </c>
    </row>
    <row r="1940" spans="1:2" x14ac:dyDescent="0.35">
      <c r="A1940">
        <v>96</v>
      </c>
      <c r="B1940">
        <v>1</v>
      </c>
    </row>
    <row r="1941" spans="1:2" x14ac:dyDescent="0.35">
      <c r="A1941">
        <v>96</v>
      </c>
      <c r="B1941">
        <v>1</v>
      </c>
    </row>
    <row r="1942" spans="1:2" x14ac:dyDescent="0.35">
      <c r="A1942">
        <v>96</v>
      </c>
      <c r="B1942">
        <v>1</v>
      </c>
    </row>
    <row r="1943" spans="1:2" x14ac:dyDescent="0.35">
      <c r="A1943">
        <v>96</v>
      </c>
      <c r="B1943">
        <v>1</v>
      </c>
    </row>
    <row r="1944" spans="1:2" x14ac:dyDescent="0.35">
      <c r="A1944">
        <v>96</v>
      </c>
      <c r="B1944">
        <v>1</v>
      </c>
    </row>
    <row r="1945" spans="1:2" x14ac:dyDescent="0.35">
      <c r="A1945">
        <v>96</v>
      </c>
      <c r="B1945">
        <v>1</v>
      </c>
    </row>
    <row r="1946" spans="1:2" x14ac:dyDescent="0.35">
      <c r="A1946">
        <v>96</v>
      </c>
      <c r="B1946">
        <v>1</v>
      </c>
    </row>
    <row r="1947" spans="1:2" x14ac:dyDescent="0.35">
      <c r="A1947">
        <v>96</v>
      </c>
      <c r="B1947">
        <v>1</v>
      </c>
    </row>
    <row r="1948" spans="1:2" x14ac:dyDescent="0.35">
      <c r="A1948">
        <v>96</v>
      </c>
      <c r="B1948">
        <v>1</v>
      </c>
    </row>
    <row r="1949" spans="1:2" x14ac:dyDescent="0.35">
      <c r="A1949">
        <v>96</v>
      </c>
      <c r="B1949">
        <v>1</v>
      </c>
    </row>
    <row r="1950" spans="1:2" x14ac:dyDescent="0.35">
      <c r="A1950">
        <v>96</v>
      </c>
      <c r="B1950">
        <v>1</v>
      </c>
    </row>
    <row r="1951" spans="1:2" x14ac:dyDescent="0.35">
      <c r="A1951">
        <v>96</v>
      </c>
      <c r="B1951">
        <v>1</v>
      </c>
    </row>
    <row r="1952" spans="1:2" x14ac:dyDescent="0.35">
      <c r="A1952">
        <v>96</v>
      </c>
      <c r="B1952">
        <v>1</v>
      </c>
    </row>
    <row r="1953" spans="1:2" x14ac:dyDescent="0.35">
      <c r="A1953">
        <v>97</v>
      </c>
      <c r="B1953">
        <v>1</v>
      </c>
    </row>
    <row r="1954" spans="1:2" x14ac:dyDescent="0.35">
      <c r="A1954">
        <v>97</v>
      </c>
      <c r="B1954">
        <v>1</v>
      </c>
    </row>
    <row r="1955" spans="1:2" x14ac:dyDescent="0.35">
      <c r="A1955">
        <v>97</v>
      </c>
      <c r="B1955">
        <v>1</v>
      </c>
    </row>
    <row r="1956" spans="1:2" x14ac:dyDescent="0.35">
      <c r="A1956">
        <v>97</v>
      </c>
      <c r="B1956">
        <v>1</v>
      </c>
    </row>
    <row r="1957" spans="1:2" x14ac:dyDescent="0.35">
      <c r="A1957">
        <v>97</v>
      </c>
      <c r="B1957">
        <v>1</v>
      </c>
    </row>
    <row r="1958" spans="1:2" x14ac:dyDescent="0.35">
      <c r="A1958">
        <v>97</v>
      </c>
      <c r="B1958">
        <v>1</v>
      </c>
    </row>
    <row r="1959" spans="1:2" x14ac:dyDescent="0.35">
      <c r="A1959">
        <v>97</v>
      </c>
      <c r="B1959">
        <v>1</v>
      </c>
    </row>
    <row r="1960" spans="1:2" x14ac:dyDescent="0.35">
      <c r="A1960">
        <v>97</v>
      </c>
      <c r="B1960">
        <v>1</v>
      </c>
    </row>
    <row r="1961" spans="1:2" x14ac:dyDescent="0.35">
      <c r="A1961">
        <v>97</v>
      </c>
      <c r="B1961">
        <v>1</v>
      </c>
    </row>
    <row r="1962" spans="1:2" x14ac:dyDescent="0.35">
      <c r="A1962">
        <v>97</v>
      </c>
      <c r="B1962">
        <v>1</v>
      </c>
    </row>
    <row r="1963" spans="1:2" x14ac:dyDescent="0.35">
      <c r="A1963">
        <v>97</v>
      </c>
      <c r="B1963">
        <v>1</v>
      </c>
    </row>
    <row r="1964" spans="1:2" x14ac:dyDescent="0.35">
      <c r="A1964">
        <v>97</v>
      </c>
      <c r="B1964">
        <v>1</v>
      </c>
    </row>
    <row r="1965" spans="1:2" x14ac:dyDescent="0.35">
      <c r="A1965">
        <v>97</v>
      </c>
      <c r="B1965">
        <v>1</v>
      </c>
    </row>
    <row r="1966" spans="1:2" x14ac:dyDescent="0.35">
      <c r="A1966">
        <v>97</v>
      </c>
      <c r="B1966">
        <v>1</v>
      </c>
    </row>
    <row r="1967" spans="1:2" x14ac:dyDescent="0.35">
      <c r="A1967">
        <v>97</v>
      </c>
      <c r="B1967">
        <v>1</v>
      </c>
    </row>
    <row r="1968" spans="1:2" x14ac:dyDescent="0.35">
      <c r="A1968">
        <v>97</v>
      </c>
      <c r="B1968">
        <v>1</v>
      </c>
    </row>
    <row r="1969" spans="1:2" x14ac:dyDescent="0.35">
      <c r="A1969">
        <v>97</v>
      </c>
      <c r="B1969">
        <v>1</v>
      </c>
    </row>
    <row r="1970" spans="1:2" x14ac:dyDescent="0.35">
      <c r="A1970">
        <v>97</v>
      </c>
      <c r="B1970">
        <v>1</v>
      </c>
    </row>
    <row r="1971" spans="1:2" x14ac:dyDescent="0.35">
      <c r="A1971">
        <v>97</v>
      </c>
      <c r="B1971">
        <v>1</v>
      </c>
    </row>
    <row r="1972" spans="1:2" x14ac:dyDescent="0.35">
      <c r="A1972">
        <v>97</v>
      </c>
      <c r="B1972">
        <v>1</v>
      </c>
    </row>
    <row r="1973" spans="1:2" x14ac:dyDescent="0.35">
      <c r="A1973">
        <v>97</v>
      </c>
      <c r="B1973">
        <v>1</v>
      </c>
    </row>
    <row r="1974" spans="1:2" x14ac:dyDescent="0.35">
      <c r="A1974">
        <v>97</v>
      </c>
      <c r="B1974">
        <v>1</v>
      </c>
    </row>
    <row r="1975" spans="1:2" x14ac:dyDescent="0.35">
      <c r="A1975">
        <v>97</v>
      </c>
      <c r="B1975">
        <v>1</v>
      </c>
    </row>
    <row r="1976" spans="1:2" x14ac:dyDescent="0.35">
      <c r="A1976">
        <v>97</v>
      </c>
      <c r="B1976">
        <v>1</v>
      </c>
    </row>
    <row r="1977" spans="1:2" x14ac:dyDescent="0.35">
      <c r="A1977">
        <v>97</v>
      </c>
      <c r="B1977">
        <v>1</v>
      </c>
    </row>
    <row r="1978" spans="1:2" x14ac:dyDescent="0.35">
      <c r="A1978">
        <v>97</v>
      </c>
      <c r="B1978">
        <v>1</v>
      </c>
    </row>
    <row r="1979" spans="1:2" x14ac:dyDescent="0.35">
      <c r="A1979">
        <v>97</v>
      </c>
      <c r="B1979">
        <v>1</v>
      </c>
    </row>
    <row r="1980" spans="1:2" x14ac:dyDescent="0.35">
      <c r="A1980">
        <v>97</v>
      </c>
      <c r="B1980">
        <v>1</v>
      </c>
    </row>
    <row r="1981" spans="1:2" x14ac:dyDescent="0.35">
      <c r="A1981">
        <v>97</v>
      </c>
      <c r="B1981">
        <v>1</v>
      </c>
    </row>
    <row r="1982" spans="1:2" x14ac:dyDescent="0.35">
      <c r="A1982">
        <v>97</v>
      </c>
      <c r="B1982">
        <v>1</v>
      </c>
    </row>
    <row r="1983" spans="1:2" x14ac:dyDescent="0.35">
      <c r="A1983">
        <v>97</v>
      </c>
      <c r="B1983">
        <v>1</v>
      </c>
    </row>
    <row r="1984" spans="1:2" x14ac:dyDescent="0.35">
      <c r="A1984">
        <v>97</v>
      </c>
      <c r="B1984">
        <v>1</v>
      </c>
    </row>
    <row r="1985" spans="1:2" x14ac:dyDescent="0.35">
      <c r="A1985">
        <v>97</v>
      </c>
      <c r="B1985">
        <v>1</v>
      </c>
    </row>
    <row r="1986" spans="1:2" x14ac:dyDescent="0.35">
      <c r="A1986">
        <v>97</v>
      </c>
      <c r="B1986">
        <v>1</v>
      </c>
    </row>
    <row r="1987" spans="1:2" x14ac:dyDescent="0.35">
      <c r="A1987">
        <v>97</v>
      </c>
      <c r="B1987">
        <v>1</v>
      </c>
    </row>
    <row r="1988" spans="1:2" x14ac:dyDescent="0.35">
      <c r="A1988">
        <v>97</v>
      </c>
      <c r="B1988">
        <v>1</v>
      </c>
    </row>
    <row r="1989" spans="1:2" x14ac:dyDescent="0.35">
      <c r="A1989">
        <v>97</v>
      </c>
      <c r="B1989">
        <v>1</v>
      </c>
    </row>
    <row r="1990" spans="1:2" x14ac:dyDescent="0.35">
      <c r="A1990">
        <v>97</v>
      </c>
      <c r="B1990">
        <v>1</v>
      </c>
    </row>
    <row r="1991" spans="1:2" x14ac:dyDescent="0.35">
      <c r="A1991">
        <v>97</v>
      </c>
      <c r="B1991">
        <v>1</v>
      </c>
    </row>
    <row r="1992" spans="1:2" x14ac:dyDescent="0.35">
      <c r="A1992">
        <v>97</v>
      </c>
      <c r="B1992">
        <v>1</v>
      </c>
    </row>
    <row r="1993" spans="1:2" x14ac:dyDescent="0.35">
      <c r="A1993">
        <v>97</v>
      </c>
      <c r="B1993">
        <v>1</v>
      </c>
    </row>
    <row r="1994" spans="1:2" x14ac:dyDescent="0.35">
      <c r="A1994">
        <v>97</v>
      </c>
      <c r="B1994">
        <v>1</v>
      </c>
    </row>
    <row r="1995" spans="1:2" x14ac:dyDescent="0.35">
      <c r="A1995">
        <v>97</v>
      </c>
      <c r="B1995">
        <v>1</v>
      </c>
    </row>
    <row r="1996" spans="1:2" x14ac:dyDescent="0.35">
      <c r="A1996">
        <v>97</v>
      </c>
      <c r="B1996">
        <v>1</v>
      </c>
    </row>
    <row r="1997" spans="1:2" x14ac:dyDescent="0.35">
      <c r="A1997">
        <v>97</v>
      </c>
      <c r="B1997">
        <v>1</v>
      </c>
    </row>
    <row r="1998" spans="1:2" x14ac:dyDescent="0.35">
      <c r="A1998">
        <v>97</v>
      </c>
      <c r="B1998">
        <v>1</v>
      </c>
    </row>
    <row r="1999" spans="1:2" x14ac:dyDescent="0.35">
      <c r="A1999">
        <v>97</v>
      </c>
      <c r="B1999">
        <v>1</v>
      </c>
    </row>
    <row r="2000" spans="1:2" x14ac:dyDescent="0.35">
      <c r="A2000">
        <v>98</v>
      </c>
      <c r="B2000">
        <v>1</v>
      </c>
    </row>
    <row r="2001" spans="1:2" x14ac:dyDescent="0.35">
      <c r="A2001">
        <v>98</v>
      </c>
      <c r="B2001">
        <v>1</v>
      </c>
    </row>
    <row r="2002" spans="1:2" x14ac:dyDescent="0.35">
      <c r="A2002">
        <v>98</v>
      </c>
      <c r="B2002">
        <v>1</v>
      </c>
    </row>
    <row r="2003" spans="1:2" x14ac:dyDescent="0.35">
      <c r="A2003">
        <v>98</v>
      </c>
      <c r="B2003">
        <v>1</v>
      </c>
    </row>
    <row r="2004" spans="1:2" x14ac:dyDescent="0.35">
      <c r="A2004">
        <v>98</v>
      </c>
      <c r="B2004">
        <v>1</v>
      </c>
    </row>
    <row r="2005" spans="1:2" x14ac:dyDescent="0.35">
      <c r="A2005">
        <v>98</v>
      </c>
      <c r="B2005">
        <v>1</v>
      </c>
    </row>
    <row r="2006" spans="1:2" x14ac:dyDescent="0.35">
      <c r="A2006">
        <v>98</v>
      </c>
      <c r="B2006">
        <v>1</v>
      </c>
    </row>
    <row r="2007" spans="1:2" x14ac:dyDescent="0.35">
      <c r="A2007">
        <v>98</v>
      </c>
      <c r="B2007">
        <v>1</v>
      </c>
    </row>
    <row r="2008" spans="1:2" x14ac:dyDescent="0.35">
      <c r="A2008">
        <v>98</v>
      </c>
      <c r="B2008">
        <v>1</v>
      </c>
    </row>
    <row r="2009" spans="1:2" x14ac:dyDescent="0.35">
      <c r="A2009">
        <v>98</v>
      </c>
      <c r="B2009">
        <v>1</v>
      </c>
    </row>
    <row r="2010" spans="1:2" x14ac:dyDescent="0.35">
      <c r="A2010">
        <v>98</v>
      </c>
      <c r="B2010">
        <v>1</v>
      </c>
    </row>
    <row r="2011" spans="1:2" x14ac:dyDescent="0.35">
      <c r="A2011">
        <v>98</v>
      </c>
      <c r="B2011">
        <v>1</v>
      </c>
    </row>
    <row r="2012" spans="1:2" x14ac:dyDescent="0.35">
      <c r="A2012">
        <v>98</v>
      </c>
      <c r="B2012">
        <v>1</v>
      </c>
    </row>
    <row r="2013" spans="1:2" x14ac:dyDescent="0.35">
      <c r="A2013">
        <v>98</v>
      </c>
      <c r="B2013">
        <v>1</v>
      </c>
    </row>
    <row r="2014" spans="1:2" x14ac:dyDescent="0.35">
      <c r="A2014">
        <v>98</v>
      </c>
      <c r="B2014">
        <v>1</v>
      </c>
    </row>
    <row r="2015" spans="1:2" x14ac:dyDescent="0.35">
      <c r="A2015">
        <v>98</v>
      </c>
      <c r="B2015">
        <v>1</v>
      </c>
    </row>
    <row r="2016" spans="1:2" x14ac:dyDescent="0.35">
      <c r="A2016">
        <v>98</v>
      </c>
      <c r="B2016">
        <v>1</v>
      </c>
    </row>
    <row r="2017" spans="1:2" x14ac:dyDescent="0.35">
      <c r="A2017">
        <v>98</v>
      </c>
      <c r="B2017">
        <v>1</v>
      </c>
    </row>
    <row r="2018" spans="1:2" x14ac:dyDescent="0.35">
      <c r="A2018">
        <v>98</v>
      </c>
      <c r="B2018">
        <v>1</v>
      </c>
    </row>
    <row r="2019" spans="1:2" x14ac:dyDescent="0.35">
      <c r="A2019">
        <v>98</v>
      </c>
      <c r="B2019">
        <v>1</v>
      </c>
    </row>
    <row r="2020" spans="1:2" x14ac:dyDescent="0.35">
      <c r="A2020">
        <v>98</v>
      </c>
      <c r="B2020">
        <v>1</v>
      </c>
    </row>
    <row r="2021" spans="1:2" x14ac:dyDescent="0.35">
      <c r="A2021">
        <v>98</v>
      </c>
      <c r="B2021">
        <v>1</v>
      </c>
    </row>
    <row r="2022" spans="1:2" x14ac:dyDescent="0.35">
      <c r="A2022">
        <v>98</v>
      </c>
      <c r="B2022">
        <v>1</v>
      </c>
    </row>
    <row r="2023" spans="1:2" x14ac:dyDescent="0.35">
      <c r="A2023">
        <v>98</v>
      </c>
      <c r="B2023">
        <v>1</v>
      </c>
    </row>
    <row r="2024" spans="1:2" x14ac:dyDescent="0.35">
      <c r="A2024">
        <v>98</v>
      </c>
      <c r="B2024">
        <v>1</v>
      </c>
    </row>
    <row r="2025" spans="1:2" x14ac:dyDescent="0.35">
      <c r="A2025">
        <v>98</v>
      </c>
      <c r="B2025">
        <v>1</v>
      </c>
    </row>
    <row r="2026" spans="1:2" x14ac:dyDescent="0.35">
      <c r="A2026">
        <v>98</v>
      </c>
      <c r="B2026">
        <v>1</v>
      </c>
    </row>
    <row r="2027" spans="1:2" x14ac:dyDescent="0.35">
      <c r="A2027">
        <v>98</v>
      </c>
      <c r="B2027">
        <v>1</v>
      </c>
    </row>
    <row r="2028" spans="1:2" x14ac:dyDescent="0.35">
      <c r="A2028">
        <v>98</v>
      </c>
      <c r="B2028">
        <v>1</v>
      </c>
    </row>
    <row r="2029" spans="1:2" x14ac:dyDescent="0.35">
      <c r="A2029">
        <v>98</v>
      </c>
      <c r="B2029">
        <v>1</v>
      </c>
    </row>
    <row r="2030" spans="1:2" x14ac:dyDescent="0.35">
      <c r="A2030">
        <v>98</v>
      </c>
      <c r="B2030">
        <v>1</v>
      </c>
    </row>
    <row r="2031" spans="1:2" x14ac:dyDescent="0.35">
      <c r="A2031">
        <v>98</v>
      </c>
      <c r="B2031">
        <v>1</v>
      </c>
    </row>
    <row r="2032" spans="1:2" x14ac:dyDescent="0.35">
      <c r="A2032">
        <v>98</v>
      </c>
      <c r="B2032">
        <v>1</v>
      </c>
    </row>
    <row r="2033" spans="1:2" x14ac:dyDescent="0.35">
      <c r="A2033">
        <v>98</v>
      </c>
      <c r="B2033">
        <v>1</v>
      </c>
    </row>
    <row r="2034" spans="1:2" x14ac:dyDescent="0.35">
      <c r="A2034">
        <v>98</v>
      </c>
      <c r="B2034">
        <v>1</v>
      </c>
    </row>
    <row r="2035" spans="1:2" x14ac:dyDescent="0.35">
      <c r="A2035">
        <v>98</v>
      </c>
      <c r="B2035">
        <v>1</v>
      </c>
    </row>
    <row r="2036" spans="1:2" x14ac:dyDescent="0.35">
      <c r="A2036">
        <v>98</v>
      </c>
      <c r="B2036">
        <v>1</v>
      </c>
    </row>
    <row r="2037" spans="1:2" x14ac:dyDescent="0.35">
      <c r="A2037">
        <v>98</v>
      </c>
      <c r="B2037">
        <v>1</v>
      </c>
    </row>
    <row r="2038" spans="1:2" x14ac:dyDescent="0.35">
      <c r="A2038">
        <v>98</v>
      </c>
      <c r="B2038">
        <v>1</v>
      </c>
    </row>
    <row r="2039" spans="1:2" x14ac:dyDescent="0.35">
      <c r="A2039">
        <v>98</v>
      </c>
      <c r="B2039">
        <v>1</v>
      </c>
    </row>
    <row r="2040" spans="1:2" x14ac:dyDescent="0.35">
      <c r="A2040">
        <v>98</v>
      </c>
      <c r="B2040">
        <v>1</v>
      </c>
    </row>
    <row r="2041" spans="1:2" x14ac:dyDescent="0.35">
      <c r="A2041">
        <v>98</v>
      </c>
      <c r="B2041">
        <v>1</v>
      </c>
    </row>
    <row r="2042" spans="1:2" x14ac:dyDescent="0.35">
      <c r="A2042">
        <v>98</v>
      </c>
      <c r="B2042">
        <v>1</v>
      </c>
    </row>
    <row r="2043" spans="1:2" x14ac:dyDescent="0.35">
      <c r="A2043">
        <v>98</v>
      </c>
      <c r="B2043">
        <v>1</v>
      </c>
    </row>
    <row r="2044" spans="1:2" x14ac:dyDescent="0.35">
      <c r="A2044">
        <v>98</v>
      </c>
      <c r="B2044">
        <v>1</v>
      </c>
    </row>
    <row r="2045" spans="1:2" x14ac:dyDescent="0.35">
      <c r="A2045">
        <v>98</v>
      </c>
      <c r="B2045">
        <v>1</v>
      </c>
    </row>
    <row r="2046" spans="1:2" x14ac:dyDescent="0.35">
      <c r="A2046">
        <v>99</v>
      </c>
      <c r="B2046">
        <v>1</v>
      </c>
    </row>
    <row r="2047" spans="1:2" x14ac:dyDescent="0.35">
      <c r="A2047">
        <v>99</v>
      </c>
      <c r="B2047">
        <v>1</v>
      </c>
    </row>
    <row r="2048" spans="1:2" x14ac:dyDescent="0.35">
      <c r="A2048">
        <v>99</v>
      </c>
      <c r="B2048">
        <v>1</v>
      </c>
    </row>
    <row r="2049" spans="1:2" x14ac:dyDescent="0.35">
      <c r="A2049">
        <v>99</v>
      </c>
      <c r="B2049">
        <v>1</v>
      </c>
    </row>
    <row r="2050" spans="1:2" x14ac:dyDescent="0.35">
      <c r="A2050">
        <v>99</v>
      </c>
      <c r="B2050">
        <v>1</v>
      </c>
    </row>
    <row r="2051" spans="1:2" x14ac:dyDescent="0.35">
      <c r="A2051">
        <v>99</v>
      </c>
      <c r="B2051">
        <v>1</v>
      </c>
    </row>
    <row r="2052" spans="1:2" x14ac:dyDescent="0.35">
      <c r="A2052">
        <v>99</v>
      </c>
      <c r="B2052">
        <v>1</v>
      </c>
    </row>
    <row r="2053" spans="1:2" x14ac:dyDescent="0.35">
      <c r="A2053">
        <v>99</v>
      </c>
      <c r="B2053">
        <v>1</v>
      </c>
    </row>
    <row r="2054" spans="1:2" x14ac:dyDescent="0.35">
      <c r="A2054">
        <v>99</v>
      </c>
      <c r="B2054">
        <v>1</v>
      </c>
    </row>
    <row r="2055" spans="1:2" x14ac:dyDescent="0.35">
      <c r="A2055">
        <v>99</v>
      </c>
      <c r="B2055">
        <v>1</v>
      </c>
    </row>
    <row r="2056" spans="1:2" x14ac:dyDescent="0.35">
      <c r="A2056">
        <v>99</v>
      </c>
      <c r="B2056">
        <v>1</v>
      </c>
    </row>
    <row r="2057" spans="1:2" x14ac:dyDescent="0.35">
      <c r="A2057">
        <v>99</v>
      </c>
      <c r="B2057">
        <v>1</v>
      </c>
    </row>
    <row r="2058" spans="1:2" x14ac:dyDescent="0.35">
      <c r="A2058">
        <v>99</v>
      </c>
      <c r="B2058">
        <v>1</v>
      </c>
    </row>
    <row r="2059" spans="1:2" x14ac:dyDescent="0.35">
      <c r="A2059">
        <v>99</v>
      </c>
      <c r="B2059">
        <v>1</v>
      </c>
    </row>
    <row r="2060" spans="1:2" x14ac:dyDescent="0.35">
      <c r="A2060">
        <v>99</v>
      </c>
      <c r="B2060">
        <v>1</v>
      </c>
    </row>
    <row r="2061" spans="1:2" x14ac:dyDescent="0.35">
      <c r="A2061">
        <v>99</v>
      </c>
      <c r="B2061">
        <v>1</v>
      </c>
    </row>
    <row r="2062" spans="1:2" x14ac:dyDescent="0.35">
      <c r="A2062">
        <v>99</v>
      </c>
      <c r="B2062">
        <v>1</v>
      </c>
    </row>
    <row r="2063" spans="1:2" x14ac:dyDescent="0.35">
      <c r="A2063">
        <v>99</v>
      </c>
      <c r="B2063">
        <v>1</v>
      </c>
    </row>
    <row r="2064" spans="1:2" x14ac:dyDescent="0.35">
      <c r="A2064">
        <v>99</v>
      </c>
      <c r="B2064">
        <v>1</v>
      </c>
    </row>
    <row r="2065" spans="1:2" x14ac:dyDescent="0.35">
      <c r="A2065">
        <v>99</v>
      </c>
      <c r="B2065">
        <v>1</v>
      </c>
    </row>
    <row r="2066" spans="1:2" x14ac:dyDescent="0.35">
      <c r="A2066">
        <v>99</v>
      </c>
      <c r="B2066">
        <v>1</v>
      </c>
    </row>
    <row r="2067" spans="1:2" x14ac:dyDescent="0.35">
      <c r="A2067">
        <v>99</v>
      </c>
      <c r="B2067">
        <v>1</v>
      </c>
    </row>
    <row r="2068" spans="1:2" x14ac:dyDescent="0.35">
      <c r="A2068">
        <v>99</v>
      </c>
      <c r="B2068">
        <v>1</v>
      </c>
    </row>
    <row r="2069" spans="1:2" x14ac:dyDescent="0.35">
      <c r="A2069">
        <v>99</v>
      </c>
      <c r="B2069">
        <v>1</v>
      </c>
    </row>
    <row r="2070" spans="1:2" x14ac:dyDescent="0.35">
      <c r="A2070">
        <v>99</v>
      </c>
      <c r="B2070">
        <v>1</v>
      </c>
    </row>
    <row r="2071" spans="1:2" x14ac:dyDescent="0.35">
      <c r="A2071">
        <v>99</v>
      </c>
      <c r="B2071">
        <v>1</v>
      </c>
    </row>
    <row r="2072" spans="1:2" x14ac:dyDescent="0.35">
      <c r="A2072">
        <v>99</v>
      </c>
      <c r="B2072">
        <v>1</v>
      </c>
    </row>
    <row r="2073" spans="1:2" x14ac:dyDescent="0.35">
      <c r="A2073">
        <v>99</v>
      </c>
      <c r="B2073">
        <v>1</v>
      </c>
    </row>
    <row r="2074" spans="1:2" x14ac:dyDescent="0.35">
      <c r="A2074">
        <v>99</v>
      </c>
      <c r="B2074">
        <v>1</v>
      </c>
    </row>
    <row r="2075" spans="1:2" x14ac:dyDescent="0.35">
      <c r="A2075">
        <v>99</v>
      </c>
      <c r="B2075">
        <v>1</v>
      </c>
    </row>
    <row r="2076" spans="1:2" x14ac:dyDescent="0.35">
      <c r="A2076">
        <v>99</v>
      </c>
      <c r="B2076">
        <v>1</v>
      </c>
    </row>
    <row r="2077" spans="1:2" x14ac:dyDescent="0.35">
      <c r="A2077">
        <v>99</v>
      </c>
      <c r="B2077">
        <v>1</v>
      </c>
    </row>
    <row r="2078" spans="1:2" x14ac:dyDescent="0.35">
      <c r="A2078">
        <v>99</v>
      </c>
      <c r="B2078">
        <v>1</v>
      </c>
    </row>
    <row r="2079" spans="1:2" x14ac:dyDescent="0.35">
      <c r="A2079">
        <v>99</v>
      </c>
      <c r="B2079">
        <v>1</v>
      </c>
    </row>
    <row r="2080" spans="1:2" x14ac:dyDescent="0.35">
      <c r="A2080">
        <v>99</v>
      </c>
      <c r="B2080">
        <v>1</v>
      </c>
    </row>
    <row r="2081" spans="1:2" x14ac:dyDescent="0.35">
      <c r="A2081">
        <v>99</v>
      </c>
      <c r="B2081">
        <v>1</v>
      </c>
    </row>
    <row r="2082" spans="1:2" x14ac:dyDescent="0.35">
      <c r="A2082">
        <v>99</v>
      </c>
      <c r="B2082">
        <v>1</v>
      </c>
    </row>
    <row r="2083" spans="1:2" x14ac:dyDescent="0.35">
      <c r="A2083">
        <v>99</v>
      </c>
      <c r="B2083">
        <v>1</v>
      </c>
    </row>
    <row r="2084" spans="1:2" x14ac:dyDescent="0.35">
      <c r="A2084">
        <v>99</v>
      </c>
      <c r="B2084">
        <v>1</v>
      </c>
    </row>
    <row r="2085" spans="1:2" x14ac:dyDescent="0.35">
      <c r="A2085">
        <v>99</v>
      </c>
      <c r="B2085">
        <v>1</v>
      </c>
    </row>
    <row r="2086" spans="1:2" x14ac:dyDescent="0.35">
      <c r="A2086">
        <v>99</v>
      </c>
      <c r="B2086">
        <v>1</v>
      </c>
    </row>
    <row r="2087" spans="1:2" x14ac:dyDescent="0.35">
      <c r="A2087">
        <v>99</v>
      </c>
      <c r="B2087">
        <v>1</v>
      </c>
    </row>
    <row r="2088" spans="1:2" x14ac:dyDescent="0.35">
      <c r="A2088">
        <v>99</v>
      </c>
      <c r="B2088">
        <v>1</v>
      </c>
    </row>
    <row r="2089" spans="1:2" x14ac:dyDescent="0.35">
      <c r="A2089">
        <v>99</v>
      </c>
      <c r="B2089">
        <v>1</v>
      </c>
    </row>
    <row r="2090" spans="1:2" x14ac:dyDescent="0.35">
      <c r="A2090">
        <v>99</v>
      </c>
      <c r="B2090">
        <v>1</v>
      </c>
    </row>
    <row r="2091" spans="1:2" x14ac:dyDescent="0.35">
      <c r="A2091">
        <v>99</v>
      </c>
      <c r="B2091">
        <v>1</v>
      </c>
    </row>
    <row r="2092" spans="1:2" x14ac:dyDescent="0.35">
      <c r="A2092">
        <v>99</v>
      </c>
      <c r="B2092">
        <v>1</v>
      </c>
    </row>
    <row r="2093" spans="1:2" x14ac:dyDescent="0.35">
      <c r="A2093">
        <v>99</v>
      </c>
      <c r="B2093">
        <v>1</v>
      </c>
    </row>
    <row r="2094" spans="1:2" x14ac:dyDescent="0.35">
      <c r="A2094">
        <v>99</v>
      </c>
      <c r="B2094">
        <v>1</v>
      </c>
    </row>
    <row r="2095" spans="1:2" x14ac:dyDescent="0.35">
      <c r="A2095">
        <v>99</v>
      </c>
      <c r="B2095">
        <v>1</v>
      </c>
    </row>
    <row r="2096" spans="1:2" x14ac:dyDescent="0.35">
      <c r="A2096">
        <v>99</v>
      </c>
      <c r="B2096">
        <v>1</v>
      </c>
    </row>
    <row r="2097" spans="1:2" x14ac:dyDescent="0.35">
      <c r="A2097">
        <v>99</v>
      </c>
      <c r="B2097">
        <v>1</v>
      </c>
    </row>
    <row r="2098" spans="1:2" x14ac:dyDescent="0.35">
      <c r="A2098">
        <v>99</v>
      </c>
      <c r="B2098">
        <v>1</v>
      </c>
    </row>
    <row r="2099" spans="1:2" x14ac:dyDescent="0.35">
      <c r="A2099">
        <v>99</v>
      </c>
      <c r="B2099">
        <v>1</v>
      </c>
    </row>
    <row r="2100" spans="1:2" x14ac:dyDescent="0.35">
      <c r="A2100">
        <v>100</v>
      </c>
      <c r="B2100">
        <v>1</v>
      </c>
    </row>
    <row r="2101" spans="1:2" x14ac:dyDescent="0.35">
      <c r="A2101">
        <v>100</v>
      </c>
      <c r="B2101">
        <v>1</v>
      </c>
    </row>
    <row r="2102" spans="1:2" x14ac:dyDescent="0.35">
      <c r="A2102">
        <v>100</v>
      </c>
      <c r="B2102">
        <v>1</v>
      </c>
    </row>
    <row r="2103" spans="1:2" x14ac:dyDescent="0.35">
      <c r="A2103">
        <v>100</v>
      </c>
      <c r="B2103">
        <v>1</v>
      </c>
    </row>
    <row r="2104" spans="1:2" x14ac:dyDescent="0.35">
      <c r="A2104">
        <v>100</v>
      </c>
      <c r="B2104">
        <v>1</v>
      </c>
    </row>
    <row r="2105" spans="1:2" x14ac:dyDescent="0.35">
      <c r="A2105">
        <v>100</v>
      </c>
      <c r="B2105">
        <v>1</v>
      </c>
    </row>
    <row r="2106" spans="1:2" x14ac:dyDescent="0.35">
      <c r="A2106">
        <v>100</v>
      </c>
      <c r="B2106">
        <v>1</v>
      </c>
    </row>
    <row r="2107" spans="1:2" x14ac:dyDescent="0.35">
      <c r="A2107">
        <v>100</v>
      </c>
      <c r="B2107">
        <v>1</v>
      </c>
    </row>
    <row r="2108" spans="1:2" x14ac:dyDescent="0.35">
      <c r="A2108">
        <v>100</v>
      </c>
      <c r="B2108">
        <v>1</v>
      </c>
    </row>
    <row r="2109" spans="1:2" x14ac:dyDescent="0.35">
      <c r="A2109">
        <v>100</v>
      </c>
      <c r="B2109">
        <v>1</v>
      </c>
    </row>
    <row r="2110" spans="1:2" x14ac:dyDescent="0.35">
      <c r="A2110">
        <v>100</v>
      </c>
      <c r="B2110">
        <v>1</v>
      </c>
    </row>
    <row r="2111" spans="1:2" x14ac:dyDescent="0.35">
      <c r="A2111">
        <v>100</v>
      </c>
      <c r="B2111">
        <v>1</v>
      </c>
    </row>
    <row r="2112" spans="1:2" x14ac:dyDescent="0.35">
      <c r="A2112">
        <v>100</v>
      </c>
      <c r="B2112">
        <v>1</v>
      </c>
    </row>
    <row r="2113" spans="1:2" x14ac:dyDescent="0.35">
      <c r="A2113">
        <v>100</v>
      </c>
      <c r="B2113">
        <v>1</v>
      </c>
    </row>
    <row r="2114" spans="1:2" x14ac:dyDescent="0.35">
      <c r="A2114">
        <v>100</v>
      </c>
      <c r="B2114">
        <v>1</v>
      </c>
    </row>
    <row r="2115" spans="1:2" x14ac:dyDescent="0.35">
      <c r="A2115">
        <v>100</v>
      </c>
      <c r="B2115">
        <v>1</v>
      </c>
    </row>
    <row r="2116" spans="1:2" x14ac:dyDescent="0.35">
      <c r="A2116">
        <v>100</v>
      </c>
      <c r="B2116">
        <v>1</v>
      </c>
    </row>
    <row r="2117" spans="1:2" x14ac:dyDescent="0.35">
      <c r="A2117">
        <v>100</v>
      </c>
      <c r="B2117">
        <v>1</v>
      </c>
    </row>
    <row r="2118" spans="1:2" x14ac:dyDescent="0.35">
      <c r="A2118">
        <v>100</v>
      </c>
      <c r="B2118">
        <v>1</v>
      </c>
    </row>
    <row r="2119" spans="1:2" x14ac:dyDescent="0.35">
      <c r="A2119">
        <v>100</v>
      </c>
      <c r="B2119">
        <v>1</v>
      </c>
    </row>
    <row r="2120" spans="1:2" x14ac:dyDescent="0.35">
      <c r="A2120">
        <v>100</v>
      </c>
      <c r="B2120">
        <v>1</v>
      </c>
    </row>
    <row r="2121" spans="1:2" x14ac:dyDescent="0.35">
      <c r="A2121">
        <v>100</v>
      </c>
      <c r="B2121">
        <v>1</v>
      </c>
    </row>
    <row r="2122" spans="1:2" x14ac:dyDescent="0.35">
      <c r="A2122">
        <v>100</v>
      </c>
      <c r="B2122">
        <v>1</v>
      </c>
    </row>
    <row r="2123" spans="1:2" x14ac:dyDescent="0.35">
      <c r="A2123">
        <v>100</v>
      </c>
      <c r="B2123">
        <v>1</v>
      </c>
    </row>
    <row r="2124" spans="1:2" x14ac:dyDescent="0.35">
      <c r="A2124">
        <v>100</v>
      </c>
      <c r="B2124">
        <v>1</v>
      </c>
    </row>
    <row r="2125" spans="1:2" x14ac:dyDescent="0.35">
      <c r="A2125">
        <v>100</v>
      </c>
      <c r="B2125">
        <v>1</v>
      </c>
    </row>
    <row r="2126" spans="1:2" x14ac:dyDescent="0.35">
      <c r="A2126">
        <v>100</v>
      </c>
      <c r="B2126">
        <v>1</v>
      </c>
    </row>
    <row r="2127" spans="1:2" x14ac:dyDescent="0.35">
      <c r="A2127">
        <v>100</v>
      </c>
      <c r="B2127">
        <v>1</v>
      </c>
    </row>
    <row r="2128" spans="1:2" x14ac:dyDescent="0.35">
      <c r="A2128">
        <v>100</v>
      </c>
      <c r="B2128">
        <v>1</v>
      </c>
    </row>
    <row r="2129" spans="1:2" x14ac:dyDescent="0.35">
      <c r="A2129">
        <v>100</v>
      </c>
      <c r="B2129">
        <v>1</v>
      </c>
    </row>
    <row r="2130" spans="1:2" x14ac:dyDescent="0.35">
      <c r="A2130">
        <v>100</v>
      </c>
      <c r="B2130">
        <v>1</v>
      </c>
    </row>
    <row r="2131" spans="1:2" x14ac:dyDescent="0.35">
      <c r="A2131">
        <v>100</v>
      </c>
      <c r="B2131">
        <v>1</v>
      </c>
    </row>
    <row r="2132" spans="1:2" x14ac:dyDescent="0.35">
      <c r="A2132">
        <v>100</v>
      </c>
      <c r="B2132">
        <v>1</v>
      </c>
    </row>
    <row r="2133" spans="1:2" x14ac:dyDescent="0.35">
      <c r="A2133">
        <v>100</v>
      </c>
      <c r="B2133">
        <v>1</v>
      </c>
    </row>
    <row r="2134" spans="1:2" x14ac:dyDescent="0.35">
      <c r="A2134">
        <v>100</v>
      </c>
      <c r="B2134">
        <v>1</v>
      </c>
    </row>
    <row r="2135" spans="1:2" x14ac:dyDescent="0.35">
      <c r="A2135">
        <v>100</v>
      </c>
      <c r="B2135">
        <v>1</v>
      </c>
    </row>
    <row r="2136" spans="1:2" x14ac:dyDescent="0.35">
      <c r="A2136">
        <v>100</v>
      </c>
      <c r="B2136">
        <v>1</v>
      </c>
    </row>
    <row r="2137" spans="1:2" x14ac:dyDescent="0.35">
      <c r="A2137">
        <v>100</v>
      </c>
      <c r="B2137">
        <v>1</v>
      </c>
    </row>
    <row r="2138" spans="1:2" x14ac:dyDescent="0.35">
      <c r="A2138">
        <v>100</v>
      </c>
      <c r="B2138">
        <v>1</v>
      </c>
    </row>
    <row r="2139" spans="1:2" x14ac:dyDescent="0.35">
      <c r="A2139">
        <v>100</v>
      </c>
      <c r="B2139">
        <v>1</v>
      </c>
    </row>
    <row r="2140" spans="1:2" x14ac:dyDescent="0.35">
      <c r="A2140">
        <v>100</v>
      </c>
      <c r="B2140">
        <v>1</v>
      </c>
    </row>
    <row r="2141" spans="1:2" x14ac:dyDescent="0.35">
      <c r="A2141">
        <v>100</v>
      </c>
      <c r="B2141">
        <v>1</v>
      </c>
    </row>
    <row r="2142" spans="1:2" x14ac:dyDescent="0.35">
      <c r="A2142">
        <v>100</v>
      </c>
      <c r="B2142">
        <v>1</v>
      </c>
    </row>
    <row r="2143" spans="1:2" x14ac:dyDescent="0.35">
      <c r="A2143">
        <v>100</v>
      </c>
      <c r="B2143">
        <v>1</v>
      </c>
    </row>
    <row r="2144" spans="1:2" x14ac:dyDescent="0.35">
      <c r="A2144">
        <v>100</v>
      </c>
      <c r="B2144">
        <v>1</v>
      </c>
    </row>
    <row r="2145" spans="1:2" x14ac:dyDescent="0.35">
      <c r="A2145">
        <v>100</v>
      </c>
      <c r="B2145">
        <v>1</v>
      </c>
    </row>
    <row r="2146" spans="1:2" x14ac:dyDescent="0.35">
      <c r="A2146">
        <v>100</v>
      </c>
      <c r="B2146">
        <v>1</v>
      </c>
    </row>
    <row r="2147" spans="1:2" x14ac:dyDescent="0.35">
      <c r="A2147">
        <v>100</v>
      </c>
      <c r="B2147">
        <v>1</v>
      </c>
    </row>
    <row r="2148" spans="1:2" x14ac:dyDescent="0.35">
      <c r="A2148">
        <v>100</v>
      </c>
      <c r="B2148">
        <v>1</v>
      </c>
    </row>
    <row r="2149" spans="1:2" x14ac:dyDescent="0.35">
      <c r="A2149">
        <v>100</v>
      </c>
      <c r="B2149">
        <v>1</v>
      </c>
    </row>
    <row r="2150" spans="1:2" x14ac:dyDescent="0.35">
      <c r="A2150">
        <v>100</v>
      </c>
      <c r="B2150">
        <v>1</v>
      </c>
    </row>
    <row r="2151" spans="1:2" x14ac:dyDescent="0.35">
      <c r="A2151">
        <v>100</v>
      </c>
      <c r="B2151">
        <v>1</v>
      </c>
    </row>
    <row r="2152" spans="1:2" x14ac:dyDescent="0.35">
      <c r="A2152">
        <v>100</v>
      </c>
      <c r="B2152">
        <v>1</v>
      </c>
    </row>
    <row r="2153" spans="1:2" x14ac:dyDescent="0.35">
      <c r="A2153">
        <v>100</v>
      </c>
      <c r="B2153">
        <v>1</v>
      </c>
    </row>
    <row r="2154" spans="1:2" x14ac:dyDescent="0.35">
      <c r="A2154">
        <v>100</v>
      </c>
      <c r="B2154">
        <v>1</v>
      </c>
    </row>
    <row r="2155" spans="1:2" x14ac:dyDescent="0.35">
      <c r="A2155">
        <v>100</v>
      </c>
      <c r="B2155">
        <v>1</v>
      </c>
    </row>
    <row r="2156" spans="1:2" x14ac:dyDescent="0.35">
      <c r="A2156">
        <v>100</v>
      </c>
      <c r="B2156">
        <v>1</v>
      </c>
    </row>
    <row r="2157" spans="1:2" x14ac:dyDescent="0.35">
      <c r="A2157">
        <v>100</v>
      </c>
      <c r="B2157">
        <v>1</v>
      </c>
    </row>
    <row r="2158" spans="1:2" x14ac:dyDescent="0.35">
      <c r="A2158">
        <v>100</v>
      </c>
      <c r="B2158">
        <v>1</v>
      </c>
    </row>
    <row r="2159" spans="1:2" x14ac:dyDescent="0.35">
      <c r="A2159">
        <v>101</v>
      </c>
      <c r="B2159">
        <v>1</v>
      </c>
    </row>
    <row r="2160" spans="1:2" x14ac:dyDescent="0.35">
      <c r="A2160">
        <v>101</v>
      </c>
      <c r="B2160">
        <v>1</v>
      </c>
    </row>
    <row r="2161" spans="1:2" x14ac:dyDescent="0.35">
      <c r="A2161">
        <v>101</v>
      </c>
      <c r="B2161">
        <v>1</v>
      </c>
    </row>
    <row r="2162" spans="1:2" x14ac:dyDescent="0.35">
      <c r="A2162">
        <v>101</v>
      </c>
      <c r="B2162">
        <v>1</v>
      </c>
    </row>
    <row r="2163" spans="1:2" x14ac:dyDescent="0.35">
      <c r="A2163">
        <v>101</v>
      </c>
      <c r="B2163">
        <v>1</v>
      </c>
    </row>
    <row r="2164" spans="1:2" x14ac:dyDescent="0.35">
      <c r="A2164">
        <v>101</v>
      </c>
      <c r="B2164">
        <v>1</v>
      </c>
    </row>
    <row r="2165" spans="1:2" x14ac:dyDescent="0.35">
      <c r="A2165">
        <v>101</v>
      </c>
      <c r="B2165">
        <v>1</v>
      </c>
    </row>
    <row r="2166" spans="1:2" x14ac:dyDescent="0.35">
      <c r="A2166">
        <v>101</v>
      </c>
      <c r="B2166">
        <v>1</v>
      </c>
    </row>
    <row r="2167" spans="1:2" x14ac:dyDescent="0.35">
      <c r="A2167">
        <v>101</v>
      </c>
      <c r="B2167">
        <v>1</v>
      </c>
    </row>
    <row r="2168" spans="1:2" x14ac:dyDescent="0.35">
      <c r="A2168">
        <v>101</v>
      </c>
      <c r="B2168">
        <v>1</v>
      </c>
    </row>
    <row r="2169" spans="1:2" x14ac:dyDescent="0.35">
      <c r="A2169">
        <v>101</v>
      </c>
      <c r="B2169">
        <v>1</v>
      </c>
    </row>
    <row r="2170" spans="1:2" x14ac:dyDescent="0.35">
      <c r="A2170">
        <v>101</v>
      </c>
      <c r="B2170">
        <v>1</v>
      </c>
    </row>
    <row r="2171" spans="1:2" x14ac:dyDescent="0.35">
      <c r="A2171">
        <v>101</v>
      </c>
      <c r="B2171">
        <v>1</v>
      </c>
    </row>
    <row r="2172" spans="1:2" x14ac:dyDescent="0.35">
      <c r="A2172">
        <v>101</v>
      </c>
      <c r="B2172">
        <v>1</v>
      </c>
    </row>
    <row r="2173" spans="1:2" x14ac:dyDescent="0.35">
      <c r="A2173">
        <v>101</v>
      </c>
      <c r="B2173">
        <v>1</v>
      </c>
    </row>
    <row r="2174" spans="1:2" x14ac:dyDescent="0.35">
      <c r="A2174">
        <v>101</v>
      </c>
      <c r="B2174">
        <v>1</v>
      </c>
    </row>
    <row r="2175" spans="1:2" x14ac:dyDescent="0.35">
      <c r="A2175">
        <v>101</v>
      </c>
      <c r="B2175">
        <v>1</v>
      </c>
    </row>
    <row r="2176" spans="1:2" x14ac:dyDescent="0.35">
      <c r="A2176">
        <v>101</v>
      </c>
      <c r="B2176">
        <v>1</v>
      </c>
    </row>
    <row r="2177" spans="1:2" x14ac:dyDescent="0.35">
      <c r="A2177">
        <v>101</v>
      </c>
      <c r="B2177">
        <v>1</v>
      </c>
    </row>
    <row r="2178" spans="1:2" x14ac:dyDescent="0.35">
      <c r="A2178">
        <v>101</v>
      </c>
      <c r="B2178">
        <v>1</v>
      </c>
    </row>
    <row r="2179" spans="1:2" x14ac:dyDescent="0.35">
      <c r="A2179">
        <v>101</v>
      </c>
      <c r="B2179">
        <v>1</v>
      </c>
    </row>
    <row r="2180" spans="1:2" x14ac:dyDescent="0.35">
      <c r="A2180">
        <v>101</v>
      </c>
      <c r="B2180">
        <v>1</v>
      </c>
    </row>
    <row r="2181" spans="1:2" x14ac:dyDescent="0.35">
      <c r="A2181">
        <v>101</v>
      </c>
      <c r="B2181">
        <v>1</v>
      </c>
    </row>
    <row r="2182" spans="1:2" x14ac:dyDescent="0.35">
      <c r="A2182">
        <v>101</v>
      </c>
      <c r="B2182">
        <v>1</v>
      </c>
    </row>
    <row r="2183" spans="1:2" x14ac:dyDescent="0.35">
      <c r="A2183">
        <v>101</v>
      </c>
      <c r="B2183">
        <v>1</v>
      </c>
    </row>
    <row r="2184" spans="1:2" x14ac:dyDescent="0.35">
      <c r="A2184">
        <v>101</v>
      </c>
      <c r="B2184">
        <v>1</v>
      </c>
    </row>
    <row r="2185" spans="1:2" x14ac:dyDescent="0.35">
      <c r="A2185">
        <v>101</v>
      </c>
      <c r="B2185">
        <v>1</v>
      </c>
    </row>
    <row r="2186" spans="1:2" x14ac:dyDescent="0.35">
      <c r="A2186">
        <v>101</v>
      </c>
      <c r="B2186">
        <v>1</v>
      </c>
    </row>
    <row r="2187" spans="1:2" x14ac:dyDescent="0.35">
      <c r="A2187">
        <v>101</v>
      </c>
      <c r="B2187">
        <v>1</v>
      </c>
    </row>
    <row r="2188" spans="1:2" x14ac:dyDescent="0.35">
      <c r="A2188">
        <v>101</v>
      </c>
      <c r="B2188">
        <v>1</v>
      </c>
    </row>
    <row r="2189" spans="1:2" x14ac:dyDescent="0.35">
      <c r="A2189">
        <v>101</v>
      </c>
      <c r="B2189">
        <v>1</v>
      </c>
    </row>
    <row r="2190" spans="1:2" x14ac:dyDescent="0.35">
      <c r="A2190">
        <v>101</v>
      </c>
      <c r="B2190">
        <v>1</v>
      </c>
    </row>
    <row r="2191" spans="1:2" x14ac:dyDescent="0.35">
      <c r="A2191">
        <v>101</v>
      </c>
      <c r="B2191">
        <v>1</v>
      </c>
    </row>
    <row r="2192" spans="1:2" x14ac:dyDescent="0.35">
      <c r="A2192">
        <v>101</v>
      </c>
      <c r="B2192">
        <v>1</v>
      </c>
    </row>
    <row r="2193" spans="1:2" x14ac:dyDescent="0.35">
      <c r="A2193">
        <v>101</v>
      </c>
      <c r="B2193">
        <v>1</v>
      </c>
    </row>
    <row r="2194" spans="1:2" x14ac:dyDescent="0.35">
      <c r="A2194">
        <v>101</v>
      </c>
      <c r="B2194">
        <v>1</v>
      </c>
    </row>
    <row r="2195" spans="1:2" x14ac:dyDescent="0.35">
      <c r="A2195">
        <v>101</v>
      </c>
      <c r="B2195">
        <v>1</v>
      </c>
    </row>
    <row r="2196" spans="1:2" x14ac:dyDescent="0.35">
      <c r="A2196">
        <v>101</v>
      </c>
      <c r="B2196">
        <v>1</v>
      </c>
    </row>
    <row r="2197" spans="1:2" x14ac:dyDescent="0.35">
      <c r="A2197">
        <v>101</v>
      </c>
      <c r="B2197">
        <v>1</v>
      </c>
    </row>
    <row r="2198" spans="1:2" x14ac:dyDescent="0.35">
      <c r="A2198">
        <v>101</v>
      </c>
      <c r="B2198">
        <v>1</v>
      </c>
    </row>
    <row r="2199" spans="1:2" x14ac:dyDescent="0.35">
      <c r="A2199">
        <v>101</v>
      </c>
      <c r="B2199">
        <v>1</v>
      </c>
    </row>
    <row r="2200" spans="1:2" x14ac:dyDescent="0.35">
      <c r="A2200">
        <v>101</v>
      </c>
      <c r="B2200">
        <v>1</v>
      </c>
    </row>
    <row r="2201" spans="1:2" x14ac:dyDescent="0.35">
      <c r="A2201">
        <v>101</v>
      </c>
      <c r="B2201">
        <v>1</v>
      </c>
    </row>
    <row r="2202" spans="1:2" x14ac:dyDescent="0.35">
      <c r="A2202">
        <v>101</v>
      </c>
      <c r="B2202">
        <v>1</v>
      </c>
    </row>
    <row r="2203" spans="1:2" x14ac:dyDescent="0.35">
      <c r="A2203">
        <v>102</v>
      </c>
      <c r="B2203">
        <v>1</v>
      </c>
    </row>
    <row r="2204" spans="1:2" x14ac:dyDescent="0.35">
      <c r="A2204">
        <v>102</v>
      </c>
      <c r="B2204">
        <v>1</v>
      </c>
    </row>
    <row r="2205" spans="1:2" x14ac:dyDescent="0.35">
      <c r="A2205">
        <v>102</v>
      </c>
      <c r="B2205">
        <v>1</v>
      </c>
    </row>
    <row r="2206" spans="1:2" x14ac:dyDescent="0.35">
      <c r="A2206">
        <v>102</v>
      </c>
      <c r="B2206">
        <v>1</v>
      </c>
    </row>
    <row r="2207" spans="1:2" x14ac:dyDescent="0.35">
      <c r="A2207">
        <v>102</v>
      </c>
      <c r="B2207">
        <v>1</v>
      </c>
    </row>
    <row r="2208" spans="1:2" x14ac:dyDescent="0.35">
      <c r="A2208">
        <v>102</v>
      </c>
      <c r="B2208">
        <v>1</v>
      </c>
    </row>
    <row r="2209" spans="1:2" x14ac:dyDescent="0.35">
      <c r="A2209">
        <v>102</v>
      </c>
      <c r="B2209">
        <v>1</v>
      </c>
    </row>
    <row r="2210" spans="1:2" x14ac:dyDescent="0.35">
      <c r="A2210">
        <v>102</v>
      </c>
      <c r="B2210">
        <v>1</v>
      </c>
    </row>
    <row r="2211" spans="1:2" x14ac:dyDescent="0.35">
      <c r="A2211">
        <v>102</v>
      </c>
      <c r="B2211">
        <v>1</v>
      </c>
    </row>
    <row r="2212" spans="1:2" x14ac:dyDescent="0.35">
      <c r="A2212">
        <v>102</v>
      </c>
      <c r="B2212">
        <v>1</v>
      </c>
    </row>
    <row r="2213" spans="1:2" x14ac:dyDescent="0.35">
      <c r="A2213">
        <v>102</v>
      </c>
      <c r="B2213">
        <v>1</v>
      </c>
    </row>
    <row r="2214" spans="1:2" x14ac:dyDescent="0.35">
      <c r="A2214">
        <v>102</v>
      </c>
      <c r="B2214">
        <v>1</v>
      </c>
    </row>
    <row r="2215" spans="1:2" x14ac:dyDescent="0.35">
      <c r="A2215">
        <v>102</v>
      </c>
      <c r="B2215">
        <v>1</v>
      </c>
    </row>
    <row r="2216" spans="1:2" x14ac:dyDescent="0.35">
      <c r="A2216">
        <v>102</v>
      </c>
      <c r="B2216">
        <v>1</v>
      </c>
    </row>
    <row r="2217" spans="1:2" x14ac:dyDescent="0.35">
      <c r="A2217">
        <v>102</v>
      </c>
      <c r="B2217">
        <v>1</v>
      </c>
    </row>
    <row r="2218" spans="1:2" x14ac:dyDescent="0.35">
      <c r="A2218">
        <v>102</v>
      </c>
      <c r="B2218">
        <v>1</v>
      </c>
    </row>
    <row r="2219" spans="1:2" x14ac:dyDescent="0.35">
      <c r="A2219">
        <v>102</v>
      </c>
      <c r="B2219">
        <v>1</v>
      </c>
    </row>
    <row r="2220" spans="1:2" x14ac:dyDescent="0.35">
      <c r="A2220">
        <v>102</v>
      </c>
      <c r="B2220">
        <v>1</v>
      </c>
    </row>
    <row r="2221" spans="1:2" x14ac:dyDescent="0.35">
      <c r="A2221">
        <v>102</v>
      </c>
      <c r="B2221">
        <v>1</v>
      </c>
    </row>
    <row r="2222" spans="1:2" x14ac:dyDescent="0.35">
      <c r="A2222">
        <v>102</v>
      </c>
      <c r="B2222">
        <v>1</v>
      </c>
    </row>
    <row r="2223" spans="1:2" x14ac:dyDescent="0.35">
      <c r="A2223">
        <v>102</v>
      </c>
      <c r="B2223">
        <v>1</v>
      </c>
    </row>
    <row r="2224" spans="1:2" x14ac:dyDescent="0.35">
      <c r="A2224">
        <v>102</v>
      </c>
      <c r="B2224">
        <v>1</v>
      </c>
    </row>
    <row r="2225" spans="1:2" x14ac:dyDescent="0.35">
      <c r="A2225">
        <v>102</v>
      </c>
      <c r="B2225">
        <v>1</v>
      </c>
    </row>
    <row r="2226" spans="1:2" x14ac:dyDescent="0.35">
      <c r="A2226">
        <v>102</v>
      </c>
      <c r="B2226">
        <v>1</v>
      </c>
    </row>
    <row r="2227" spans="1:2" x14ac:dyDescent="0.35">
      <c r="A2227">
        <v>102</v>
      </c>
      <c r="B2227">
        <v>1</v>
      </c>
    </row>
    <row r="2228" spans="1:2" x14ac:dyDescent="0.35">
      <c r="A2228">
        <v>102</v>
      </c>
      <c r="B2228">
        <v>1</v>
      </c>
    </row>
    <row r="2229" spans="1:2" x14ac:dyDescent="0.35">
      <c r="A2229">
        <v>102</v>
      </c>
      <c r="B2229">
        <v>1</v>
      </c>
    </row>
    <row r="2230" spans="1:2" x14ac:dyDescent="0.35">
      <c r="A2230">
        <v>102</v>
      </c>
      <c r="B2230">
        <v>1</v>
      </c>
    </row>
    <row r="2231" spans="1:2" x14ac:dyDescent="0.35">
      <c r="A2231">
        <v>102</v>
      </c>
      <c r="B2231">
        <v>1</v>
      </c>
    </row>
    <row r="2232" spans="1:2" x14ac:dyDescent="0.35">
      <c r="A2232">
        <v>102</v>
      </c>
      <c r="B2232">
        <v>1</v>
      </c>
    </row>
    <row r="2233" spans="1:2" x14ac:dyDescent="0.35">
      <c r="A2233">
        <v>102</v>
      </c>
      <c r="B2233">
        <v>1</v>
      </c>
    </row>
    <row r="2234" spans="1:2" x14ac:dyDescent="0.35">
      <c r="A2234">
        <v>102</v>
      </c>
      <c r="B2234">
        <v>1</v>
      </c>
    </row>
    <row r="2235" spans="1:2" x14ac:dyDescent="0.35">
      <c r="A2235">
        <v>102</v>
      </c>
      <c r="B2235">
        <v>1</v>
      </c>
    </row>
    <row r="2236" spans="1:2" x14ac:dyDescent="0.35">
      <c r="A2236">
        <v>102</v>
      </c>
      <c r="B2236">
        <v>1</v>
      </c>
    </row>
    <row r="2237" spans="1:2" x14ac:dyDescent="0.35">
      <c r="A2237">
        <v>102</v>
      </c>
      <c r="B2237">
        <v>1</v>
      </c>
    </row>
    <row r="2238" spans="1:2" x14ac:dyDescent="0.35">
      <c r="A2238">
        <v>102</v>
      </c>
      <c r="B2238">
        <v>1</v>
      </c>
    </row>
    <row r="2239" spans="1:2" x14ac:dyDescent="0.35">
      <c r="A2239">
        <v>102</v>
      </c>
      <c r="B2239">
        <v>1</v>
      </c>
    </row>
    <row r="2240" spans="1:2" x14ac:dyDescent="0.35">
      <c r="A2240">
        <v>102</v>
      </c>
      <c r="B2240">
        <v>1</v>
      </c>
    </row>
    <row r="2241" spans="1:2" x14ac:dyDescent="0.35">
      <c r="A2241">
        <v>102</v>
      </c>
      <c r="B2241">
        <v>1</v>
      </c>
    </row>
    <row r="2242" spans="1:2" x14ac:dyDescent="0.35">
      <c r="A2242">
        <v>102</v>
      </c>
      <c r="B2242">
        <v>1</v>
      </c>
    </row>
    <row r="2243" spans="1:2" x14ac:dyDescent="0.35">
      <c r="A2243">
        <v>102</v>
      </c>
      <c r="B2243">
        <v>1</v>
      </c>
    </row>
    <row r="2244" spans="1:2" x14ac:dyDescent="0.35">
      <c r="A2244">
        <v>102</v>
      </c>
      <c r="B2244">
        <v>1</v>
      </c>
    </row>
    <row r="2245" spans="1:2" x14ac:dyDescent="0.35">
      <c r="A2245">
        <v>103</v>
      </c>
      <c r="B2245">
        <v>1</v>
      </c>
    </row>
    <row r="2246" spans="1:2" x14ac:dyDescent="0.35">
      <c r="A2246">
        <v>103</v>
      </c>
      <c r="B2246">
        <v>1</v>
      </c>
    </row>
    <row r="2247" spans="1:2" x14ac:dyDescent="0.35">
      <c r="A2247">
        <v>103</v>
      </c>
      <c r="B2247">
        <v>1</v>
      </c>
    </row>
    <row r="2248" spans="1:2" x14ac:dyDescent="0.35">
      <c r="A2248">
        <v>103</v>
      </c>
      <c r="B2248">
        <v>1</v>
      </c>
    </row>
    <row r="2249" spans="1:2" x14ac:dyDescent="0.35">
      <c r="A2249">
        <v>103</v>
      </c>
      <c r="B2249">
        <v>1</v>
      </c>
    </row>
    <row r="2250" spans="1:2" x14ac:dyDescent="0.35">
      <c r="A2250">
        <v>103</v>
      </c>
      <c r="B2250">
        <v>1</v>
      </c>
    </row>
    <row r="2251" spans="1:2" x14ac:dyDescent="0.35">
      <c r="A2251">
        <v>103</v>
      </c>
      <c r="B2251">
        <v>1</v>
      </c>
    </row>
    <row r="2252" spans="1:2" x14ac:dyDescent="0.35">
      <c r="A2252">
        <v>103</v>
      </c>
      <c r="B2252">
        <v>1</v>
      </c>
    </row>
    <row r="2253" spans="1:2" x14ac:dyDescent="0.35">
      <c r="A2253">
        <v>103</v>
      </c>
      <c r="B2253">
        <v>1</v>
      </c>
    </row>
    <row r="2254" spans="1:2" x14ac:dyDescent="0.35">
      <c r="A2254">
        <v>103</v>
      </c>
      <c r="B2254">
        <v>1</v>
      </c>
    </row>
    <row r="2255" spans="1:2" x14ac:dyDescent="0.35">
      <c r="A2255">
        <v>103</v>
      </c>
      <c r="B2255">
        <v>1</v>
      </c>
    </row>
    <row r="2256" spans="1:2" x14ac:dyDescent="0.35">
      <c r="A2256">
        <v>103</v>
      </c>
      <c r="B2256">
        <v>1</v>
      </c>
    </row>
    <row r="2257" spans="1:2" x14ac:dyDescent="0.35">
      <c r="A2257">
        <v>103</v>
      </c>
      <c r="B2257">
        <v>1</v>
      </c>
    </row>
    <row r="2258" spans="1:2" x14ac:dyDescent="0.35">
      <c r="A2258">
        <v>103</v>
      </c>
      <c r="B2258">
        <v>1</v>
      </c>
    </row>
    <row r="2259" spans="1:2" x14ac:dyDescent="0.35">
      <c r="A2259">
        <v>103</v>
      </c>
      <c r="B2259">
        <v>1</v>
      </c>
    </row>
    <row r="2260" spans="1:2" x14ac:dyDescent="0.35">
      <c r="A2260">
        <v>103</v>
      </c>
      <c r="B2260">
        <v>1</v>
      </c>
    </row>
    <row r="2261" spans="1:2" x14ac:dyDescent="0.35">
      <c r="A2261">
        <v>103</v>
      </c>
      <c r="B2261">
        <v>1</v>
      </c>
    </row>
    <row r="2262" spans="1:2" x14ac:dyDescent="0.35">
      <c r="A2262">
        <v>103</v>
      </c>
      <c r="B2262">
        <v>1</v>
      </c>
    </row>
    <row r="2263" spans="1:2" x14ac:dyDescent="0.35">
      <c r="A2263">
        <v>103</v>
      </c>
      <c r="B2263">
        <v>1</v>
      </c>
    </row>
    <row r="2264" spans="1:2" x14ac:dyDescent="0.35">
      <c r="A2264">
        <v>103</v>
      </c>
      <c r="B2264">
        <v>1</v>
      </c>
    </row>
    <row r="2265" spans="1:2" x14ac:dyDescent="0.35">
      <c r="A2265">
        <v>103</v>
      </c>
      <c r="B2265">
        <v>1</v>
      </c>
    </row>
    <row r="2266" spans="1:2" x14ac:dyDescent="0.35">
      <c r="A2266">
        <v>103</v>
      </c>
      <c r="B2266">
        <v>1</v>
      </c>
    </row>
    <row r="2267" spans="1:2" x14ac:dyDescent="0.35">
      <c r="A2267">
        <v>103</v>
      </c>
      <c r="B2267">
        <v>1</v>
      </c>
    </row>
    <row r="2268" spans="1:2" x14ac:dyDescent="0.35">
      <c r="A2268">
        <v>103</v>
      </c>
      <c r="B2268">
        <v>1</v>
      </c>
    </row>
    <row r="2269" spans="1:2" x14ac:dyDescent="0.35">
      <c r="A2269">
        <v>103</v>
      </c>
      <c r="B2269">
        <v>1</v>
      </c>
    </row>
    <row r="2270" spans="1:2" x14ac:dyDescent="0.35">
      <c r="A2270">
        <v>103</v>
      </c>
      <c r="B2270">
        <v>1</v>
      </c>
    </row>
    <row r="2271" spans="1:2" x14ac:dyDescent="0.35">
      <c r="A2271">
        <v>103</v>
      </c>
      <c r="B2271">
        <v>1</v>
      </c>
    </row>
    <row r="2272" spans="1:2" x14ac:dyDescent="0.35">
      <c r="A2272">
        <v>103</v>
      </c>
      <c r="B2272">
        <v>1</v>
      </c>
    </row>
    <row r="2273" spans="1:2" x14ac:dyDescent="0.35">
      <c r="A2273">
        <v>103</v>
      </c>
      <c r="B2273">
        <v>1</v>
      </c>
    </row>
    <row r="2274" spans="1:2" x14ac:dyDescent="0.35">
      <c r="A2274">
        <v>103</v>
      </c>
      <c r="B2274">
        <v>1</v>
      </c>
    </row>
    <row r="2275" spans="1:2" x14ac:dyDescent="0.35">
      <c r="A2275">
        <v>103</v>
      </c>
      <c r="B2275">
        <v>1</v>
      </c>
    </row>
    <row r="2276" spans="1:2" x14ac:dyDescent="0.35">
      <c r="A2276">
        <v>103</v>
      </c>
      <c r="B2276">
        <v>1</v>
      </c>
    </row>
    <row r="2277" spans="1:2" x14ac:dyDescent="0.35">
      <c r="A2277">
        <v>103</v>
      </c>
      <c r="B2277">
        <v>1</v>
      </c>
    </row>
    <row r="2278" spans="1:2" x14ac:dyDescent="0.35">
      <c r="A2278">
        <v>103</v>
      </c>
      <c r="B2278">
        <v>1</v>
      </c>
    </row>
    <row r="2279" spans="1:2" x14ac:dyDescent="0.35">
      <c r="A2279">
        <v>103</v>
      </c>
      <c r="B2279">
        <v>1</v>
      </c>
    </row>
    <row r="2280" spans="1:2" x14ac:dyDescent="0.35">
      <c r="A2280">
        <v>103</v>
      </c>
      <c r="B2280">
        <v>1</v>
      </c>
    </row>
    <row r="2281" spans="1:2" x14ac:dyDescent="0.35">
      <c r="A2281">
        <v>103</v>
      </c>
      <c r="B2281">
        <v>1</v>
      </c>
    </row>
    <row r="2282" spans="1:2" x14ac:dyDescent="0.35">
      <c r="A2282">
        <v>103</v>
      </c>
      <c r="B2282">
        <v>1</v>
      </c>
    </row>
    <row r="2283" spans="1:2" x14ac:dyDescent="0.35">
      <c r="A2283">
        <v>103</v>
      </c>
      <c r="B2283">
        <v>1</v>
      </c>
    </row>
    <row r="2284" spans="1:2" x14ac:dyDescent="0.35">
      <c r="A2284">
        <v>104</v>
      </c>
      <c r="B2284">
        <v>1</v>
      </c>
    </row>
    <row r="2285" spans="1:2" x14ac:dyDescent="0.35">
      <c r="A2285">
        <v>104</v>
      </c>
      <c r="B2285">
        <v>1</v>
      </c>
    </row>
    <row r="2286" spans="1:2" x14ac:dyDescent="0.35">
      <c r="A2286">
        <v>104</v>
      </c>
      <c r="B2286">
        <v>1</v>
      </c>
    </row>
    <row r="2287" spans="1:2" x14ac:dyDescent="0.35">
      <c r="A2287">
        <v>104</v>
      </c>
      <c r="B2287">
        <v>1</v>
      </c>
    </row>
    <row r="2288" spans="1:2" x14ac:dyDescent="0.35">
      <c r="A2288">
        <v>104</v>
      </c>
      <c r="B2288">
        <v>1</v>
      </c>
    </row>
    <row r="2289" spans="1:2" x14ac:dyDescent="0.35">
      <c r="A2289">
        <v>104</v>
      </c>
      <c r="B2289">
        <v>1</v>
      </c>
    </row>
    <row r="2290" spans="1:2" x14ac:dyDescent="0.35">
      <c r="A2290">
        <v>104</v>
      </c>
      <c r="B2290">
        <v>1</v>
      </c>
    </row>
    <row r="2291" spans="1:2" x14ac:dyDescent="0.35">
      <c r="A2291">
        <v>104</v>
      </c>
      <c r="B2291">
        <v>1</v>
      </c>
    </row>
    <row r="2292" spans="1:2" x14ac:dyDescent="0.35">
      <c r="A2292">
        <v>104</v>
      </c>
      <c r="B2292">
        <v>1</v>
      </c>
    </row>
    <row r="2293" spans="1:2" x14ac:dyDescent="0.35">
      <c r="A2293">
        <v>104</v>
      </c>
      <c r="B2293">
        <v>1</v>
      </c>
    </row>
    <row r="2294" spans="1:2" x14ac:dyDescent="0.35">
      <c r="A2294">
        <v>104</v>
      </c>
      <c r="B2294">
        <v>1</v>
      </c>
    </row>
    <row r="2295" spans="1:2" x14ac:dyDescent="0.35">
      <c r="A2295">
        <v>104</v>
      </c>
      <c r="B2295">
        <v>1</v>
      </c>
    </row>
    <row r="2296" spans="1:2" x14ac:dyDescent="0.35">
      <c r="A2296">
        <v>104</v>
      </c>
      <c r="B2296">
        <v>1</v>
      </c>
    </row>
    <row r="2297" spans="1:2" x14ac:dyDescent="0.35">
      <c r="A2297">
        <v>104</v>
      </c>
      <c r="B2297">
        <v>1</v>
      </c>
    </row>
    <row r="2298" spans="1:2" x14ac:dyDescent="0.35">
      <c r="A2298">
        <v>104</v>
      </c>
      <c r="B2298">
        <v>1</v>
      </c>
    </row>
    <row r="2299" spans="1:2" x14ac:dyDescent="0.35">
      <c r="A2299">
        <v>104</v>
      </c>
      <c r="B2299">
        <v>1</v>
      </c>
    </row>
    <row r="2300" spans="1:2" x14ac:dyDescent="0.35">
      <c r="A2300">
        <v>104</v>
      </c>
      <c r="B2300">
        <v>1</v>
      </c>
    </row>
    <row r="2301" spans="1:2" x14ac:dyDescent="0.35">
      <c r="A2301">
        <v>104</v>
      </c>
      <c r="B2301">
        <v>1</v>
      </c>
    </row>
    <row r="2302" spans="1:2" x14ac:dyDescent="0.35">
      <c r="A2302">
        <v>104</v>
      </c>
      <c r="B2302">
        <v>1</v>
      </c>
    </row>
    <row r="2303" spans="1:2" x14ac:dyDescent="0.35">
      <c r="A2303">
        <v>104</v>
      </c>
      <c r="B2303">
        <v>1</v>
      </c>
    </row>
    <row r="2304" spans="1:2" x14ac:dyDescent="0.35">
      <c r="A2304">
        <v>104</v>
      </c>
      <c r="B2304">
        <v>1</v>
      </c>
    </row>
    <row r="2305" spans="1:2" x14ac:dyDescent="0.35">
      <c r="A2305">
        <v>104</v>
      </c>
      <c r="B2305">
        <v>1</v>
      </c>
    </row>
    <row r="2306" spans="1:2" x14ac:dyDescent="0.35">
      <c r="A2306">
        <v>104</v>
      </c>
      <c r="B2306">
        <v>1</v>
      </c>
    </row>
    <row r="2307" spans="1:2" x14ac:dyDescent="0.35">
      <c r="A2307">
        <v>104</v>
      </c>
      <c r="B2307">
        <v>1</v>
      </c>
    </row>
    <row r="2308" spans="1:2" x14ac:dyDescent="0.35">
      <c r="A2308">
        <v>104</v>
      </c>
      <c r="B2308">
        <v>1</v>
      </c>
    </row>
    <row r="2309" spans="1:2" x14ac:dyDescent="0.35">
      <c r="A2309">
        <v>104</v>
      </c>
      <c r="B2309">
        <v>1</v>
      </c>
    </row>
    <row r="2310" spans="1:2" x14ac:dyDescent="0.35">
      <c r="A2310">
        <v>104</v>
      </c>
      <c r="B2310">
        <v>1</v>
      </c>
    </row>
    <row r="2311" spans="1:2" x14ac:dyDescent="0.35">
      <c r="A2311">
        <v>104</v>
      </c>
      <c r="B2311">
        <v>1</v>
      </c>
    </row>
    <row r="2312" spans="1:2" x14ac:dyDescent="0.35">
      <c r="A2312">
        <v>104</v>
      </c>
      <c r="B2312">
        <v>1</v>
      </c>
    </row>
    <row r="2313" spans="1:2" x14ac:dyDescent="0.35">
      <c r="A2313">
        <v>104</v>
      </c>
      <c r="B2313">
        <v>1</v>
      </c>
    </row>
    <row r="2314" spans="1:2" x14ac:dyDescent="0.35">
      <c r="A2314">
        <v>104</v>
      </c>
      <c r="B2314">
        <v>1</v>
      </c>
    </row>
    <row r="2315" spans="1:2" x14ac:dyDescent="0.35">
      <c r="A2315">
        <v>104</v>
      </c>
      <c r="B2315">
        <v>1</v>
      </c>
    </row>
    <row r="2316" spans="1:2" x14ac:dyDescent="0.35">
      <c r="A2316">
        <v>104</v>
      </c>
      <c r="B2316">
        <v>1</v>
      </c>
    </row>
    <row r="2317" spans="1:2" x14ac:dyDescent="0.35">
      <c r="A2317">
        <v>104</v>
      </c>
      <c r="B2317">
        <v>1</v>
      </c>
    </row>
    <row r="2318" spans="1:2" x14ac:dyDescent="0.35">
      <c r="A2318">
        <v>104</v>
      </c>
      <c r="B2318">
        <v>1</v>
      </c>
    </row>
    <row r="2319" spans="1:2" x14ac:dyDescent="0.35">
      <c r="A2319">
        <v>104</v>
      </c>
      <c r="B2319">
        <v>1</v>
      </c>
    </row>
    <row r="2320" spans="1:2" x14ac:dyDescent="0.35">
      <c r="A2320">
        <v>104</v>
      </c>
      <c r="B2320">
        <v>1</v>
      </c>
    </row>
    <row r="2321" spans="1:2" x14ac:dyDescent="0.35">
      <c r="A2321">
        <v>104</v>
      </c>
      <c r="B2321">
        <v>1</v>
      </c>
    </row>
    <row r="2322" spans="1:2" x14ac:dyDescent="0.35">
      <c r="A2322">
        <v>104</v>
      </c>
      <c r="B2322">
        <v>1</v>
      </c>
    </row>
    <row r="2323" spans="1:2" x14ac:dyDescent="0.35">
      <c r="A2323">
        <v>104</v>
      </c>
      <c r="B2323">
        <v>1</v>
      </c>
    </row>
    <row r="2324" spans="1:2" x14ac:dyDescent="0.35">
      <c r="A2324">
        <v>104</v>
      </c>
      <c r="B2324">
        <v>1</v>
      </c>
    </row>
    <row r="2325" spans="1:2" x14ac:dyDescent="0.35">
      <c r="A2325">
        <v>105</v>
      </c>
      <c r="B2325">
        <v>1</v>
      </c>
    </row>
    <row r="2326" spans="1:2" x14ac:dyDescent="0.35">
      <c r="A2326">
        <v>105</v>
      </c>
      <c r="B2326">
        <v>1</v>
      </c>
    </row>
    <row r="2327" spans="1:2" x14ac:dyDescent="0.35">
      <c r="A2327">
        <v>105</v>
      </c>
      <c r="B2327">
        <v>1</v>
      </c>
    </row>
    <row r="2328" spans="1:2" x14ac:dyDescent="0.35">
      <c r="A2328">
        <v>105</v>
      </c>
      <c r="B2328">
        <v>1</v>
      </c>
    </row>
    <row r="2329" spans="1:2" x14ac:dyDescent="0.35">
      <c r="A2329">
        <v>105</v>
      </c>
      <c r="B2329">
        <v>1</v>
      </c>
    </row>
    <row r="2330" spans="1:2" x14ac:dyDescent="0.35">
      <c r="A2330">
        <v>105</v>
      </c>
      <c r="B2330">
        <v>1</v>
      </c>
    </row>
    <row r="2331" spans="1:2" x14ac:dyDescent="0.35">
      <c r="A2331">
        <v>105</v>
      </c>
      <c r="B2331">
        <v>1</v>
      </c>
    </row>
    <row r="2332" spans="1:2" x14ac:dyDescent="0.35">
      <c r="A2332">
        <v>105</v>
      </c>
      <c r="B2332">
        <v>1</v>
      </c>
    </row>
    <row r="2333" spans="1:2" x14ac:dyDescent="0.35">
      <c r="A2333">
        <v>105</v>
      </c>
      <c r="B2333">
        <v>1</v>
      </c>
    </row>
    <row r="2334" spans="1:2" x14ac:dyDescent="0.35">
      <c r="A2334">
        <v>105</v>
      </c>
      <c r="B2334">
        <v>1</v>
      </c>
    </row>
    <row r="2335" spans="1:2" x14ac:dyDescent="0.35">
      <c r="A2335">
        <v>105</v>
      </c>
      <c r="B2335">
        <v>1</v>
      </c>
    </row>
    <row r="2336" spans="1:2" x14ac:dyDescent="0.35">
      <c r="A2336">
        <v>105</v>
      </c>
      <c r="B2336">
        <v>1</v>
      </c>
    </row>
    <row r="2337" spans="1:2" x14ac:dyDescent="0.35">
      <c r="A2337">
        <v>105</v>
      </c>
      <c r="B2337">
        <v>1</v>
      </c>
    </row>
    <row r="2338" spans="1:2" x14ac:dyDescent="0.35">
      <c r="A2338">
        <v>105</v>
      </c>
      <c r="B2338">
        <v>1</v>
      </c>
    </row>
    <row r="2339" spans="1:2" x14ac:dyDescent="0.35">
      <c r="A2339">
        <v>105</v>
      </c>
      <c r="B2339">
        <v>1</v>
      </c>
    </row>
    <row r="2340" spans="1:2" x14ac:dyDescent="0.35">
      <c r="A2340">
        <v>105</v>
      </c>
      <c r="B2340">
        <v>1</v>
      </c>
    </row>
    <row r="2341" spans="1:2" x14ac:dyDescent="0.35">
      <c r="A2341">
        <v>105</v>
      </c>
      <c r="B2341">
        <v>1</v>
      </c>
    </row>
    <row r="2342" spans="1:2" x14ac:dyDescent="0.35">
      <c r="A2342">
        <v>105</v>
      </c>
      <c r="B2342">
        <v>1</v>
      </c>
    </row>
    <row r="2343" spans="1:2" x14ac:dyDescent="0.35">
      <c r="A2343">
        <v>105</v>
      </c>
      <c r="B2343">
        <v>1</v>
      </c>
    </row>
    <row r="2344" spans="1:2" x14ac:dyDescent="0.35">
      <c r="A2344">
        <v>105</v>
      </c>
      <c r="B2344">
        <v>1</v>
      </c>
    </row>
    <row r="2345" spans="1:2" x14ac:dyDescent="0.35">
      <c r="A2345">
        <v>105</v>
      </c>
      <c r="B2345">
        <v>1</v>
      </c>
    </row>
    <row r="2346" spans="1:2" x14ac:dyDescent="0.35">
      <c r="A2346">
        <v>105</v>
      </c>
      <c r="B2346">
        <v>1</v>
      </c>
    </row>
    <row r="2347" spans="1:2" x14ac:dyDescent="0.35">
      <c r="A2347">
        <v>105</v>
      </c>
      <c r="B2347">
        <v>1</v>
      </c>
    </row>
    <row r="2348" spans="1:2" x14ac:dyDescent="0.35">
      <c r="A2348">
        <v>105</v>
      </c>
      <c r="B2348">
        <v>1</v>
      </c>
    </row>
    <row r="2349" spans="1:2" x14ac:dyDescent="0.35">
      <c r="A2349">
        <v>105</v>
      </c>
      <c r="B2349">
        <v>1</v>
      </c>
    </row>
    <row r="2350" spans="1:2" x14ac:dyDescent="0.35">
      <c r="A2350">
        <v>105</v>
      </c>
      <c r="B2350">
        <v>1</v>
      </c>
    </row>
    <row r="2351" spans="1:2" x14ac:dyDescent="0.35">
      <c r="A2351">
        <v>105</v>
      </c>
      <c r="B2351">
        <v>1</v>
      </c>
    </row>
    <row r="2352" spans="1:2" x14ac:dyDescent="0.35">
      <c r="A2352">
        <v>105</v>
      </c>
      <c r="B2352">
        <v>1</v>
      </c>
    </row>
    <row r="2353" spans="1:2" x14ac:dyDescent="0.35">
      <c r="A2353">
        <v>105</v>
      </c>
      <c r="B2353">
        <v>1</v>
      </c>
    </row>
    <row r="2354" spans="1:2" x14ac:dyDescent="0.35">
      <c r="A2354">
        <v>105</v>
      </c>
      <c r="B2354">
        <v>1</v>
      </c>
    </row>
    <row r="2355" spans="1:2" x14ac:dyDescent="0.35">
      <c r="A2355">
        <v>105</v>
      </c>
      <c r="B2355">
        <v>1</v>
      </c>
    </row>
    <row r="2356" spans="1:2" x14ac:dyDescent="0.35">
      <c r="A2356">
        <v>105</v>
      </c>
      <c r="B2356">
        <v>1</v>
      </c>
    </row>
    <row r="2357" spans="1:2" x14ac:dyDescent="0.35">
      <c r="A2357">
        <v>105</v>
      </c>
      <c r="B2357">
        <v>1</v>
      </c>
    </row>
    <row r="2358" spans="1:2" x14ac:dyDescent="0.35">
      <c r="A2358">
        <v>105</v>
      </c>
      <c r="B2358">
        <v>1</v>
      </c>
    </row>
    <row r="2359" spans="1:2" x14ac:dyDescent="0.35">
      <c r="A2359">
        <v>105</v>
      </c>
      <c r="B2359">
        <v>1</v>
      </c>
    </row>
    <row r="2360" spans="1:2" x14ac:dyDescent="0.35">
      <c r="A2360">
        <v>105</v>
      </c>
      <c r="B2360">
        <v>1</v>
      </c>
    </row>
    <row r="2361" spans="1:2" x14ac:dyDescent="0.35">
      <c r="A2361">
        <v>106</v>
      </c>
      <c r="B2361">
        <v>1</v>
      </c>
    </row>
    <row r="2362" spans="1:2" x14ac:dyDescent="0.35">
      <c r="A2362">
        <v>106</v>
      </c>
      <c r="B2362">
        <v>1</v>
      </c>
    </row>
    <row r="2363" spans="1:2" x14ac:dyDescent="0.35">
      <c r="A2363">
        <v>106</v>
      </c>
      <c r="B2363">
        <v>1</v>
      </c>
    </row>
    <row r="2364" spans="1:2" x14ac:dyDescent="0.35">
      <c r="A2364">
        <v>106</v>
      </c>
      <c r="B2364">
        <v>1</v>
      </c>
    </row>
    <row r="2365" spans="1:2" x14ac:dyDescent="0.35">
      <c r="A2365">
        <v>106</v>
      </c>
      <c r="B2365">
        <v>1</v>
      </c>
    </row>
    <row r="2366" spans="1:2" x14ac:dyDescent="0.35">
      <c r="A2366">
        <v>106</v>
      </c>
      <c r="B2366">
        <v>1</v>
      </c>
    </row>
    <row r="2367" spans="1:2" x14ac:dyDescent="0.35">
      <c r="A2367">
        <v>106</v>
      </c>
      <c r="B2367">
        <v>1</v>
      </c>
    </row>
    <row r="2368" spans="1:2" x14ac:dyDescent="0.35">
      <c r="A2368">
        <v>106</v>
      </c>
      <c r="B2368">
        <v>1</v>
      </c>
    </row>
    <row r="2369" spans="1:2" x14ac:dyDescent="0.35">
      <c r="A2369">
        <v>106</v>
      </c>
      <c r="B2369">
        <v>1</v>
      </c>
    </row>
    <row r="2370" spans="1:2" x14ac:dyDescent="0.35">
      <c r="A2370">
        <v>106</v>
      </c>
      <c r="B2370">
        <v>1</v>
      </c>
    </row>
    <row r="2371" spans="1:2" x14ac:dyDescent="0.35">
      <c r="A2371">
        <v>106</v>
      </c>
      <c r="B2371">
        <v>1</v>
      </c>
    </row>
    <row r="2372" spans="1:2" x14ac:dyDescent="0.35">
      <c r="A2372">
        <v>106</v>
      </c>
      <c r="B2372">
        <v>1</v>
      </c>
    </row>
    <row r="2373" spans="1:2" x14ac:dyDescent="0.35">
      <c r="A2373">
        <v>106</v>
      </c>
      <c r="B2373">
        <v>1</v>
      </c>
    </row>
    <row r="2374" spans="1:2" x14ac:dyDescent="0.35">
      <c r="A2374">
        <v>106</v>
      </c>
      <c r="B2374">
        <v>1</v>
      </c>
    </row>
    <row r="2375" spans="1:2" x14ac:dyDescent="0.35">
      <c r="A2375">
        <v>106</v>
      </c>
      <c r="B2375">
        <v>1</v>
      </c>
    </row>
    <row r="2376" spans="1:2" x14ac:dyDescent="0.35">
      <c r="A2376">
        <v>106</v>
      </c>
      <c r="B2376">
        <v>1</v>
      </c>
    </row>
    <row r="2377" spans="1:2" x14ac:dyDescent="0.35">
      <c r="A2377">
        <v>106</v>
      </c>
      <c r="B2377">
        <v>1</v>
      </c>
    </row>
    <row r="2378" spans="1:2" x14ac:dyDescent="0.35">
      <c r="A2378">
        <v>106</v>
      </c>
      <c r="B2378">
        <v>1</v>
      </c>
    </row>
    <row r="2379" spans="1:2" x14ac:dyDescent="0.35">
      <c r="A2379">
        <v>106</v>
      </c>
      <c r="B2379">
        <v>1</v>
      </c>
    </row>
    <row r="2380" spans="1:2" x14ac:dyDescent="0.35">
      <c r="A2380">
        <v>106</v>
      </c>
      <c r="B2380">
        <v>1</v>
      </c>
    </row>
    <row r="2381" spans="1:2" x14ac:dyDescent="0.35">
      <c r="A2381">
        <v>106</v>
      </c>
      <c r="B2381">
        <v>1</v>
      </c>
    </row>
    <row r="2382" spans="1:2" x14ac:dyDescent="0.35">
      <c r="A2382">
        <v>106</v>
      </c>
      <c r="B2382">
        <v>1</v>
      </c>
    </row>
    <row r="2383" spans="1:2" x14ac:dyDescent="0.35">
      <c r="A2383">
        <v>106</v>
      </c>
      <c r="B2383">
        <v>1</v>
      </c>
    </row>
    <row r="2384" spans="1:2" x14ac:dyDescent="0.35">
      <c r="A2384">
        <v>106</v>
      </c>
      <c r="B2384">
        <v>1</v>
      </c>
    </row>
    <row r="2385" spans="1:2" x14ac:dyDescent="0.35">
      <c r="A2385">
        <v>106</v>
      </c>
      <c r="B2385">
        <v>1</v>
      </c>
    </row>
    <row r="2386" spans="1:2" x14ac:dyDescent="0.35">
      <c r="A2386">
        <v>106</v>
      </c>
      <c r="B2386">
        <v>1</v>
      </c>
    </row>
    <row r="2387" spans="1:2" x14ac:dyDescent="0.35">
      <c r="A2387">
        <v>106</v>
      </c>
      <c r="B2387">
        <v>1</v>
      </c>
    </row>
    <row r="2388" spans="1:2" x14ac:dyDescent="0.35">
      <c r="A2388">
        <v>106</v>
      </c>
      <c r="B2388">
        <v>1</v>
      </c>
    </row>
    <row r="2389" spans="1:2" x14ac:dyDescent="0.35">
      <c r="A2389">
        <v>106</v>
      </c>
      <c r="B2389">
        <v>1</v>
      </c>
    </row>
    <row r="2390" spans="1:2" x14ac:dyDescent="0.35">
      <c r="A2390">
        <v>106</v>
      </c>
      <c r="B2390">
        <v>1</v>
      </c>
    </row>
    <row r="2391" spans="1:2" x14ac:dyDescent="0.35">
      <c r="A2391">
        <v>106</v>
      </c>
      <c r="B2391">
        <v>1</v>
      </c>
    </row>
    <row r="2392" spans="1:2" x14ac:dyDescent="0.35">
      <c r="A2392">
        <v>107</v>
      </c>
      <c r="B2392">
        <v>1</v>
      </c>
    </row>
    <row r="2393" spans="1:2" x14ac:dyDescent="0.35">
      <c r="A2393">
        <v>107</v>
      </c>
      <c r="B2393">
        <v>1</v>
      </c>
    </row>
    <row r="2394" spans="1:2" x14ac:dyDescent="0.35">
      <c r="A2394">
        <v>107</v>
      </c>
      <c r="B2394">
        <v>1</v>
      </c>
    </row>
    <row r="2395" spans="1:2" x14ac:dyDescent="0.35">
      <c r="A2395">
        <v>107</v>
      </c>
      <c r="B2395">
        <v>1</v>
      </c>
    </row>
    <row r="2396" spans="1:2" x14ac:dyDescent="0.35">
      <c r="A2396">
        <v>107</v>
      </c>
      <c r="B2396">
        <v>1</v>
      </c>
    </row>
    <row r="2397" spans="1:2" x14ac:dyDescent="0.35">
      <c r="A2397">
        <v>107</v>
      </c>
      <c r="B2397">
        <v>1</v>
      </c>
    </row>
    <row r="2398" spans="1:2" x14ac:dyDescent="0.35">
      <c r="A2398">
        <v>107</v>
      </c>
      <c r="B2398">
        <v>1</v>
      </c>
    </row>
    <row r="2399" spans="1:2" x14ac:dyDescent="0.35">
      <c r="A2399">
        <v>107</v>
      </c>
      <c r="B2399">
        <v>1</v>
      </c>
    </row>
    <row r="2400" spans="1:2" x14ac:dyDescent="0.35">
      <c r="A2400">
        <v>107</v>
      </c>
      <c r="B2400">
        <v>1</v>
      </c>
    </row>
    <row r="2401" spans="1:2" x14ac:dyDescent="0.35">
      <c r="A2401">
        <v>107</v>
      </c>
      <c r="B2401">
        <v>1</v>
      </c>
    </row>
    <row r="2402" spans="1:2" x14ac:dyDescent="0.35">
      <c r="A2402">
        <v>107</v>
      </c>
      <c r="B2402">
        <v>1</v>
      </c>
    </row>
    <row r="2403" spans="1:2" x14ac:dyDescent="0.35">
      <c r="A2403">
        <v>107</v>
      </c>
      <c r="B2403">
        <v>1</v>
      </c>
    </row>
    <row r="2404" spans="1:2" x14ac:dyDescent="0.35">
      <c r="A2404">
        <v>107</v>
      </c>
      <c r="B2404">
        <v>1</v>
      </c>
    </row>
    <row r="2405" spans="1:2" x14ac:dyDescent="0.35">
      <c r="A2405">
        <v>107</v>
      </c>
      <c r="B2405">
        <v>1</v>
      </c>
    </row>
    <row r="2406" spans="1:2" x14ac:dyDescent="0.35">
      <c r="A2406">
        <v>107</v>
      </c>
      <c r="B2406">
        <v>1</v>
      </c>
    </row>
    <row r="2407" spans="1:2" x14ac:dyDescent="0.35">
      <c r="A2407">
        <v>107</v>
      </c>
      <c r="B2407">
        <v>1</v>
      </c>
    </row>
    <row r="2408" spans="1:2" x14ac:dyDescent="0.35">
      <c r="A2408">
        <v>107</v>
      </c>
      <c r="B2408">
        <v>1</v>
      </c>
    </row>
    <row r="2409" spans="1:2" x14ac:dyDescent="0.35">
      <c r="A2409">
        <v>107</v>
      </c>
      <c r="B2409">
        <v>1</v>
      </c>
    </row>
    <row r="2410" spans="1:2" x14ac:dyDescent="0.35">
      <c r="A2410">
        <v>107</v>
      </c>
      <c r="B2410">
        <v>1</v>
      </c>
    </row>
    <row r="2411" spans="1:2" x14ac:dyDescent="0.35">
      <c r="A2411">
        <v>107</v>
      </c>
      <c r="B2411">
        <v>1</v>
      </c>
    </row>
    <row r="2412" spans="1:2" x14ac:dyDescent="0.35">
      <c r="A2412">
        <v>107</v>
      </c>
      <c r="B2412">
        <v>1</v>
      </c>
    </row>
    <row r="2413" spans="1:2" x14ac:dyDescent="0.35">
      <c r="A2413">
        <v>107</v>
      </c>
      <c r="B2413">
        <v>1</v>
      </c>
    </row>
    <row r="2414" spans="1:2" x14ac:dyDescent="0.35">
      <c r="A2414">
        <v>107</v>
      </c>
      <c r="B2414">
        <v>1</v>
      </c>
    </row>
    <row r="2415" spans="1:2" x14ac:dyDescent="0.35">
      <c r="A2415">
        <v>107</v>
      </c>
      <c r="B2415">
        <v>1</v>
      </c>
    </row>
    <row r="2416" spans="1:2" x14ac:dyDescent="0.35">
      <c r="A2416">
        <v>107</v>
      </c>
      <c r="B2416">
        <v>1</v>
      </c>
    </row>
    <row r="2417" spans="1:2" x14ac:dyDescent="0.35">
      <c r="A2417">
        <v>107</v>
      </c>
      <c r="B2417">
        <v>1</v>
      </c>
    </row>
    <row r="2418" spans="1:2" x14ac:dyDescent="0.35">
      <c r="A2418">
        <v>107</v>
      </c>
      <c r="B2418">
        <v>1</v>
      </c>
    </row>
    <row r="2419" spans="1:2" x14ac:dyDescent="0.35">
      <c r="A2419">
        <v>107</v>
      </c>
      <c r="B2419">
        <v>1</v>
      </c>
    </row>
    <row r="2420" spans="1:2" x14ac:dyDescent="0.35">
      <c r="A2420">
        <v>107</v>
      </c>
      <c r="B2420">
        <v>1</v>
      </c>
    </row>
    <row r="2421" spans="1:2" x14ac:dyDescent="0.35">
      <c r="A2421">
        <v>107</v>
      </c>
      <c r="B2421">
        <v>1</v>
      </c>
    </row>
    <row r="2422" spans="1:2" x14ac:dyDescent="0.35">
      <c r="A2422">
        <v>107</v>
      </c>
      <c r="B2422">
        <v>1</v>
      </c>
    </row>
    <row r="2423" spans="1:2" x14ac:dyDescent="0.35">
      <c r="A2423">
        <v>107</v>
      </c>
      <c r="B2423">
        <v>1</v>
      </c>
    </row>
    <row r="2424" spans="1:2" x14ac:dyDescent="0.35">
      <c r="A2424">
        <v>107</v>
      </c>
      <c r="B2424">
        <v>1</v>
      </c>
    </row>
    <row r="2425" spans="1:2" x14ac:dyDescent="0.35">
      <c r="A2425">
        <v>107</v>
      </c>
      <c r="B2425">
        <v>1</v>
      </c>
    </row>
    <row r="2426" spans="1:2" x14ac:dyDescent="0.35">
      <c r="A2426">
        <v>107</v>
      </c>
      <c r="B2426">
        <v>1</v>
      </c>
    </row>
    <row r="2427" spans="1:2" x14ac:dyDescent="0.35">
      <c r="A2427">
        <v>107</v>
      </c>
      <c r="B2427">
        <v>1</v>
      </c>
    </row>
    <row r="2428" spans="1:2" x14ac:dyDescent="0.35">
      <c r="A2428">
        <v>107</v>
      </c>
      <c r="B2428">
        <v>1</v>
      </c>
    </row>
    <row r="2429" spans="1:2" x14ac:dyDescent="0.35">
      <c r="A2429">
        <v>107</v>
      </c>
      <c r="B2429">
        <v>1</v>
      </c>
    </row>
    <row r="2430" spans="1:2" x14ac:dyDescent="0.35">
      <c r="A2430">
        <v>107</v>
      </c>
      <c r="B2430">
        <v>1</v>
      </c>
    </row>
    <row r="2431" spans="1:2" x14ac:dyDescent="0.35">
      <c r="A2431">
        <v>107</v>
      </c>
      <c r="B2431">
        <v>1</v>
      </c>
    </row>
    <row r="2432" spans="1:2" x14ac:dyDescent="0.35">
      <c r="A2432">
        <v>107</v>
      </c>
      <c r="B2432">
        <v>1</v>
      </c>
    </row>
    <row r="2433" spans="1:2" x14ac:dyDescent="0.35">
      <c r="A2433">
        <v>107</v>
      </c>
      <c r="B2433">
        <v>1</v>
      </c>
    </row>
    <row r="2434" spans="1:2" x14ac:dyDescent="0.35">
      <c r="A2434">
        <v>107</v>
      </c>
      <c r="B2434">
        <v>1</v>
      </c>
    </row>
    <row r="2435" spans="1:2" x14ac:dyDescent="0.35">
      <c r="A2435">
        <v>107</v>
      </c>
      <c r="B2435">
        <v>1</v>
      </c>
    </row>
    <row r="2436" spans="1:2" x14ac:dyDescent="0.35">
      <c r="A2436">
        <v>107</v>
      </c>
      <c r="B2436">
        <v>1</v>
      </c>
    </row>
    <row r="2437" spans="1:2" x14ac:dyDescent="0.35">
      <c r="A2437">
        <v>107</v>
      </c>
      <c r="B2437">
        <v>1</v>
      </c>
    </row>
    <row r="2438" spans="1:2" x14ac:dyDescent="0.35">
      <c r="A2438">
        <v>107</v>
      </c>
      <c r="B2438">
        <v>1</v>
      </c>
    </row>
    <row r="2439" spans="1:2" x14ac:dyDescent="0.35">
      <c r="A2439">
        <v>107</v>
      </c>
      <c r="B2439">
        <v>1</v>
      </c>
    </row>
    <row r="2440" spans="1:2" x14ac:dyDescent="0.35">
      <c r="A2440">
        <v>108</v>
      </c>
      <c r="B2440">
        <v>1</v>
      </c>
    </row>
    <row r="2441" spans="1:2" x14ac:dyDescent="0.35">
      <c r="A2441">
        <v>108</v>
      </c>
      <c r="B2441">
        <v>1</v>
      </c>
    </row>
    <row r="2442" spans="1:2" x14ac:dyDescent="0.35">
      <c r="A2442">
        <v>108</v>
      </c>
      <c r="B2442">
        <v>1</v>
      </c>
    </row>
    <row r="2443" spans="1:2" x14ac:dyDescent="0.35">
      <c r="A2443">
        <v>108</v>
      </c>
      <c r="B2443">
        <v>1</v>
      </c>
    </row>
    <row r="2444" spans="1:2" x14ac:dyDescent="0.35">
      <c r="A2444">
        <v>108</v>
      </c>
      <c r="B2444">
        <v>1</v>
      </c>
    </row>
    <row r="2445" spans="1:2" x14ac:dyDescent="0.35">
      <c r="A2445">
        <v>108</v>
      </c>
      <c r="B2445">
        <v>1</v>
      </c>
    </row>
    <row r="2446" spans="1:2" x14ac:dyDescent="0.35">
      <c r="A2446">
        <v>108</v>
      </c>
      <c r="B2446">
        <v>1</v>
      </c>
    </row>
    <row r="2447" spans="1:2" x14ac:dyDescent="0.35">
      <c r="A2447">
        <v>108</v>
      </c>
      <c r="B2447">
        <v>1</v>
      </c>
    </row>
    <row r="2448" spans="1:2" x14ac:dyDescent="0.35">
      <c r="A2448">
        <v>108</v>
      </c>
      <c r="B2448">
        <v>1</v>
      </c>
    </row>
    <row r="2449" spans="1:2" x14ac:dyDescent="0.35">
      <c r="A2449">
        <v>108</v>
      </c>
      <c r="B2449">
        <v>1</v>
      </c>
    </row>
    <row r="2450" spans="1:2" x14ac:dyDescent="0.35">
      <c r="A2450">
        <v>108</v>
      </c>
      <c r="B2450">
        <v>1</v>
      </c>
    </row>
    <row r="2451" spans="1:2" x14ac:dyDescent="0.35">
      <c r="A2451">
        <v>108</v>
      </c>
      <c r="B2451">
        <v>1</v>
      </c>
    </row>
    <row r="2452" spans="1:2" x14ac:dyDescent="0.35">
      <c r="A2452">
        <v>108</v>
      </c>
      <c r="B2452">
        <v>1</v>
      </c>
    </row>
    <row r="2453" spans="1:2" x14ac:dyDescent="0.35">
      <c r="A2453">
        <v>108</v>
      </c>
      <c r="B2453">
        <v>1</v>
      </c>
    </row>
    <row r="2454" spans="1:2" x14ac:dyDescent="0.35">
      <c r="A2454">
        <v>108</v>
      </c>
      <c r="B2454">
        <v>1</v>
      </c>
    </row>
    <row r="2455" spans="1:2" x14ac:dyDescent="0.35">
      <c r="A2455">
        <v>108</v>
      </c>
      <c r="B2455">
        <v>1</v>
      </c>
    </row>
    <row r="2456" spans="1:2" x14ac:dyDescent="0.35">
      <c r="A2456">
        <v>108</v>
      </c>
      <c r="B2456">
        <v>1</v>
      </c>
    </row>
    <row r="2457" spans="1:2" x14ac:dyDescent="0.35">
      <c r="A2457">
        <v>108</v>
      </c>
      <c r="B2457">
        <v>1</v>
      </c>
    </row>
    <row r="2458" spans="1:2" x14ac:dyDescent="0.35">
      <c r="A2458">
        <v>108</v>
      </c>
      <c r="B2458">
        <v>1</v>
      </c>
    </row>
    <row r="2459" spans="1:2" x14ac:dyDescent="0.35">
      <c r="A2459">
        <v>108</v>
      </c>
      <c r="B2459">
        <v>1</v>
      </c>
    </row>
    <row r="2460" spans="1:2" x14ac:dyDescent="0.35">
      <c r="A2460">
        <v>108</v>
      </c>
      <c r="B2460">
        <v>1</v>
      </c>
    </row>
    <row r="2461" spans="1:2" x14ac:dyDescent="0.35">
      <c r="A2461">
        <v>108</v>
      </c>
      <c r="B2461">
        <v>1</v>
      </c>
    </row>
    <row r="2462" spans="1:2" x14ac:dyDescent="0.35">
      <c r="A2462">
        <v>108</v>
      </c>
      <c r="B2462">
        <v>1</v>
      </c>
    </row>
    <row r="2463" spans="1:2" x14ac:dyDescent="0.35">
      <c r="A2463">
        <v>108</v>
      </c>
      <c r="B2463">
        <v>1</v>
      </c>
    </row>
    <row r="2464" spans="1:2" x14ac:dyDescent="0.35">
      <c r="A2464">
        <v>108</v>
      </c>
      <c r="B2464">
        <v>1</v>
      </c>
    </row>
    <row r="2465" spans="1:2" x14ac:dyDescent="0.35">
      <c r="A2465">
        <v>108</v>
      </c>
      <c r="B2465">
        <v>1</v>
      </c>
    </row>
    <row r="2466" spans="1:2" x14ac:dyDescent="0.35">
      <c r="A2466">
        <v>108</v>
      </c>
      <c r="B2466">
        <v>1</v>
      </c>
    </row>
    <row r="2467" spans="1:2" x14ac:dyDescent="0.35">
      <c r="A2467">
        <v>108</v>
      </c>
      <c r="B2467">
        <v>1</v>
      </c>
    </row>
    <row r="2468" spans="1:2" x14ac:dyDescent="0.35">
      <c r="A2468">
        <v>108</v>
      </c>
      <c r="B2468">
        <v>1</v>
      </c>
    </row>
    <row r="2469" spans="1:2" x14ac:dyDescent="0.35">
      <c r="A2469">
        <v>108</v>
      </c>
      <c r="B2469">
        <v>1</v>
      </c>
    </row>
    <row r="2470" spans="1:2" x14ac:dyDescent="0.35">
      <c r="A2470">
        <v>108</v>
      </c>
      <c r="B2470">
        <v>1</v>
      </c>
    </row>
    <row r="2471" spans="1:2" x14ac:dyDescent="0.35">
      <c r="A2471">
        <v>108</v>
      </c>
      <c r="B2471">
        <v>1</v>
      </c>
    </row>
    <row r="2472" spans="1:2" x14ac:dyDescent="0.35">
      <c r="A2472">
        <v>108</v>
      </c>
      <c r="B2472">
        <v>1</v>
      </c>
    </row>
    <row r="2473" spans="1:2" x14ac:dyDescent="0.35">
      <c r="A2473">
        <v>108</v>
      </c>
      <c r="B2473">
        <v>1</v>
      </c>
    </row>
    <row r="2474" spans="1:2" x14ac:dyDescent="0.35">
      <c r="A2474">
        <v>108</v>
      </c>
      <c r="B2474">
        <v>1</v>
      </c>
    </row>
    <row r="2475" spans="1:2" x14ac:dyDescent="0.35">
      <c r="A2475">
        <v>108</v>
      </c>
      <c r="B2475">
        <v>1</v>
      </c>
    </row>
    <row r="2476" spans="1:2" x14ac:dyDescent="0.35">
      <c r="A2476">
        <v>108</v>
      </c>
      <c r="B2476">
        <v>1</v>
      </c>
    </row>
    <row r="2477" spans="1:2" x14ac:dyDescent="0.35">
      <c r="A2477">
        <v>108</v>
      </c>
      <c r="B2477">
        <v>1</v>
      </c>
    </row>
    <row r="2478" spans="1:2" x14ac:dyDescent="0.35">
      <c r="A2478">
        <v>108</v>
      </c>
      <c r="B2478">
        <v>1</v>
      </c>
    </row>
    <row r="2479" spans="1:2" x14ac:dyDescent="0.35">
      <c r="A2479">
        <v>108</v>
      </c>
      <c r="B2479">
        <v>1</v>
      </c>
    </row>
    <row r="2480" spans="1:2" x14ac:dyDescent="0.35">
      <c r="A2480">
        <v>109</v>
      </c>
      <c r="B2480">
        <v>1</v>
      </c>
    </row>
    <row r="2481" spans="1:2" x14ac:dyDescent="0.35">
      <c r="A2481">
        <v>109</v>
      </c>
      <c r="B2481">
        <v>1</v>
      </c>
    </row>
    <row r="2482" spans="1:2" x14ac:dyDescent="0.35">
      <c r="A2482">
        <v>109</v>
      </c>
      <c r="B2482">
        <v>1</v>
      </c>
    </row>
    <row r="2483" spans="1:2" x14ac:dyDescent="0.35">
      <c r="A2483">
        <v>109</v>
      </c>
      <c r="B2483">
        <v>1</v>
      </c>
    </row>
    <row r="2484" spans="1:2" x14ac:dyDescent="0.35">
      <c r="A2484">
        <v>109</v>
      </c>
      <c r="B2484">
        <v>1</v>
      </c>
    </row>
    <row r="2485" spans="1:2" x14ac:dyDescent="0.35">
      <c r="A2485">
        <v>109</v>
      </c>
      <c r="B2485">
        <v>1</v>
      </c>
    </row>
    <row r="2486" spans="1:2" x14ac:dyDescent="0.35">
      <c r="A2486">
        <v>109</v>
      </c>
      <c r="B2486">
        <v>1</v>
      </c>
    </row>
    <row r="2487" spans="1:2" x14ac:dyDescent="0.35">
      <c r="A2487">
        <v>109</v>
      </c>
      <c r="B2487">
        <v>1</v>
      </c>
    </row>
    <row r="2488" spans="1:2" x14ac:dyDescent="0.35">
      <c r="A2488">
        <v>109</v>
      </c>
      <c r="B2488">
        <v>1</v>
      </c>
    </row>
    <row r="2489" spans="1:2" x14ac:dyDescent="0.35">
      <c r="A2489">
        <v>109</v>
      </c>
      <c r="B2489">
        <v>1</v>
      </c>
    </row>
    <row r="2490" spans="1:2" x14ac:dyDescent="0.35">
      <c r="A2490">
        <v>109</v>
      </c>
      <c r="B2490">
        <v>1</v>
      </c>
    </row>
    <row r="2491" spans="1:2" x14ac:dyDescent="0.35">
      <c r="A2491">
        <v>109</v>
      </c>
      <c r="B2491">
        <v>1</v>
      </c>
    </row>
    <row r="2492" spans="1:2" x14ac:dyDescent="0.35">
      <c r="A2492">
        <v>109</v>
      </c>
      <c r="B2492">
        <v>1</v>
      </c>
    </row>
    <row r="2493" spans="1:2" x14ac:dyDescent="0.35">
      <c r="A2493">
        <v>109</v>
      </c>
      <c r="B2493">
        <v>1</v>
      </c>
    </row>
    <row r="2494" spans="1:2" x14ac:dyDescent="0.35">
      <c r="A2494">
        <v>109</v>
      </c>
      <c r="B2494">
        <v>1</v>
      </c>
    </row>
    <row r="2495" spans="1:2" x14ac:dyDescent="0.35">
      <c r="A2495">
        <v>109</v>
      </c>
      <c r="B2495">
        <v>1</v>
      </c>
    </row>
    <row r="2496" spans="1:2" x14ac:dyDescent="0.35">
      <c r="A2496">
        <v>109</v>
      </c>
      <c r="B2496">
        <v>1</v>
      </c>
    </row>
    <row r="2497" spans="1:2" x14ac:dyDescent="0.35">
      <c r="A2497">
        <v>109</v>
      </c>
      <c r="B2497">
        <v>1</v>
      </c>
    </row>
    <row r="2498" spans="1:2" x14ac:dyDescent="0.35">
      <c r="A2498">
        <v>109</v>
      </c>
      <c r="B2498">
        <v>1</v>
      </c>
    </row>
    <row r="2499" spans="1:2" x14ac:dyDescent="0.35">
      <c r="A2499">
        <v>109</v>
      </c>
      <c r="B2499">
        <v>1</v>
      </c>
    </row>
    <row r="2500" spans="1:2" x14ac:dyDescent="0.35">
      <c r="A2500">
        <v>109</v>
      </c>
      <c r="B2500">
        <v>1</v>
      </c>
    </row>
    <row r="2501" spans="1:2" x14ac:dyDescent="0.35">
      <c r="A2501">
        <v>109</v>
      </c>
      <c r="B2501">
        <v>1</v>
      </c>
    </row>
    <row r="2502" spans="1:2" x14ac:dyDescent="0.35">
      <c r="A2502">
        <v>109</v>
      </c>
      <c r="B2502">
        <v>1</v>
      </c>
    </row>
    <row r="2503" spans="1:2" x14ac:dyDescent="0.35">
      <c r="A2503">
        <v>109</v>
      </c>
      <c r="B2503">
        <v>1</v>
      </c>
    </row>
    <row r="2504" spans="1:2" x14ac:dyDescent="0.35">
      <c r="A2504">
        <v>109</v>
      </c>
      <c r="B2504">
        <v>1</v>
      </c>
    </row>
    <row r="2505" spans="1:2" x14ac:dyDescent="0.35">
      <c r="A2505">
        <v>109</v>
      </c>
      <c r="B2505">
        <v>1</v>
      </c>
    </row>
    <row r="2506" spans="1:2" x14ac:dyDescent="0.35">
      <c r="A2506">
        <v>109</v>
      </c>
      <c r="B2506">
        <v>1</v>
      </c>
    </row>
    <row r="2507" spans="1:2" x14ac:dyDescent="0.35">
      <c r="A2507">
        <v>109</v>
      </c>
      <c r="B2507">
        <v>1</v>
      </c>
    </row>
    <row r="2508" spans="1:2" x14ac:dyDescent="0.35">
      <c r="A2508">
        <v>109</v>
      </c>
      <c r="B2508">
        <v>1</v>
      </c>
    </row>
    <row r="2509" spans="1:2" x14ac:dyDescent="0.35">
      <c r="A2509">
        <v>109</v>
      </c>
      <c r="B2509">
        <v>1</v>
      </c>
    </row>
    <row r="2510" spans="1:2" x14ac:dyDescent="0.35">
      <c r="A2510">
        <v>109</v>
      </c>
      <c r="B2510">
        <v>1</v>
      </c>
    </row>
    <row r="2511" spans="1:2" x14ac:dyDescent="0.35">
      <c r="A2511">
        <v>109</v>
      </c>
      <c r="B2511">
        <v>1</v>
      </c>
    </row>
    <row r="2512" spans="1:2" x14ac:dyDescent="0.35">
      <c r="A2512">
        <v>109</v>
      </c>
      <c r="B2512">
        <v>1</v>
      </c>
    </row>
    <row r="2513" spans="1:2" x14ac:dyDescent="0.35">
      <c r="A2513">
        <v>109</v>
      </c>
      <c r="B2513">
        <v>1</v>
      </c>
    </row>
    <row r="2514" spans="1:2" x14ac:dyDescent="0.35">
      <c r="A2514">
        <v>109</v>
      </c>
      <c r="B2514">
        <v>1</v>
      </c>
    </row>
    <row r="2515" spans="1:2" x14ac:dyDescent="0.35">
      <c r="A2515">
        <v>109</v>
      </c>
      <c r="B2515">
        <v>1</v>
      </c>
    </row>
    <row r="2516" spans="1:2" x14ac:dyDescent="0.35">
      <c r="A2516">
        <v>109</v>
      </c>
      <c r="B2516">
        <v>1</v>
      </c>
    </row>
    <row r="2517" spans="1:2" x14ac:dyDescent="0.35">
      <c r="A2517">
        <v>109</v>
      </c>
      <c r="B2517">
        <v>1</v>
      </c>
    </row>
    <row r="2518" spans="1:2" x14ac:dyDescent="0.35">
      <c r="A2518">
        <v>109</v>
      </c>
      <c r="B2518">
        <v>1</v>
      </c>
    </row>
    <row r="2519" spans="1:2" x14ac:dyDescent="0.35">
      <c r="A2519">
        <v>109</v>
      </c>
      <c r="B2519">
        <v>1</v>
      </c>
    </row>
    <row r="2520" spans="1:2" x14ac:dyDescent="0.35">
      <c r="A2520">
        <v>109</v>
      </c>
      <c r="B2520">
        <v>1</v>
      </c>
    </row>
    <row r="2521" spans="1:2" x14ac:dyDescent="0.35">
      <c r="A2521">
        <v>109</v>
      </c>
      <c r="B2521">
        <v>1</v>
      </c>
    </row>
    <row r="2522" spans="1:2" x14ac:dyDescent="0.35">
      <c r="A2522">
        <v>109</v>
      </c>
      <c r="B2522">
        <v>1</v>
      </c>
    </row>
    <row r="2523" spans="1:2" x14ac:dyDescent="0.35">
      <c r="A2523">
        <v>109</v>
      </c>
      <c r="B2523">
        <v>1</v>
      </c>
    </row>
    <row r="2524" spans="1:2" x14ac:dyDescent="0.35">
      <c r="A2524">
        <v>109</v>
      </c>
      <c r="B2524">
        <v>1</v>
      </c>
    </row>
    <row r="2525" spans="1:2" x14ac:dyDescent="0.35">
      <c r="A2525">
        <v>109</v>
      </c>
      <c r="B2525">
        <v>1</v>
      </c>
    </row>
    <row r="2526" spans="1:2" x14ac:dyDescent="0.35">
      <c r="A2526">
        <v>109</v>
      </c>
      <c r="B2526">
        <v>1</v>
      </c>
    </row>
    <row r="2527" spans="1:2" x14ac:dyDescent="0.35">
      <c r="A2527">
        <v>110</v>
      </c>
      <c r="B2527">
        <v>1</v>
      </c>
    </row>
    <row r="2528" spans="1:2" x14ac:dyDescent="0.35">
      <c r="A2528">
        <v>110</v>
      </c>
      <c r="B2528">
        <v>1</v>
      </c>
    </row>
    <row r="2529" spans="1:2" x14ac:dyDescent="0.35">
      <c r="A2529">
        <v>110</v>
      </c>
      <c r="B2529">
        <v>1</v>
      </c>
    </row>
    <row r="2530" spans="1:2" x14ac:dyDescent="0.35">
      <c r="A2530">
        <v>110</v>
      </c>
      <c r="B2530">
        <v>1</v>
      </c>
    </row>
    <row r="2531" spans="1:2" x14ac:dyDescent="0.35">
      <c r="A2531">
        <v>110</v>
      </c>
      <c r="B2531">
        <v>1</v>
      </c>
    </row>
    <row r="2532" spans="1:2" x14ac:dyDescent="0.35">
      <c r="A2532">
        <v>110</v>
      </c>
      <c r="B2532">
        <v>1</v>
      </c>
    </row>
    <row r="2533" spans="1:2" x14ac:dyDescent="0.35">
      <c r="A2533">
        <v>110</v>
      </c>
      <c r="B2533">
        <v>1</v>
      </c>
    </row>
    <row r="2534" spans="1:2" x14ac:dyDescent="0.35">
      <c r="A2534">
        <v>110</v>
      </c>
      <c r="B2534">
        <v>1</v>
      </c>
    </row>
    <row r="2535" spans="1:2" x14ac:dyDescent="0.35">
      <c r="A2535">
        <v>110</v>
      </c>
      <c r="B2535">
        <v>1</v>
      </c>
    </row>
    <row r="2536" spans="1:2" x14ac:dyDescent="0.35">
      <c r="A2536">
        <v>110</v>
      </c>
      <c r="B2536">
        <v>1</v>
      </c>
    </row>
    <row r="2537" spans="1:2" x14ac:dyDescent="0.35">
      <c r="A2537">
        <v>110</v>
      </c>
      <c r="B2537">
        <v>1</v>
      </c>
    </row>
    <row r="2538" spans="1:2" x14ac:dyDescent="0.35">
      <c r="A2538">
        <v>110</v>
      </c>
      <c r="B2538">
        <v>1</v>
      </c>
    </row>
    <row r="2539" spans="1:2" x14ac:dyDescent="0.35">
      <c r="A2539">
        <v>110</v>
      </c>
      <c r="B2539">
        <v>1</v>
      </c>
    </row>
    <row r="2540" spans="1:2" x14ac:dyDescent="0.35">
      <c r="A2540">
        <v>110</v>
      </c>
      <c r="B2540">
        <v>1</v>
      </c>
    </row>
    <row r="2541" spans="1:2" x14ac:dyDescent="0.35">
      <c r="A2541">
        <v>110</v>
      </c>
      <c r="B2541">
        <v>1</v>
      </c>
    </row>
    <row r="2542" spans="1:2" x14ac:dyDescent="0.35">
      <c r="A2542">
        <v>110</v>
      </c>
      <c r="B2542">
        <v>1</v>
      </c>
    </row>
    <row r="2543" spans="1:2" x14ac:dyDescent="0.35">
      <c r="A2543">
        <v>110</v>
      </c>
      <c r="B2543">
        <v>1</v>
      </c>
    </row>
    <row r="2544" spans="1:2" x14ac:dyDescent="0.35">
      <c r="A2544">
        <v>110</v>
      </c>
      <c r="B2544">
        <v>1</v>
      </c>
    </row>
    <row r="2545" spans="1:2" x14ac:dyDescent="0.35">
      <c r="A2545">
        <v>110</v>
      </c>
      <c r="B2545">
        <v>1</v>
      </c>
    </row>
    <row r="2546" spans="1:2" x14ac:dyDescent="0.35">
      <c r="A2546">
        <v>110</v>
      </c>
      <c r="B2546">
        <v>1</v>
      </c>
    </row>
    <row r="2547" spans="1:2" x14ac:dyDescent="0.35">
      <c r="A2547">
        <v>110</v>
      </c>
      <c r="B2547">
        <v>1</v>
      </c>
    </row>
    <row r="2548" spans="1:2" x14ac:dyDescent="0.35">
      <c r="A2548">
        <v>110</v>
      </c>
      <c r="B2548">
        <v>1</v>
      </c>
    </row>
    <row r="2549" spans="1:2" x14ac:dyDescent="0.35">
      <c r="A2549">
        <v>110</v>
      </c>
      <c r="B2549">
        <v>1</v>
      </c>
    </row>
    <row r="2550" spans="1:2" x14ac:dyDescent="0.35">
      <c r="A2550">
        <v>110</v>
      </c>
      <c r="B2550">
        <v>1</v>
      </c>
    </row>
    <row r="2551" spans="1:2" x14ac:dyDescent="0.35">
      <c r="A2551">
        <v>110</v>
      </c>
      <c r="B2551">
        <v>1</v>
      </c>
    </row>
    <row r="2552" spans="1:2" x14ac:dyDescent="0.35">
      <c r="A2552">
        <v>110</v>
      </c>
      <c r="B2552">
        <v>1</v>
      </c>
    </row>
    <row r="2553" spans="1:2" x14ac:dyDescent="0.35">
      <c r="A2553">
        <v>110</v>
      </c>
      <c r="B2553">
        <v>1</v>
      </c>
    </row>
    <row r="2554" spans="1:2" x14ac:dyDescent="0.35">
      <c r="A2554">
        <v>110</v>
      </c>
      <c r="B2554">
        <v>1</v>
      </c>
    </row>
    <row r="2555" spans="1:2" x14ac:dyDescent="0.35">
      <c r="A2555">
        <v>110</v>
      </c>
      <c r="B2555">
        <v>1</v>
      </c>
    </row>
    <row r="2556" spans="1:2" x14ac:dyDescent="0.35">
      <c r="A2556">
        <v>110</v>
      </c>
      <c r="B2556">
        <v>1</v>
      </c>
    </row>
    <row r="2557" spans="1:2" x14ac:dyDescent="0.35">
      <c r="A2557">
        <v>110</v>
      </c>
      <c r="B2557">
        <v>1</v>
      </c>
    </row>
    <row r="2558" spans="1:2" x14ac:dyDescent="0.35">
      <c r="A2558">
        <v>110</v>
      </c>
      <c r="B2558">
        <v>1</v>
      </c>
    </row>
    <row r="2559" spans="1:2" x14ac:dyDescent="0.35">
      <c r="A2559">
        <v>111</v>
      </c>
      <c r="B2559">
        <v>1</v>
      </c>
    </row>
    <row r="2560" spans="1:2" x14ac:dyDescent="0.35">
      <c r="A2560">
        <v>111</v>
      </c>
      <c r="B2560">
        <v>1</v>
      </c>
    </row>
    <row r="2561" spans="1:2" x14ac:dyDescent="0.35">
      <c r="A2561">
        <v>111</v>
      </c>
      <c r="B2561">
        <v>1</v>
      </c>
    </row>
    <row r="2562" spans="1:2" x14ac:dyDescent="0.35">
      <c r="A2562">
        <v>111</v>
      </c>
      <c r="B2562">
        <v>1</v>
      </c>
    </row>
    <row r="2563" spans="1:2" x14ac:dyDescent="0.35">
      <c r="A2563">
        <v>111</v>
      </c>
      <c r="B2563">
        <v>1</v>
      </c>
    </row>
    <row r="2564" spans="1:2" x14ac:dyDescent="0.35">
      <c r="A2564">
        <v>111</v>
      </c>
      <c r="B2564">
        <v>1</v>
      </c>
    </row>
    <row r="2565" spans="1:2" x14ac:dyDescent="0.35">
      <c r="A2565">
        <v>111</v>
      </c>
      <c r="B2565">
        <v>1</v>
      </c>
    </row>
    <row r="2566" spans="1:2" x14ac:dyDescent="0.35">
      <c r="A2566">
        <v>111</v>
      </c>
      <c r="B2566">
        <v>1</v>
      </c>
    </row>
    <row r="2567" spans="1:2" x14ac:dyDescent="0.35">
      <c r="A2567">
        <v>111</v>
      </c>
      <c r="B2567">
        <v>1</v>
      </c>
    </row>
    <row r="2568" spans="1:2" x14ac:dyDescent="0.35">
      <c r="A2568">
        <v>111</v>
      </c>
      <c r="B2568">
        <v>1</v>
      </c>
    </row>
    <row r="2569" spans="1:2" x14ac:dyDescent="0.35">
      <c r="A2569">
        <v>111</v>
      </c>
      <c r="B2569">
        <v>1</v>
      </c>
    </row>
    <row r="2570" spans="1:2" x14ac:dyDescent="0.35">
      <c r="A2570">
        <v>111</v>
      </c>
      <c r="B2570">
        <v>1</v>
      </c>
    </row>
    <row r="2571" spans="1:2" x14ac:dyDescent="0.35">
      <c r="A2571">
        <v>111</v>
      </c>
      <c r="B2571">
        <v>1</v>
      </c>
    </row>
    <row r="2572" spans="1:2" x14ac:dyDescent="0.35">
      <c r="A2572">
        <v>111</v>
      </c>
      <c r="B2572">
        <v>1</v>
      </c>
    </row>
    <row r="2573" spans="1:2" x14ac:dyDescent="0.35">
      <c r="A2573">
        <v>111</v>
      </c>
      <c r="B2573">
        <v>1</v>
      </c>
    </row>
    <row r="2574" spans="1:2" x14ac:dyDescent="0.35">
      <c r="A2574">
        <v>111</v>
      </c>
      <c r="B2574">
        <v>1</v>
      </c>
    </row>
    <row r="2575" spans="1:2" x14ac:dyDescent="0.35">
      <c r="A2575">
        <v>111</v>
      </c>
      <c r="B2575">
        <v>1</v>
      </c>
    </row>
    <row r="2576" spans="1:2" x14ac:dyDescent="0.35">
      <c r="A2576">
        <v>111</v>
      </c>
      <c r="B2576">
        <v>1</v>
      </c>
    </row>
    <row r="2577" spans="1:2" x14ac:dyDescent="0.35">
      <c r="A2577">
        <v>111</v>
      </c>
      <c r="B2577">
        <v>1</v>
      </c>
    </row>
    <row r="2578" spans="1:2" x14ac:dyDescent="0.35">
      <c r="A2578">
        <v>111</v>
      </c>
      <c r="B2578">
        <v>1</v>
      </c>
    </row>
    <row r="2579" spans="1:2" x14ac:dyDescent="0.35">
      <c r="A2579">
        <v>111</v>
      </c>
      <c r="B2579">
        <v>1</v>
      </c>
    </row>
    <row r="2580" spans="1:2" x14ac:dyDescent="0.35">
      <c r="A2580">
        <v>111</v>
      </c>
      <c r="B2580">
        <v>1</v>
      </c>
    </row>
    <row r="2581" spans="1:2" x14ac:dyDescent="0.35">
      <c r="A2581">
        <v>111</v>
      </c>
      <c r="B2581">
        <v>1</v>
      </c>
    </row>
    <row r="2582" spans="1:2" x14ac:dyDescent="0.35">
      <c r="A2582">
        <v>111</v>
      </c>
      <c r="B2582">
        <v>1</v>
      </c>
    </row>
    <row r="2583" spans="1:2" x14ac:dyDescent="0.35">
      <c r="A2583">
        <v>111</v>
      </c>
      <c r="B2583">
        <v>1</v>
      </c>
    </row>
    <row r="2584" spans="1:2" x14ac:dyDescent="0.35">
      <c r="A2584">
        <v>111</v>
      </c>
      <c r="B2584">
        <v>1</v>
      </c>
    </row>
    <row r="2585" spans="1:2" x14ac:dyDescent="0.35">
      <c r="A2585">
        <v>111</v>
      </c>
      <c r="B2585">
        <v>1</v>
      </c>
    </row>
    <row r="2586" spans="1:2" x14ac:dyDescent="0.35">
      <c r="A2586">
        <v>111</v>
      </c>
      <c r="B2586">
        <v>1</v>
      </c>
    </row>
    <row r="2587" spans="1:2" x14ac:dyDescent="0.35">
      <c r="A2587">
        <v>111</v>
      </c>
      <c r="B2587">
        <v>1</v>
      </c>
    </row>
    <row r="2588" spans="1:2" x14ac:dyDescent="0.35">
      <c r="A2588">
        <v>111</v>
      </c>
      <c r="B2588">
        <v>1</v>
      </c>
    </row>
    <row r="2589" spans="1:2" x14ac:dyDescent="0.35">
      <c r="A2589">
        <v>111</v>
      </c>
      <c r="B2589">
        <v>1</v>
      </c>
    </row>
    <row r="2590" spans="1:2" x14ac:dyDescent="0.35">
      <c r="A2590">
        <v>111</v>
      </c>
      <c r="B2590">
        <v>1</v>
      </c>
    </row>
    <row r="2591" spans="1:2" x14ac:dyDescent="0.35">
      <c r="A2591">
        <v>111</v>
      </c>
      <c r="B2591">
        <v>1</v>
      </c>
    </row>
    <row r="2592" spans="1:2" x14ac:dyDescent="0.35">
      <c r="A2592">
        <v>111</v>
      </c>
      <c r="B2592">
        <v>1</v>
      </c>
    </row>
    <row r="2593" spans="1:2" x14ac:dyDescent="0.35">
      <c r="A2593">
        <v>111</v>
      </c>
      <c r="B2593">
        <v>1</v>
      </c>
    </row>
    <row r="2594" spans="1:2" x14ac:dyDescent="0.35">
      <c r="A2594">
        <v>111</v>
      </c>
      <c r="B2594">
        <v>1</v>
      </c>
    </row>
    <row r="2595" spans="1:2" x14ac:dyDescent="0.35">
      <c r="A2595">
        <v>111</v>
      </c>
      <c r="B2595">
        <v>1</v>
      </c>
    </row>
    <row r="2596" spans="1:2" x14ac:dyDescent="0.35">
      <c r="A2596">
        <v>112</v>
      </c>
      <c r="B2596">
        <v>1</v>
      </c>
    </row>
    <row r="2597" spans="1:2" x14ac:dyDescent="0.35">
      <c r="A2597">
        <v>112</v>
      </c>
      <c r="B2597">
        <v>1</v>
      </c>
    </row>
    <row r="2598" spans="1:2" x14ac:dyDescent="0.35">
      <c r="A2598">
        <v>112</v>
      </c>
      <c r="B2598">
        <v>1</v>
      </c>
    </row>
    <row r="2599" spans="1:2" x14ac:dyDescent="0.35">
      <c r="A2599">
        <v>112</v>
      </c>
      <c r="B2599">
        <v>1</v>
      </c>
    </row>
    <row r="2600" spans="1:2" x14ac:dyDescent="0.35">
      <c r="A2600">
        <v>112</v>
      </c>
      <c r="B2600">
        <v>1</v>
      </c>
    </row>
    <row r="2601" spans="1:2" x14ac:dyDescent="0.35">
      <c r="A2601">
        <v>112</v>
      </c>
      <c r="B2601">
        <v>1</v>
      </c>
    </row>
    <row r="2602" spans="1:2" x14ac:dyDescent="0.35">
      <c r="A2602">
        <v>112</v>
      </c>
      <c r="B2602">
        <v>1</v>
      </c>
    </row>
    <row r="2603" spans="1:2" x14ac:dyDescent="0.35">
      <c r="A2603">
        <v>112</v>
      </c>
      <c r="B2603">
        <v>1</v>
      </c>
    </row>
    <row r="2604" spans="1:2" x14ac:dyDescent="0.35">
      <c r="A2604">
        <v>112</v>
      </c>
      <c r="B2604">
        <v>1</v>
      </c>
    </row>
    <row r="2605" spans="1:2" x14ac:dyDescent="0.35">
      <c r="A2605">
        <v>112</v>
      </c>
      <c r="B2605">
        <v>1</v>
      </c>
    </row>
    <row r="2606" spans="1:2" x14ac:dyDescent="0.35">
      <c r="A2606">
        <v>112</v>
      </c>
      <c r="B2606">
        <v>1</v>
      </c>
    </row>
    <row r="2607" spans="1:2" x14ac:dyDescent="0.35">
      <c r="A2607">
        <v>112</v>
      </c>
      <c r="B2607">
        <v>1</v>
      </c>
    </row>
    <row r="2608" spans="1:2" x14ac:dyDescent="0.35">
      <c r="A2608">
        <v>112</v>
      </c>
      <c r="B2608">
        <v>1</v>
      </c>
    </row>
    <row r="2609" spans="1:2" x14ac:dyDescent="0.35">
      <c r="A2609">
        <v>112</v>
      </c>
      <c r="B2609">
        <v>1</v>
      </c>
    </row>
    <row r="2610" spans="1:2" x14ac:dyDescent="0.35">
      <c r="A2610">
        <v>112</v>
      </c>
      <c r="B2610">
        <v>1</v>
      </c>
    </row>
    <row r="2611" spans="1:2" x14ac:dyDescent="0.35">
      <c r="A2611">
        <v>112</v>
      </c>
      <c r="B2611">
        <v>1</v>
      </c>
    </row>
    <row r="2612" spans="1:2" x14ac:dyDescent="0.35">
      <c r="A2612">
        <v>112</v>
      </c>
      <c r="B2612">
        <v>1</v>
      </c>
    </row>
    <row r="2613" spans="1:2" x14ac:dyDescent="0.35">
      <c r="A2613">
        <v>112</v>
      </c>
      <c r="B2613">
        <v>1</v>
      </c>
    </row>
    <row r="2614" spans="1:2" x14ac:dyDescent="0.35">
      <c r="A2614">
        <v>112</v>
      </c>
      <c r="B2614">
        <v>1</v>
      </c>
    </row>
    <row r="2615" spans="1:2" x14ac:dyDescent="0.35">
      <c r="A2615">
        <v>112</v>
      </c>
      <c r="B2615">
        <v>1</v>
      </c>
    </row>
    <row r="2616" spans="1:2" x14ac:dyDescent="0.35">
      <c r="A2616">
        <v>112</v>
      </c>
      <c r="B2616">
        <v>1</v>
      </c>
    </row>
    <row r="2617" spans="1:2" x14ac:dyDescent="0.35">
      <c r="A2617">
        <v>112</v>
      </c>
      <c r="B2617">
        <v>1</v>
      </c>
    </row>
    <row r="2618" spans="1:2" x14ac:dyDescent="0.35">
      <c r="A2618">
        <v>112</v>
      </c>
      <c r="B2618">
        <v>1</v>
      </c>
    </row>
    <row r="2619" spans="1:2" x14ac:dyDescent="0.35">
      <c r="A2619">
        <v>112</v>
      </c>
      <c r="B2619">
        <v>1</v>
      </c>
    </row>
    <row r="2620" spans="1:2" x14ac:dyDescent="0.35">
      <c r="A2620">
        <v>112</v>
      </c>
      <c r="B2620">
        <v>1</v>
      </c>
    </row>
    <row r="2621" spans="1:2" x14ac:dyDescent="0.35">
      <c r="A2621">
        <v>112</v>
      </c>
      <c r="B2621">
        <v>1</v>
      </c>
    </row>
    <row r="2622" spans="1:2" x14ac:dyDescent="0.35">
      <c r="A2622">
        <v>112</v>
      </c>
      <c r="B2622">
        <v>1</v>
      </c>
    </row>
    <row r="2623" spans="1:2" x14ac:dyDescent="0.35">
      <c r="A2623">
        <v>112</v>
      </c>
      <c r="B2623">
        <v>1</v>
      </c>
    </row>
    <row r="2624" spans="1:2" x14ac:dyDescent="0.35">
      <c r="A2624">
        <v>112</v>
      </c>
      <c r="B2624">
        <v>1</v>
      </c>
    </row>
    <row r="2625" spans="1:2" x14ac:dyDescent="0.35">
      <c r="A2625">
        <v>112</v>
      </c>
      <c r="B2625">
        <v>1</v>
      </c>
    </row>
    <row r="2626" spans="1:2" x14ac:dyDescent="0.35">
      <c r="A2626">
        <v>112</v>
      </c>
      <c r="B2626">
        <v>1</v>
      </c>
    </row>
    <row r="2627" spans="1:2" x14ac:dyDescent="0.35">
      <c r="A2627">
        <v>112</v>
      </c>
      <c r="B2627">
        <v>1</v>
      </c>
    </row>
    <row r="2628" spans="1:2" x14ac:dyDescent="0.35">
      <c r="A2628">
        <v>112</v>
      </c>
      <c r="B2628">
        <v>1</v>
      </c>
    </row>
    <row r="2629" spans="1:2" x14ac:dyDescent="0.35">
      <c r="A2629">
        <v>112</v>
      </c>
      <c r="B2629">
        <v>1</v>
      </c>
    </row>
    <row r="2630" spans="1:2" x14ac:dyDescent="0.35">
      <c r="A2630">
        <v>112</v>
      </c>
      <c r="B2630">
        <v>1</v>
      </c>
    </row>
    <row r="2631" spans="1:2" x14ac:dyDescent="0.35">
      <c r="A2631">
        <v>112</v>
      </c>
      <c r="B2631">
        <v>1</v>
      </c>
    </row>
    <row r="2632" spans="1:2" x14ac:dyDescent="0.35">
      <c r="A2632">
        <v>112</v>
      </c>
      <c r="B2632">
        <v>1</v>
      </c>
    </row>
    <row r="2633" spans="1:2" x14ac:dyDescent="0.35">
      <c r="A2633">
        <v>112</v>
      </c>
      <c r="B2633">
        <v>1</v>
      </c>
    </row>
    <row r="2634" spans="1:2" x14ac:dyDescent="0.35">
      <c r="A2634">
        <v>112</v>
      </c>
      <c r="B2634">
        <v>1</v>
      </c>
    </row>
    <row r="2635" spans="1:2" x14ac:dyDescent="0.35">
      <c r="A2635">
        <v>112</v>
      </c>
      <c r="B2635">
        <v>1</v>
      </c>
    </row>
    <row r="2636" spans="1:2" x14ac:dyDescent="0.35">
      <c r="A2636">
        <v>112</v>
      </c>
      <c r="B2636">
        <v>1</v>
      </c>
    </row>
    <row r="2637" spans="1:2" x14ac:dyDescent="0.35">
      <c r="A2637">
        <v>112</v>
      </c>
      <c r="B2637">
        <v>1</v>
      </c>
    </row>
    <row r="2638" spans="1:2" x14ac:dyDescent="0.35">
      <c r="A2638">
        <v>113</v>
      </c>
      <c r="B2638">
        <v>1</v>
      </c>
    </row>
    <row r="2639" spans="1:2" x14ac:dyDescent="0.35">
      <c r="A2639">
        <v>113</v>
      </c>
      <c r="B2639">
        <v>1</v>
      </c>
    </row>
    <row r="2640" spans="1:2" x14ac:dyDescent="0.35">
      <c r="A2640">
        <v>113</v>
      </c>
      <c r="B2640">
        <v>1</v>
      </c>
    </row>
    <row r="2641" spans="1:2" x14ac:dyDescent="0.35">
      <c r="A2641">
        <v>113</v>
      </c>
      <c r="B2641">
        <v>1</v>
      </c>
    </row>
    <row r="2642" spans="1:2" x14ac:dyDescent="0.35">
      <c r="A2642">
        <v>113</v>
      </c>
      <c r="B2642">
        <v>1</v>
      </c>
    </row>
    <row r="2643" spans="1:2" x14ac:dyDescent="0.35">
      <c r="A2643">
        <v>113</v>
      </c>
      <c r="B2643">
        <v>1</v>
      </c>
    </row>
    <row r="2644" spans="1:2" x14ac:dyDescent="0.35">
      <c r="A2644">
        <v>113</v>
      </c>
      <c r="B2644">
        <v>1</v>
      </c>
    </row>
    <row r="2645" spans="1:2" x14ac:dyDescent="0.35">
      <c r="A2645">
        <v>113</v>
      </c>
      <c r="B2645">
        <v>1</v>
      </c>
    </row>
    <row r="2646" spans="1:2" x14ac:dyDescent="0.35">
      <c r="A2646">
        <v>113</v>
      </c>
      <c r="B2646">
        <v>1</v>
      </c>
    </row>
    <row r="2647" spans="1:2" x14ac:dyDescent="0.35">
      <c r="A2647">
        <v>113</v>
      </c>
      <c r="B2647">
        <v>1</v>
      </c>
    </row>
    <row r="2648" spans="1:2" x14ac:dyDescent="0.35">
      <c r="A2648">
        <v>113</v>
      </c>
      <c r="B2648">
        <v>1</v>
      </c>
    </row>
    <row r="2649" spans="1:2" x14ac:dyDescent="0.35">
      <c r="A2649">
        <v>113</v>
      </c>
      <c r="B2649">
        <v>1</v>
      </c>
    </row>
    <row r="2650" spans="1:2" x14ac:dyDescent="0.35">
      <c r="A2650">
        <v>113</v>
      </c>
      <c r="B2650">
        <v>1</v>
      </c>
    </row>
    <row r="2651" spans="1:2" x14ac:dyDescent="0.35">
      <c r="A2651">
        <v>113</v>
      </c>
      <c r="B2651">
        <v>1</v>
      </c>
    </row>
    <row r="2652" spans="1:2" x14ac:dyDescent="0.35">
      <c r="A2652">
        <v>113</v>
      </c>
      <c r="B2652">
        <v>1</v>
      </c>
    </row>
    <row r="2653" spans="1:2" x14ac:dyDescent="0.35">
      <c r="A2653">
        <v>113</v>
      </c>
      <c r="B2653">
        <v>1</v>
      </c>
    </row>
    <row r="2654" spans="1:2" x14ac:dyDescent="0.35">
      <c r="A2654">
        <v>113</v>
      </c>
      <c r="B2654">
        <v>1</v>
      </c>
    </row>
    <row r="2655" spans="1:2" x14ac:dyDescent="0.35">
      <c r="A2655">
        <v>113</v>
      </c>
      <c r="B2655">
        <v>1</v>
      </c>
    </row>
    <row r="2656" spans="1:2" x14ac:dyDescent="0.35">
      <c r="A2656">
        <v>113</v>
      </c>
      <c r="B2656">
        <v>1</v>
      </c>
    </row>
    <row r="2657" spans="1:2" x14ac:dyDescent="0.35">
      <c r="A2657">
        <v>113</v>
      </c>
      <c r="B2657">
        <v>1</v>
      </c>
    </row>
    <row r="2658" spans="1:2" x14ac:dyDescent="0.35">
      <c r="A2658">
        <v>113</v>
      </c>
      <c r="B2658">
        <v>1</v>
      </c>
    </row>
    <row r="2659" spans="1:2" x14ac:dyDescent="0.35">
      <c r="A2659">
        <v>113</v>
      </c>
      <c r="B2659">
        <v>1</v>
      </c>
    </row>
    <row r="2660" spans="1:2" x14ac:dyDescent="0.35">
      <c r="A2660">
        <v>113</v>
      </c>
      <c r="B2660">
        <v>1</v>
      </c>
    </row>
    <row r="2661" spans="1:2" x14ac:dyDescent="0.35">
      <c r="A2661">
        <v>113</v>
      </c>
      <c r="B2661">
        <v>1</v>
      </c>
    </row>
    <row r="2662" spans="1:2" x14ac:dyDescent="0.35">
      <c r="A2662">
        <v>113</v>
      </c>
      <c r="B2662">
        <v>1</v>
      </c>
    </row>
    <row r="2663" spans="1:2" x14ac:dyDescent="0.35">
      <c r="A2663">
        <v>113</v>
      </c>
      <c r="B2663">
        <v>1</v>
      </c>
    </row>
    <row r="2664" spans="1:2" x14ac:dyDescent="0.35">
      <c r="A2664">
        <v>113</v>
      </c>
      <c r="B2664">
        <v>1</v>
      </c>
    </row>
    <row r="2665" spans="1:2" x14ac:dyDescent="0.35">
      <c r="A2665">
        <v>113</v>
      </c>
      <c r="B2665">
        <v>1</v>
      </c>
    </row>
    <row r="2666" spans="1:2" x14ac:dyDescent="0.35">
      <c r="A2666">
        <v>113</v>
      </c>
      <c r="B2666">
        <v>1</v>
      </c>
    </row>
    <row r="2667" spans="1:2" x14ac:dyDescent="0.35">
      <c r="A2667">
        <v>113</v>
      </c>
      <c r="B2667">
        <v>1</v>
      </c>
    </row>
    <row r="2668" spans="1:2" x14ac:dyDescent="0.35">
      <c r="A2668">
        <v>113</v>
      </c>
      <c r="B2668">
        <v>1</v>
      </c>
    </row>
    <row r="2669" spans="1:2" x14ac:dyDescent="0.35">
      <c r="A2669">
        <v>113</v>
      </c>
      <c r="B2669">
        <v>1</v>
      </c>
    </row>
    <row r="2670" spans="1:2" x14ac:dyDescent="0.35">
      <c r="A2670">
        <v>113</v>
      </c>
      <c r="B2670">
        <v>1</v>
      </c>
    </row>
    <row r="2671" spans="1:2" x14ac:dyDescent="0.35">
      <c r="A2671">
        <v>113</v>
      </c>
      <c r="B2671">
        <v>1</v>
      </c>
    </row>
    <row r="2672" spans="1:2" x14ac:dyDescent="0.35">
      <c r="A2672">
        <v>113</v>
      </c>
      <c r="B2672">
        <v>1</v>
      </c>
    </row>
    <row r="2673" spans="1:2" x14ac:dyDescent="0.35">
      <c r="A2673">
        <v>113</v>
      </c>
      <c r="B2673">
        <v>1</v>
      </c>
    </row>
    <row r="2674" spans="1:2" x14ac:dyDescent="0.35">
      <c r="A2674">
        <v>113</v>
      </c>
      <c r="B2674">
        <v>1</v>
      </c>
    </row>
    <row r="2675" spans="1:2" x14ac:dyDescent="0.35">
      <c r="A2675">
        <v>113</v>
      </c>
      <c r="B2675">
        <v>1</v>
      </c>
    </row>
    <row r="2676" spans="1:2" x14ac:dyDescent="0.35">
      <c r="A2676">
        <v>113</v>
      </c>
      <c r="B2676">
        <v>1</v>
      </c>
    </row>
    <row r="2677" spans="1:2" x14ac:dyDescent="0.35">
      <c r="A2677">
        <v>113</v>
      </c>
      <c r="B2677">
        <v>1</v>
      </c>
    </row>
    <row r="2678" spans="1:2" x14ac:dyDescent="0.35">
      <c r="A2678">
        <v>114</v>
      </c>
      <c r="B2678">
        <v>1</v>
      </c>
    </row>
    <row r="2679" spans="1:2" x14ac:dyDescent="0.35">
      <c r="A2679">
        <v>114</v>
      </c>
      <c r="B2679">
        <v>1</v>
      </c>
    </row>
    <row r="2680" spans="1:2" x14ac:dyDescent="0.35">
      <c r="A2680">
        <v>114</v>
      </c>
      <c r="B2680">
        <v>1</v>
      </c>
    </row>
    <row r="2681" spans="1:2" x14ac:dyDescent="0.35">
      <c r="A2681">
        <v>114</v>
      </c>
      <c r="B2681">
        <v>1</v>
      </c>
    </row>
    <row r="2682" spans="1:2" x14ac:dyDescent="0.35">
      <c r="A2682">
        <v>114</v>
      </c>
      <c r="B2682">
        <v>1</v>
      </c>
    </row>
    <row r="2683" spans="1:2" x14ac:dyDescent="0.35">
      <c r="A2683">
        <v>114</v>
      </c>
      <c r="B2683">
        <v>1</v>
      </c>
    </row>
    <row r="2684" spans="1:2" x14ac:dyDescent="0.35">
      <c r="A2684">
        <v>114</v>
      </c>
      <c r="B2684">
        <v>1</v>
      </c>
    </row>
    <row r="2685" spans="1:2" x14ac:dyDescent="0.35">
      <c r="A2685">
        <v>114</v>
      </c>
      <c r="B2685">
        <v>1</v>
      </c>
    </row>
    <row r="2686" spans="1:2" x14ac:dyDescent="0.35">
      <c r="A2686">
        <v>114</v>
      </c>
      <c r="B2686">
        <v>1</v>
      </c>
    </row>
    <row r="2687" spans="1:2" x14ac:dyDescent="0.35">
      <c r="A2687">
        <v>114</v>
      </c>
      <c r="B2687">
        <v>1</v>
      </c>
    </row>
    <row r="2688" spans="1:2" x14ac:dyDescent="0.35">
      <c r="A2688">
        <v>114</v>
      </c>
      <c r="B2688">
        <v>1</v>
      </c>
    </row>
    <row r="2689" spans="1:2" x14ac:dyDescent="0.35">
      <c r="A2689">
        <v>114</v>
      </c>
      <c r="B2689">
        <v>1</v>
      </c>
    </row>
    <row r="2690" spans="1:2" x14ac:dyDescent="0.35">
      <c r="A2690">
        <v>114</v>
      </c>
      <c r="B2690">
        <v>1</v>
      </c>
    </row>
    <row r="2691" spans="1:2" x14ac:dyDescent="0.35">
      <c r="A2691">
        <v>114</v>
      </c>
      <c r="B2691">
        <v>1</v>
      </c>
    </row>
    <row r="2692" spans="1:2" x14ac:dyDescent="0.35">
      <c r="A2692">
        <v>114</v>
      </c>
      <c r="B2692">
        <v>1</v>
      </c>
    </row>
    <row r="2693" spans="1:2" x14ac:dyDescent="0.35">
      <c r="A2693">
        <v>114</v>
      </c>
      <c r="B2693">
        <v>1</v>
      </c>
    </row>
    <row r="2694" spans="1:2" x14ac:dyDescent="0.35">
      <c r="A2694">
        <v>114</v>
      </c>
      <c r="B2694">
        <v>1</v>
      </c>
    </row>
    <row r="2695" spans="1:2" x14ac:dyDescent="0.35">
      <c r="A2695">
        <v>114</v>
      </c>
      <c r="B2695">
        <v>1</v>
      </c>
    </row>
    <row r="2696" spans="1:2" x14ac:dyDescent="0.35">
      <c r="A2696">
        <v>114</v>
      </c>
      <c r="B2696">
        <v>1</v>
      </c>
    </row>
    <row r="2697" spans="1:2" x14ac:dyDescent="0.35">
      <c r="A2697">
        <v>114</v>
      </c>
      <c r="B2697">
        <v>1</v>
      </c>
    </row>
    <row r="2698" spans="1:2" x14ac:dyDescent="0.35">
      <c r="A2698">
        <v>114</v>
      </c>
      <c r="B2698">
        <v>1</v>
      </c>
    </row>
    <row r="2699" spans="1:2" x14ac:dyDescent="0.35">
      <c r="A2699">
        <v>114</v>
      </c>
      <c r="B2699">
        <v>1</v>
      </c>
    </row>
    <row r="2700" spans="1:2" x14ac:dyDescent="0.35">
      <c r="A2700">
        <v>114</v>
      </c>
      <c r="B2700">
        <v>1</v>
      </c>
    </row>
    <row r="2701" spans="1:2" x14ac:dyDescent="0.35">
      <c r="A2701">
        <v>114</v>
      </c>
      <c r="B2701">
        <v>1</v>
      </c>
    </row>
    <row r="2702" spans="1:2" x14ac:dyDescent="0.35">
      <c r="A2702">
        <v>114</v>
      </c>
      <c r="B2702">
        <v>1</v>
      </c>
    </row>
    <row r="2703" spans="1:2" x14ac:dyDescent="0.35">
      <c r="A2703">
        <v>114</v>
      </c>
      <c r="B2703">
        <v>1</v>
      </c>
    </row>
    <row r="2704" spans="1:2" x14ac:dyDescent="0.35">
      <c r="A2704">
        <v>114</v>
      </c>
      <c r="B2704">
        <v>1</v>
      </c>
    </row>
    <row r="2705" spans="1:2" x14ac:dyDescent="0.35">
      <c r="A2705">
        <v>114</v>
      </c>
      <c r="B2705">
        <v>1</v>
      </c>
    </row>
    <row r="2706" spans="1:2" x14ac:dyDescent="0.35">
      <c r="A2706">
        <v>114</v>
      </c>
      <c r="B2706">
        <v>1</v>
      </c>
    </row>
    <row r="2707" spans="1:2" x14ac:dyDescent="0.35">
      <c r="A2707">
        <v>114</v>
      </c>
      <c r="B2707">
        <v>1</v>
      </c>
    </row>
    <row r="2708" spans="1:2" x14ac:dyDescent="0.35">
      <c r="A2708">
        <v>114</v>
      </c>
      <c r="B2708">
        <v>1</v>
      </c>
    </row>
    <row r="2709" spans="1:2" x14ac:dyDescent="0.35">
      <c r="A2709">
        <v>114</v>
      </c>
      <c r="B2709">
        <v>1</v>
      </c>
    </row>
    <row r="2710" spans="1:2" x14ac:dyDescent="0.35">
      <c r="A2710">
        <v>114</v>
      </c>
      <c r="B2710">
        <v>1</v>
      </c>
    </row>
    <row r="2711" spans="1:2" x14ac:dyDescent="0.35">
      <c r="A2711">
        <v>114</v>
      </c>
      <c r="B2711">
        <v>1</v>
      </c>
    </row>
    <row r="2712" spans="1:2" x14ac:dyDescent="0.35">
      <c r="A2712">
        <v>114</v>
      </c>
      <c r="B2712">
        <v>1</v>
      </c>
    </row>
    <row r="2713" spans="1:2" x14ac:dyDescent="0.35">
      <c r="A2713">
        <v>114</v>
      </c>
      <c r="B2713">
        <v>1</v>
      </c>
    </row>
    <row r="2714" spans="1:2" x14ac:dyDescent="0.35">
      <c r="A2714">
        <v>114</v>
      </c>
      <c r="B2714">
        <v>1</v>
      </c>
    </row>
    <row r="2715" spans="1:2" x14ac:dyDescent="0.35">
      <c r="A2715">
        <v>114</v>
      </c>
      <c r="B2715">
        <v>1</v>
      </c>
    </row>
    <row r="2716" spans="1:2" x14ac:dyDescent="0.35">
      <c r="A2716">
        <v>115</v>
      </c>
      <c r="B2716">
        <v>1</v>
      </c>
    </row>
    <row r="2717" spans="1:2" x14ac:dyDescent="0.35">
      <c r="A2717">
        <v>115</v>
      </c>
      <c r="B2717">
        <v>1</v>
      </c>
    </row>
    <row r="2718" spans="1:2" x14ac:dyDescent="0.35">
      <c r="A2718">
        <v>115</v>
      </c>
      <c r="B2718">
        <v>1</v>
      </c>
    </row>
    <row r="2719" spans="1:2" x14ac:dyDescent="0.35">
      <c r="A2719">
        <v>115</v>
      </c>
      <c r="B2719">
        <v>1</v>
      </c>
    </row>
    <row r="2720" spans="1:2" x14ac:dyDescent="0.35">
      <c r="A2720">
        <v>115</v>
      </c>
      <c r="B2720">
        <v>1</v>
      </c>
    </row>
    <row r="2721" spans="1:2" x14ac:dyDescent="0.35">
      <c r="A2721">
        <v>115</v>
      </c>
      <c r="B2721">
        <v>1</v>
      </c>
    </row>
    <row r="2722" spans="1:2" x14ac:dyDescent="0.35">
      <c r="A2722">
        <v>115</v>
      </c>
      <c r="B2722">
        <v>1</v>
      </c>
    </row>
    <row r="2723" spans="1:2" x14ac:dyDescent="0.35">
      <c r="A2723">
        <v>115</v>
      </c>
      <c r="B2723">
        <v>1</v>
      </c>
    </row>
    <row r="2724" spans="1:2" x14ac:dyDescent="0.35">
      <c r="A2724">
        <v>115</v>
      </c>
      <c r="B2724">
        <v>1</v>
      </c>
    </row>
    <row r="2725" spans="1:2" x14ac:dyDescent="0.35">
      <c r="A2725">
        <v>115</v>
      </c>
      <c r="B2725">
        <v>1</v>
      </c>
    </row>
    <row r="2726" spans="1:2" x14ac:dyDescent="0.35">
      <c r="A2726">
        <v>115</v>
      </c>
      <c r="B2726">
        <v>1</v>
      </c>
    </row>
    <row r="2727" spans="1:2" x14ac:dyDescent="0.35">
      <c r="A2727">
        <v>115</v>
      </c>
      <c r="B2727">
        <v>1</v>
      </c>
    </row>
    <row r="2728" spans="1:2" x14ac:dyDescent="0.35">
      <c r="A2728">
        <v>115</v>
      </c>
      <c r="B2728">
        <v>1</v>
      </c>
    </row>
    <row r="2729" spans="1:2" x14ac:dyDescent="0.35">
      <c r="A2729">
        <v>115</v>
      </c>
      <c r="B2729">
        <v>1</v>
      </c>
    </row>
    <row r="2730" spans="1:2" x14ac:dyDescent="0.35">
      <c r="A2730">
        <v>115</v>
      </c>
      <c r="B2730">
        <v>1</v>
      </c>
    </row>
    <row r="2731" spans="1:2" x14ac:dyDescent="0.35">
      <c r="A2731">
        <v>115</v>
      </c>
      <c r="B2731">
        <v>1</v>
      </c>
    </row>
    <row r="2732" spans="1:2" x14ac:dyDescent="0.35">
      <c r="A2732">
        <v>115</v>
      </c>
      <c r="B2732">
        <v>1</v>
      </c>
    </row>
    <row r="2733" spans="1:2" x14ac:dyDescent="0.35">
      <c r="A2733">
        <v>115</v>
      </c>
      <c r="B2733">
        <v>1</v>
      </c>
    </row>
    <row r="2734" spans="1:2" x14ac:dyDescent="0.35">
      <c r="A2734">
        <v>115</v>
      </c>
      <c r="B2734">
        <v>1</v>
      </c>
    </row>
    <row r="2735" spans="1:2" x14ac:dyDescent="0.35">
      <c r="A2735">
        <v>115</v>
      </c>
      <c r="B2735">
        <v>1</v>
      </c>
    </row>
    <row r="2736" spans="1:2" x14ac:dyDescent="0.35">
      <c r="A2736">
        <v>115</v>
      </c>
      <c r="B2736">
        <v>1</v>
      </c>
    </row>
    <row r="2737" spans="1:2" x14ac:dyDescent="0.35">
      <c r="A2737">
        <v>115</v>
      </c>
      <c r="B2737">
        <v>1</v>
      </c>
    </row>
    <row r="2738" spans="1:2" x14ac:dyDescent="0.35">
      <c r="A2738">
        <v>115</v>
      </c>
      <c r="B2738">
        <v>1</v>
      </c>
    </row>
    <row r="2739" spans="1:2" x14ac:dyDescent="0.35">
      <c r="A2739">
        <v>115</v>
      </c>
      <c r="B2739">
        <v>1</v>
      </c>
    </row>
    <row r="2740" spans="1:2" x14ac:dyDescent="0.35">
      <c r="A2740">
        <v>115</v>
      </c>
      <c r="B2740">
        <v>1</v>
      </c>
    </row>
    <row r="2741" spans="1:2" x14ac:dyDescent="0.35">
      <c r="A2741">
        <v>115</v>
      </c>
      <c r="B2741">
        <v>1</v>
      </c>
    </row>
    <row r="2742" spans="1:2" x14ac:dyDescent="0.35">
      <c r="A2742">
        <v>115</v>
      </c>
      <c r="B2742">
        <v>1</v>
      </c>
    </row>
    <row r="2743" spans="1:2" x14ac:dyDescent="0.35">
      <c r="A2743">
        <v>115</v>
      </c>
      <c r="B2743">
        <v>1</v>
      </c>
    </row>
    <row r="2744" spans="1:2" x14ac:dyDescent="0.35">
      <c r="A2744">
        <v>115</v>
      </c>
      <c r="B2744">
        <v>1</v>
      </c>
    </row>
    <row r="2745" spans="1:2" x14ac:dyDescent="0.35">
      <c r="A2745">
        <v>115</v>
      </c>
      <c r="B2745">
        <v>1</v>
      </c>
    </row>
    <row r="2746" spans="1:2" x14ac:dyDescent="0.35">
      <c r="A2746">
        <v>115</v>
      </c>
      <c r="B2746">
        <v>1</v>
      </c>
    </row>
    <row r="2747" spans="1:2" x14ac:dyDescent="0.35">
      <c r="A2747">
        <v>115</v>
      </c>
      <c r="B2747">
        <v>1</v>
      </c>
    </row>
    <row r="2748" spans="1:2" x14ac:dyDescent="0.35">
      <c r="A2748">
        <v>115</v>
      </c>
      <c r="B2748">
        <v>1</v>
      </c>
    </row>
    <row r="2749" spans="1:2" x14ac:dyDescent="0.35">
      <c r="A2749">
        <v>116</v>
      </c>
      <c r="B2749">
        <v>1</v>
      </c>
    </row>
    <row r="2750" spans="1:2" x14ac:dyDescent="0.35">
      <c r="A2750">
        <v>116</v>
      </c>
      <c r="B2750">
        <v>1</v>
      </c>
    </row>
    <row r="2751" spans="1:2" x14ac:dyDescent="0.35">
      <c r="A2751">
        <v>116</v>
      </c>
      <c r="B2751">
        <v>1</v>
      </c>
    </row>
    <row r="2752" spans="1:2" x14ac:dyDescent="0.35">
      <c r="A2752">
        <v>116</v>
      </c>
      <c r="B2752">
        <v>1</v>
      </c>
    </row>
    <row r="2753" spans="1:2" x14ac:dyDescent="0.35">
      <c r="A2753">
        <v>116</v>
      </c>
      <c r="B2753">
        <v>1</v>
      </c>
    </row>
    <row r="2754" spans="1:2" x14ac:dyDescent="0.35">
      <c r="A2754">
        <v>116</v>
      </c>
      <c r="B2754">
        <v>1</v>
      </c>
    </row>
    <row r="2755" spans="1:2" x14ac:dyDescent="0.35">
      <c r="A2755">
        <v>116</v>
      </c>
      <c r="B2755">
        <v>1</v>
      </c>
    </row>
    <row r="2756" spans="1:2" x14ac:dyDescent="0.35">
      <c r="A2756">
        <v>116</v>
      </c>
      <c r="B2756">
        <v>1</v>
      </c>
    </row>
    <row r="2757" spans="1:2" x14ac:dyDescent="0.35">
      <c r="A2757">
        <v>116</v>
      </c>
      <c r="B2757">
        <v>1</v>
      </c>
    </row>
    <row r="2758" spans="1:2" x14ac:dyDescent="0.35">
      <c r="A2758">
        <v>116</v>
      </c>
      <c r="B2758">
        <v>1</v>
      </c>
    </row>
    <row r="2759" spans="1:2" x14ac:dyDescent="0.35">
      <c r="A2759">
        <v>116</v>
      </c>
      <c r="B2759">
        <v>1</v>
      </c>
    </row>
    <row r="2760" spans="1:2" x14ac:dyDescent="0.35">
      <c r="A2760">
        <v>116</v>
      </c>
      <c r="B2760">
        <v>1</v>
      </c>
    </row>
    <row r="2761" spans="1:2" x14ac:dyDescent="0.35">
      <c r="A2761">
        <v>116</v>
      </c>
      <c r="B2761">
        <v>1</v>
      </c>
    </row>
    <row r="2762" spans="1:2" x14ac:dyDescent="0.35">
      <c r="A2762">
        <v>116</v>
      </c>
      <c r="B2762">
        <v>1</v>
      </c>
    </row>
    <row r="2763" spans="1:2" x14ac:dyDescent="0.35">
      <c r="A2763">
        <v>116</v>
      </c>
      <c r="B2763">
        <v>1</v>
      </c>
    </row>
    <row r="2764" spans="1:2" x14ac:dyDescent="0.35">
      <c r="A2764">
        <v>116</v>
      </c>
      <c r="B2764">
        <v>1</v>
      </c>
    </row>
    <row r="2765" spans="1:2" x14ac:dyDescent="0.35">
      <c r="A2765">
        <v>116</v>
      </c>
      <c r="B2765">
        <v>1</v>
      </c>
    </row>
    <row r="2766" spans="1:2" x14ac:dyDescent="0.35">
      <c r="A2766">
        <v>116</v>
      </c>
      <c r="B2766">
        <v>1</v>
      </c>
    </row>
    <row r="2767" spans="1:2" x14ac:dyDescent="0.35">
      <c r="A2767">
        <v>116</v>
      </c>
      <c r="B2767">
        <v>1</v>
      </c>
    </row>
    <row r="2768" spans="1:2" x14ac:dyDescent="0.35">
      <c r="A2768">
        <v>116</v>
      </c>
      <c r="B2768">
        <v>1</v>
      </c>
    </row>
    <row r="2769" spans="1:2" x14ac:dyDescent="0.35">
      <c r="A2769">
        <v>116</v>
      </c>
      <c r="B2769">
        <v>1</v>
      </c>
    </row>
    <row r="2770" spans="1:2" x14ac:dyDescent="0.35">
      <c r="A2770">
        <v>116</v>
      </c>
      <c r="B2770">
        <v>1</v>
      </c>
    </row>
    <row r="2771" spans="1:2" x14ac:dyDescent="0.35">
      <c r="A2771">
        <v>116</v>
      </c>
      <c r="B2771">
        <v>1</v>
      </c>
    </row>
    <row r="2772" spans="1:2" x14ac:dyDescent="0.35">
      <c r="A2772">
        <v>116</v>
      </c>
      <c r="B2772">
        <v>1</v>
      </c>
    </row>
    <row r="2773" spans="1:2" x14ac:dyDescent="0.35">
      <c r="A2773">
        <v>116</v>
      </c>
      <c r="B2773">
        <v>1</v>
      </c>
    </row>
    <row r="2774" spans="1:2" x14ac:dyDescent="0.35">
      <c r="A2774">
        <v>116</v>
      </c>
      <c r="B2774">
        <v>1</v>
      </c>
    </row>
    <row r="2775" spans="1:2" x14ac:dyDescent="0.35">
      <c r="A2775">
        <v>116</v>
      </c>
      <c r="B2775">
        <v>1</v>
      </c>
    </row>
    <row r="2776" spans="1:2" x14ac:dyDescent="0.35">
      <c r="A2776">
        <v>116</v>
      </c>
      <c r="B2776">
        <v>1</v>
      </c>
    </row>
    <row r="2777" spans="1:2" x14ac:dyDescent="0.35">
      <c r="A2777">
        <v>116</v>
      </c>
      <c r="B2777">
        <v>1</v>
      </c>
    </row>
    <row r="2778" spans="1:2" x14ac:dyDescent="0.35">
      <c r="A2778">
        <v>116</v>
      </c>
      <c r="B2778">
        <v>1</v>
      </c>
    </row>
    <row r="2779" spans="1:2" x14ac:dyDescent="0.35">
      <c r="A2779">
        <v>116</v>
      </c>
      <c r="B2779">
        <v>1</v>
      </c>
    </row>
    <row r="2780" spans="1:2" x14ac:dyDescent="0.35">
      <c r="A2780">
        <v>116</v>
      </c>
      <c r="B2780">
        <v>1</v>
      </c>
    </row>
    <row r="2781" spans="1:2" x14ac:dyDescent="0.35">
      <c r="A2781">
        <v>116</v>
      </c>
      <c r="B2781">
        <v>1</v>
      </c>
    </row>
    <row r="2782" spans="1:2" x14ac:dyDescent="0.35">
      <c r="A2782">
        <v>116</v>
      </c>
      <c r="B2782">
        <v>1</v>
      </c>
    </row>
    <row r="2783" spans="1:2" x14ac:dyDescent="0.35">
      <c r="A2783">
        <v>116</v>
      </c>
      <c r="B2783">
        <v>1</v>
      </c>
    </row>
    <row r="2784" spans="1:2" x14ac:dyDescent="0.35">
      <c r="A2784">
        <v>116</v>
      </c>
      <c r="B2784">
        <v>1</v>
      </c>
    </row>
    <row r="2785" spans="1:2" x14ac:dyDescent="0.35">
      <c r="A2785">
        <v>117</v>
      </c>
      <c r="B2785">
        <v>1</v>
      </c>
    </row>
    <row r="2786" spans="1:2" x14ac:dyDescent="0.35">
      <c r="A2786">
        <v>117</v>
      </c>
      <c r="B2786">
        <v>1</v>
      </c>
    </row>
    <row r="2787" spans="1:2" x14ac:dyDescent="0.35">
      <c r="A2787">
        <v>117</v>
      </c>
      <c r="B2787">
        <v>1</v>
      </c>
    </row>
    <row r="2788" spans="1:2" x14ac:dyDescent="0.35">
      <c r="A2788">
        <v>117</v>
      </c>
      <c r="B2788">
        <v>1</v>
      </c>
    </row>
    <row r="2789" spans="1:2" x14ac:dyDescent="0.35">
      <c r="A2789">
        <v>117</v>
      </c>
      <c r="B2789">
        <v>1</v>
      </c>
    </row>
    <row r="2790" spans="1:2" x14ac:dyDescent="0.35">
      <c r="A2790">
        <v>117</v>
      </c>
      <c r="B2790">
        <v>1</v>
      </c>
    </row>
    <row r="2791" spans="1:2" x14ac:dyDescent="0.35">
      <c r="A2791">
        <v>117</v>
      </c>
      <c r="B2791">
        <v>1</v>
      </c>
    </row>
    <row r="2792" spans="1:2" x14ac:dyDescent="0.35">
      <c r="A2792">
        <v>117</v>
      </c>
      <c r="B2792">
        <v>1</v>
      </c>
    </row>
    <row r="2793" spans="1:2" x14ac:dyDescent="0.35">
      <c r="A2793">
        <v>117</v>
      </c>
      <c r="B2793">
        <v>1</v>
      </c>
    </row>
    <row r="2794" spans="1:2" x14ac:dyDescent="0.35">
      <c r="A2794">
        <v>117</v>
      </c>
      <c r="B2794">
        <v>1</v>
      </c>
    </row>
    <row r="2795" spans="1:2" x14ac:dyDescent="0.35">
      <c r="A2795">
        <v>117</v>
      </c>
      <c r="B2795">
        <v>1</v>
      </c>
    </row>
    <row r="2796" spans="1:2" x14ac:dyDescent="0.35">
      <c r="A2796">
        <v>117</v>
      </c>
      <c r="B2796">
        <v>1</v>
      </c>
    </row>
    <row r="2797" spans="1:2" x14ac:dyDescent="0.35">
      <c r="A2797">
        <v>117</v>
      </c>
      <c r="B2797">
        <v>1</v>
      </c>
    </row>
    <row r="2798" spans="1:2" x14ac:dyDescent="0.35">
      <c r="A2798">
        <v>117</v>
      </c>
      <c r="B2798">
        <v>1</v>
      </c>
    </row>
    <row r="2799" spans="1:2" x14ac:dyDescent="0.35">
      <c r="A2799">
        <v>117</v>
      </c>
      <c r="B2799">
        <v>1</v>
      </c>
    </row>
    <row r="2800" spans="1:2" x14ac:dyDescent="0.35">
      <c r="A2800">
        <v>117</v>
      </c>
      <c r="B2800">
        <v>1</v>
      </c>
    </row>
    <row r="2801" spans="1:2" x14ac:dyDescent="0.35">
      <c r="A2801">
        <v>117</v>
      </c>
      <c r="B2801">
        <v>1</v>
      </c>
    </row>
    <row r="2802" spans="1:2" x14ac:dyDescent="0.35">
      <c r="A2802">
        <v>117</v>
      </c>
      <c r="B2802">
        <v>1</v>
      </c>
    </row>
    <row r="2803" spans="1:2" x14ac:dyDescent="0.35">
      <c r="A2803">
        <v>117</v>
      </c>
      <c r="B2803">
        <v>1</v>
      </c>
    </row>
    <row r="2804" spans="1:2" x14ac:dyDescent="0.35">
      <c r="A2804">
        <v>117</v>
      </c>
      <c r="B2804">
        <v>1</v>
      </c>
    </row>
    <row r="2805" spans="1:2" x14ac:dyDescent="0.35">
      <c r="A2805">
        <v>117</v>
      </c>
      <c r="B2805">
        <v>1</v>
      </c>
    </row>
    <row r="2806" spans="1:2" x14ac:dyDescent="0.35">
      <c r="A2806">
        <v>117</v>
      </c>
      <c r="B2806">
        <v>1</v>
      </c>
    </row>
    <row r="2807" spans="1:2" x14ac:dyDescent="0.35">
      <c r="A2807">
        <v>117</v>
      </c>
      <c r="B2807">
        <v>1</v>
      </c>
    </row>
    <row r="2808" spans="1:2" x14ac:dyDescent="0.35">
      <c r="A2808">
        <v>117</v>
      </c>
      <c r="B2808">
        <v>1</v>
      </c>
    </row>
    <row r="2809" spans="1:2" x14ac:dyDescent="0.35">
      <c r="A2809">
        <v>117</v>
      </c>
      <c r="B2809">
        <v>1</v>
      </c>
    </row>
    <row r="2810" spans="1:2" x14ac:dyDescent="0.35">
      <c r="A2810">
        <v>117</v>
      </c>
      <c r="B2810">
        <v>1</v>
      </c>
    </row>
    <row r="2811" spans="1:2" x14ac:dyDescent="0.35">
      <c r="A2811">
        <v>117</v>
      </c>
      <c r="B2811">
        <v>1</v>
      </c>
    </row>
    <row r="2812" spans="1:2" x14ac:dyDescent="0.35">
      <c r="A2812">
        <v>117</v>
      </c>
      <c r="B2812">
        <v>1</v>
      </c>
    </row>
    <row r="2813" spans="1:2" x14ac:dyDescent="0.35">
      <c r="A2813">
        <v>117</v>
      </c>
      <c r="B2813">
        <v>1</v>
      </c>
    </row>
    <row r="2814" spans="1:2" x14ac:dyDescent="0.35">
      <c r="A2814">
        <v>117</v>
      </c>
      <c r="B2814">
        <v>1</v>
      </c>
    </row>
    <row r="2815" spans="1:2" x14ac:dyDescent="0.35">
      <c r="A2815">
        <v>117</v>
      </c>
      <c r="B2815">
        <v>1</v>
      </c>
    </row>
    <row r="2816" spans="1:2" x14ac:dyDescent="0.35">
      <c r="A2816">
        <v>117</v>
      </c>
      <c r="B2816">
        <v>1</v>
      </c>
    </row>
    <row r="2817" spans="1:2" x14ac:dyDescent="0.35">
      <c r="A2817">
        <v>117</v>
      </c>
      <c r="B2817">
        <v>1</v>
      </c>
    </row>
    <row r="2818" spans="1:2" x14ac:dyDescent="0.35">
      <c r="A2818">
        <v>117</v>
      </c>
      <c r="B2818">
        <v>1</v>
      </c>
    </row>
    <row r="2819" spans="1:2" x14ac:dyDescent="0.35">
      <c r="A2819">
        <v>117</v>
      </c>
      <c r="B2819">
        <v>1</v>
      </c>
    </row>
    <row r="2820" spans="1:2" x14ac:dyDescent="0.35">
      <c r="A2820">
        <v>117</v>
      </c>
      <c r="B2820">
        <v>1</v>
      </c>
    </row>
    <row r="2821" spans="1:2" x14ac:dyDescent="0.35">
      <c r="A2821">
        <v>117</v>
      </c>
      <c r="B2821">
        <v>1</v>
      </c>
    </row>
    <row r="2822" spans="1:2" x14ac:dyDescent="0.35">
      <c r="A2822">
        <v>117</v>
      </c>
      <c r="B2822">
        <v>1</v>
      </c>
    </row>
    <row r="2823" spans="1:2" x14ac:dyDescent="0.35">
      <c r="A2823">
        <v>117</v>
      </c>
      <c r="B2823">
        <v>1</v>
      </c>
    </row>
    <row r="2824" spans="1:2" x14ac:dyDescent="0.35">
      <c r="A2824">
        <v>117</v>
      </c>
      <c r="B2824">
        <v>1</v>
      </c>
    </row>
    <row r="2825" spans="1:2" x14ac:dyDescent="0.35">
      <c r="A2825">
        <v>117</v>
      </c>
      <c r="B2825">
        <v>1</v>
      </c>
    </row>
    <row r="2826" spans="1:2" x14ac:dyDescent="0.35">
      <c r="A2826">
        <v>117</v>
      </c>
      <c r="B2826">
        <v>1</v>
      </c>
    </row>
    <row r="2827" spans="1:2" x14ac:dyDescent="0.35">
      <c r="A2827">
        <v>117</v>
      </c>
      <c r="B2827">
        <v>1</v>
      </c>
    </row>
    <row r="2828" spans="1:2" x14ac:dyDescent="0.35">
      <c r="A2828">
        <v>117</v>
      </c>
      <c r="B2828">
        <v>1</v>
      </c>
    </row>
    <row r="2829" spans="1:2" x14ac:dyDescent="0.35">
      <c r="A2829">
        <v>117</v>
      </c>
      <c r="B2829">
        <v>1</v>
      </c>
    </row>
    <row r="2830" spans="1:2" x14ac:dyDescent="0.35">
      <c r="A2830">
        <v>117</v>
      </c>
      <c r="B2830">
        <v>1</v>
      </c>
    </row>
    <row r="2831" spans="1:2" x14ac:dyDescent="0.35">
      <c r="A2831">
        <v>117</v>
      </c>
      <c r="B2831">
        <v>1</v>
      </c>
    </row>
    <row r="2832" spans="1:2" x14ac:dyDescent="0.35">
      <c r="A2832">
        <v>117</v>
      </c>
      <c r="B2832">
        <v>1</v>
      </c>
    </row>
    <row r="2833" spans="1:2" x14ac:dyDescent="0.35">
      <c r="A2833">
        <v>118</v>
      </c>
      <c r="B2833">
        <v>1</v>
      </c>
    </row>
    <row r="2834" spans="1:2" x14ac:dyDescent="0.35">
      <c r="A2834">
        <v>118</v>
      </c>
      <c r="B2834">
        <v>1</v>
      </c>
    </row>
    <row r="2835" spans="1:2" x14ac:dyDescent="0.35">
      <c r="A2835">
        <v>118</v>
      </c>
      <c r="B2835">
        <v>1</v>
      </c>
    </row>
    <row r="2836" spans="1:2" x14ac:dyDescent="0.35">
      <c r="A2836">
        <v>118</v>
      </c>
      <c r="B2836">
        <v>1</v>
      </c>
    </row>
    <row r="2837" spans="1:2" x14ac:dyDescent="0.35">
      <c r="A2837">
        <v>118</v>
      </c>
      <c r="B2837">
        <v>1</v>
      </c>
    </row>
    <row r="2838" spans="1:2" x14ac:dyDescent="0.35">
      <c r="A2838">
        <v>118</v>
      </c>
      <c r="B2838">
        <v>1</v>
      </c>
    </row>
    <row r="2839" spans="1:2" x14ac:dyDescent="0.35">
      <c r="A2839">
        <v>118</v>
      </c>
      <c r="B2839">
        <v>1</v>
      </c>
    </row>
    <row r="2840" spans="1:2" x14ac:dyDescent="0.35">
      <c r="A2840">
        <v>118</v>
      </c>
      <c r="B2840">
        <v>1</v>
      </c>
    </row>
    <row r="2841" spans="1:2" x14ac:dyDescent="0.35">
      <c r="A2841">
        <v>118</v>
      </c>
      <c r="B2841">
        <v>1</v>
      </c>
    </row>
    <row r="2842" spans="1:2" x14ac:dyDescent="0.35">
      <c r="A2842">
        <v>118</v>
      </c>
      <c r="B2842">
        <v>1</v>
      </c>
    </row>
    <row r="2843" spans="1:2" x14ac:dyDescent="0.35">
      <c r="A2843">
        <v>118</v>
      </c>
      <c r="B2843">
        <v>1</v>
      </c>
    </row>
    <row r="2844" spans="1:2" x14ac:dyDescent="0.35">
      <c r="A2844">
        <v>118</v>
      </c>
      <c r="B2844">
        <v>1</v>
      </c>
    </row>
    <row r="2845" spans="1:2" x14ac:dyDescent="0.35">
      <c r="A2845">
        <v>118</v>
      </c>
      <c r="B2845">
        <v>1</v>
      </c>
    </row>
    <row r="2846" spans="1:2" x14ac:dyDescent="0.35">
      <c r="A2846">
        <v>118</v>
      </c>
      <c r="B2846">
        <v>1</v>
      </c>
    </row>
    <row r="2847" spans="1:2" x14ac:dyDescent="0.35">
      <c r="A2847">
        <v>118</v>
      </c>
      <c r="B2847">
        <v>1</v>
      </c>
    </row>
    <row r="2848" spans="1:2" x14ac:dyDescent="0.35">
      <c r="A2848">
        <v>118</v>
      </c>
      <c r="B2848">
        <v>1</v>
      </c>
    </row>
    <row r="2849" spans="1:2" x14ac:dyDescent="0.35">
      <c r="A2849">
        <v>118</v>
      </c>
      <c r="B2849">
        <v>1</v>
      </c>
    </row>
    <row r="2850" spans="1:2" x14ac:dyDescent="0.35">
      <c r="A2850">
        <v>118</v>
      </c>
      <c r="B2850">
        <v>1</v>
      </c>
    </row>
    <row r="2851" spans="1:2" x14ac:dyDescent="0.35">
      <c r="A2851">
        <v>118</v>
      </c>
      <c r="B2851">
        <v>1</v>
      </c>
    </row>
    <row r="2852" spans="1:2" x14ac:dyDescent="0.35">
      <c r="A2852">
        <v>118</v>
      </c>
      <c r="B2852">
        <v>1</v>
      </c>
    </row>
    <row r="2853" spans="1:2" x14ac:dyDescent="0.35">
      <c r="A2853">
        <v>118</v>
      </c>
      <c r="B2853">
        <v>1</v>
      </c>
    </row>
    <row r="2854" spans="1:2" x14ac:dyDescent="0.35">
      <c r="A2854">
        <v>118</v>
      </c>
      <c r="B2854">
        <v>1</v>
      </c>
    </row>
    <row r="2855" spans="1:2" x14ac:dyDescent="0.35">
      <c r="A2855">
        <v>118</v>
      </c>
      <c r="B2855">
        <v>1</v>
      </c>
    </row>
    <row r="2856" spans="1:2" x14ac:dyDescent="0.35">
      <c r="A2856">
        <v>118</v>
      </c>
      <c r="B2856">
        <v>1</v>
      </c>
    </row>
    <row r="2857" spans="1:2" x14ac:dyDescent="0.35">
      <c r="A2857">
        <v>118</v>
      </c>
      <c r="B2857">
        <v>1</v>
      </c>
    </row>
    <row r="2858" spans="1:2" x14ac:dyDescent="0.35">
      <c r="A2858">
        <v>118</v>
      </c>
      <c r="B2858">
        <v>1</v>
      </c>
    </row>
    <row r="2859" spans="1:2" x14ac:dyDescent="0.35">
      <c r="A2859">
        <v>118</v>
      </c>
      <c r="B2859">
        <v>1</v>
      </c>
    </row>
    <row r="2860" spans="1:2" x14ac:dyDescent="0.35">
      <c r="A2860">
        <v>118</v>
      </c>
      <c r="B2860">
        <v>1</v>
      </c>
    </row>
    <row r="2861" spans="1:2" x14ac:dyDescent="0.35">
      <c r="A2861">
        <v>119</v>
      </c>
      <c r="B2861">
        <v>1</v>
      </c>
    </row>
    <row r="2862" spans="1:2" x14ac:dyDescent="0.35">
      <c r="A2862">
        <v>119</v>
      </c>
      <c r="B2862">
        <v>1</v>
      </c>
    </row>
    <row r="2863" spans="1:2" x14ac:dyDescent="0.35">
      <c r="A2863">
        <v>119</v>
      </c>
      <c r="B2863">
        <v>1</v>
      </c>
    </row>
    <row r="2864" spans="1:2" x14ac:dyDescent="0.35">
      <c r="A2864">
        <v>119</v>
      </c>
      <c r="B2864">
        <v>1</v>
      </c>
    </row>
    <row r="2865" spans="1:2" x14ac:dyDescent="0.35">
      <c r="A2865">
        <v>119</v>
      </c>
      <c r="B2865">
        <v>1</v>
      </c>
    </row>
    <row r="2866" spans="1:2" x14ac:dyDescent="0.35">
      <c r="A2866">
        <v>119</v>
      </c>
      <c r="B2866">
        <v>1</v>
      </c>
    </row>
    <row r="2867" spans="1:2" x14ac:dyDescent="0.35">
      <c r="A2867">
        <v>119</v>
      </c>
      <c r="B2867">
        <v>1</v>
      </c>
    </row>
    <row r="2868" spans="1:2" x14ac:dyDescent="0.35">
      <c r="A2868">
        <v>119</v>
      </c>
      <c r="B2868">
        <v>1</v>
      </c>
    </row>
    <row r="2869" spans="1:2" x14ac:dyDescent="0.35">
      <c r="A2869">
        <v>119</v>
      </c>
      <c r="B2869">
        <v>1</v>
      </c>
    </row>
    <row r="2870" spans="1:2" x14ac:dyDescent="0.35">
      <c r="A2870">
        <v>119</v>
      </c>
      <c r="B2870">
        <v>1</v>
      </c>
    </row>
    <row r="2871" spans="1:2" x14ac:dyDescent="0.35">
      <c r="A2871">
        <v>119</v>
      </c>
      <c r="B2871">
        <v>1</v>
      </c>
    </row>
    <row r="2872" spans="1:2" x14ac:dyDescent="0.35">
      <c r="A2872">
        <v>119</v>
      </c>
      <c r="B2872">
        <v>1</v>
      </c>
    </row>
    <row r="2873" spans="1:2" x14ac:dyDescent="0.35">
      <c r="A2873">
        <v>119</v>
      </c>
      <c r="B2873">
        <v>1</v>
      </c>
    </row>
    <row r="2874" spans="1:2" x14ac:dyDescent="0.35">
      <c r="A2874">
        <v>119</v>
      </c>
      <c r="B2874">
        <v>1</v>
      </c>
    </row>
    <row r="2875" spans="1:2" x14ac:dyDescent="0.35">
      <c r="A2875">
        <v>119</v>
      </c>
      <c r="B2875">
        <v>1</v>
      </c>
    </row>
    <row r="2876" spans="1:2" x14ac:dyDescent="0.35">
      <c r="A2876">
        <v>119</v>
      </c>
      <c r="B2876">
        <v>1</v>
      </c>
    </row>
    <row r="2877" spans="1:2" x14ac:dyDescent="0.35">
      <c r="A2877">
        <v>119</v>
      </c>
      <c r="B2877">
        <v>1</v>
      </c>
    </row>
    <row r="2878" spans="1:2" x14ac:dyDescent="0.35">
      <c r="A2878">
        <v>119</v>
      </c>
      <c r="B2878">
        <v>1</v>
      </c>
    </row>
    <row r="2879" spans="1:2" x14ac:dyDescent="0.35">
      <c r="A2879">
        <v>119</v>
      </c>
      <c r="B2879">
        <v>1</v>
      </c>
    </row>
    <row r="2880" spans="1:2" x14ac:dyDescent="0.35">
      <c r="A2880">
        <v>119</v>
      </c>
      <c r="B2880">
        <v>1</v>
      </c>
    </row>
    <row r="2881" spans="1:2" x14ac:dyDescent="0.35">
      <c r="A2881">
        <v>119</v>
      </c>
      <c r="B2881">
        <v>1</v>
      </c>
    </row>
    <row r="2882" spans="1:2" x14ac:dyDescent="0.35">
      <c r="A2882">
        <v>119</v>
      </c>
      <c r="B2882">
        <v>1</v>
      </c>
    </row>
    <row r="2883" spans="1:2" x14ac:dyDescent="0.35">
      <c r="A2883">
        <v>119</v>
      </c>
      <c r="B2883">
        <v>1</v>
      </c>
    </row>
    <row r="2884" spans="1:2" x14ac:dyDescent="0.35">
      <c r="A2884">
        <v>119</v>
      </c>
      <c r="B2884">
        <v>1</v>
      </c>
    </row>
    <row r="2885" spans="1:2" x14ac:dyDescent="0.35">
      <c r="A2885">
        <v>119</v>
      </c>
      <c r="B2885">
        <v>1</v>
      </c>
    </row>
    <row r="2886" spans="1:2" x14ac:dyDescent="0.35">
      <c r="A2886">
        <v>119</v>
      </c>
      <c r="B2886">
        <v>1</v>
      </c>
    </row>
    <row r="2887" spans="1:2" x14ac:dyDescent="0.35">
      <c r="A2887">
        <v>119</v>
      </c>
      <c r="B2887">
        <v>1</v>
      </c>
    </row>
    <row r="2888" spans="1:2" x14ac:dyDescent="0.35">
      <c r="A2888">
        <v>119</v>
      </c>
      <c r="B2888">
        <v>1</v>
      </c>
    </row>
    <row r="2889" spans="1:2" x14ac:dyDescent="0.35">
      <c r="A2889">
        <v>119</v>
      </c>
      <c r="B2889">
        <v>1</v>
      </c>
    </row>
    <row r="2890" spans="1:2" x14ac:dyDescent="0.35">
      <c r="A2890">
        <v>119</v>
      </c>
      <c r="B2890">
        <v>1</v>
      </c>
    </row>
    <row r="2891" spans="1:2" x14ac:dyDescent="0.35">
      <c r="A2891">
        <v>119</v>
      </c>
      <c r="B2891">
        <v>1</v>
      </c>
    </row>
    <row r="2892" spans="1:2" x14ac:dyDescent="0.35">
      <c r="A2892">
        <v>119</v>
      </c>
      <c r="B2892">
        <v>1</v>
      </c>
    </row>
    <row r="2893" spans="1:2" x14ac:dyDescent="0.35">
      <c r="A2893">
        <v>119</v>
      </c>
      <c r="B2893">
        <v>1</v>
      </c>
    </row>
    <row r="2894" spans="1:2" x14ac:dyDescent="0.35">
      <c r="A2894">
        <v>119</v>
      </c>
      <c r="B2894">
        <v>1</v>
      </c>
    </row>
    <row r="2895" spans="1:2" x14ac:dyDescent="0.35">
      <c r="A2895">
        <v>119</v>
      </c>
      <c r="B2895">
        <v>1</v>
      </c>
    </row>
    <row r="2896" spans="1:2" x14ac:dyDescent="0.35">
      <c r="A2896">
        <v>119</v>
      </c>
      <c r="B2896">
        <v>1</v>
      </c>
    </row>
    <row r="2897" spans="1:2" x14ac:dyDescent="0.35">
      <c r="A2897">
        <v>119</v>
      </c>
      <c r="B2897">
        <v>1</v>
      </c>
    </row>
    <row r="2898" spans="1:2" x14ac:dyDescent="0.35">
      <c r="A2898">
        <v>119</v>
      </c>
      <c r="B2898">
        <v>1</v>
      </c>
    </row>
    <row r="2899" spans="1:2" x14ac:dyDescent="0.35">
      <c r="A2899">
        <v>119</v>
      </c>
      <c r="B2899">
        <v>1</v>
      </c>
    </row>
    <row r="2900" spans="1:2" x14ac:dyDescent="0.35">
      <c r="A2900">
        <v>119</v>
      </c>
      <c r="B2900">
        <v>1</v>
      </c>
    </row>
    <row r="2901" spans="1:2" x14ac:dyDescent="0.35">
      <c r="A2901">
        <v>119</v>
      </c>
      <c r="B2901">
        <v>1</v>
      </c>
    </row>
    <row r="2902" spans="1:2" x14ac:dyDescent="0.35">
      <c r="A2902">
        <v>119</v>
      </c>
      <c r="B2902">
        <v>1</v>
      </c>
    </row>
    <row r="2903" spans="1:2" x14ac:dyDescent="0.35">
      <c r="A2903">
        <v>119</v>
      </c>
      <c r="B2903">
        <v>1</v>
      </c>
    </row>
    <row r="2904" spans="1:2" x14ac:dyDescent="0.35">
      <c r="A2904">
        <v>119</v>
      </c>
      <c r="B2904">
        <v>1</v>
      </c>
    </row>
    <row r="2905" spans="1:2" x14ac:dyDescent="0.35">
      <c r="A2905">
        <v>119</v>
      </c>
      <c r="B2905">
        <v>1</v>
      </c>
    </row>
    <row r="2906" spans="1:2" x14ac:dyDescent="0.35">
      <c r="A2906">
        <v>119</v>
      </c>
      <c r="B2906">
        <v>1</v>
      </c>
    </row>
    <row r="2907" spans="1:2" x14ac:dyDescent="0.35">
      <c r="A2907">
        <v>119</v>
      </c>
      <c r="B2907">
        <v>1</v>
      </c>
    </row>
    <row r="2908" spans="1:2" x14ac:dyDescent="0.35">
      <c r="A2908">
        <v>119</v>
      </c>
      <c r="B2908">
        <v>1</v>
      </c>
    </row>
    <row r="2909" spans="1:2" x14ac:dyDescent="0.35">
      <c r="A2909">
        <v>120</v>
      </c>
      <c r="B2909">
        <v>1</v>
      </c>
    </row>
    <row r="2910" spans="1:2" x14ac:dyDescent="0.35">
      <c r="A2910">
        <v>120</v>
      </c>
      <c r="B2910">
        <v>1</v>
      </c>
    </row>
    <row r="2911" spans="1:2" x14ac:dyDescent="0.35">
      <c r="A2911">
        <v>120</v>
      </c>
      <c r="B2911">
        <v>1</v>
      </c>
    </row>
    <row r="2912" spans="1:2" x14ac:dyDescent="0.35">
      <c r="A2912">
        <v>120</v>
      </c>
      <c r="B2912">
        <v>1</v>
      </c>
    </row>
    <row r="2913" spans="1:2" x14ac:dyDescent="0.35">
      <c r="A2913">
        <v>120</v>
      </c>
      <c r="B2913">
        <v>1</v>
      </c>
    </row>
    <row r="2914" spans="1:2" x14ac:dyDescent="0.35">
      <c r="A2914">
        <v>120</v>
      </c>
      <c r="B2914">
        <v>1</v>
      </c>
    </row>
    <row r="2915" spans="1:2" x14ac:dyDescent="0.35">
      <c r="A2915">
        <v>120</v>
      </c>
      <c r="B2915">
        <v>1</v>
      </c>
    </row>
    <row r="2916" spans="1:2" x14ac:dyDescent="0.35">
      <c r="A2916">
        <v>120</v>
      </c>
      <c r="B2916">
        <v>1</v>
      </c>
    </row>
    <row r="2917" spans="1:2" x14ac:dyDescent="0.35">
      <c r="A2917">
        <v>120</v>
      </c>
      <c r="B2917">
        <v>1</v>
      </c>
    </row>
    <row r="2918" spans="1:2" x14ac:dyDescent="0.35">
      <c r="A2918">
        <v>120</v>
      </c>
      <c r="B2918">
        <v>1</v>
      </c>
    </row>
    <row r="2919" spans="1:2" x14ac:dyDescent="0.35">
      <c r="A2919">
        <v>120</v>
      </c>
      <c r="B2919">
        <v>1</v>
      </c>
    </row>
    <row r="2920" spans="1:2" x14ac:dyDescent="0.35">
      <c r="A2920">
        <v>120</v>
      </c>
      <c r="B2920">
        <v>1</v>
      </c>
    </row>
    <row r="2921" spans="1:2" x14ac:dyDescent="0.35">
      <c r="A2921">
        <v>120</v>
      </c>
      <c r="B2921">
        <v>1</v>
      </c>
    </row>
    <row r="2922" spans="1:2" x14ac:dyDescent="0.35">
      <c r="A2922">
        <v>120</v>
      </c>
      <c r="B2922">
        <v>1</v>
      </c>
    </row>
    <row r="2923" spans="1:2" x14ac:dyDescent="0.35">
      <c r="A2923">
        <v>120</v>
      </c>
      <c r="B2923">
        <v>1</v>
      </c>
    </row>
    <row r="2924" spans="1:2" x14ac:dyDescent="0.35">
      <c r="A2924">
        <v>120</v>
      </c>
      <c r="B2924">
        <v>1</v>
      </c>
    </row>
    <row r="2925" spans="1:2" x14ac:dyDescent="0.35">
      <c r="A2925">
        <v>120</v>
      </c>
      <c r="B2925">
        <v>1</v>
      </c>
    </row>
    <row r="2926" spans="1:2" x14ac:dyDescent="0.35">
      <c r="A2926">
        <v>120</v>
      </c>
      <c r="B2926">
        <v>1</v>
      </c>
    </row>
    <row r="2927" spans="1:2" x14ac:dyDescent="0.35">
      <c r="A2927">
        <v>120</v>
      </c>
      <c r="B2927">
        <v>1</v>
      </c>
    </row>
    <row r="2928" spans="1:2" x14ac:dyDescent="0.35">
      <c r="A2928">
        <v>120</v>
      </c>
      <c r="B2928">
        <v>1</v>
      </c>
    </row>
    <row r="2929" spans="1:2" x14ac:dyDescent="0.35">
      <c r="A2929">
        <v>120</v>
      </c>
      <c r="B2929">
        <v>1</v>
      </c>
    </row>
    <row r="2930" spans="1:2" x14ac:dyDescent="0.35">
      <c r="A2930">
        <v>120</v>
      </c>
      <c r="B2930">
        <v>1</v>
      </c>
    </row>
    <row r="2931" spans="1:2" x14ac:dyDescent="0.35">
      <c r="A2931">
        <v>120</v>
      </c>
      <c r="B2931">
        <v>1</v>
      </c>
    </row>
    <row r="2932" spans="1:2" x14ac:dyDescent="0.35">
      <c r="A2932">
        <v>120</v>
      </c>
      <c r="B2932">
        <v>1</v>
      </c>
    </row>
    <row r="2933" spans="1:2" x14ac:dyDescent="0.35">
      <c r="A2933">
        <v>120</v>
      </c>
      <c r="B2933">
        <v>1</v>
      </c>
    </row>
    <row r="2934" spans="1:2" x14ac:dyDescent="0.35">
      <c r="A2934">
        <v>120</v>
      </c>
      <c r="B2934">
        <v>1</v>
      </c>
    </row>
    <row r="2935" spans="1:2" x14ac:dyDescent="0.35">
      <c r="A2935">
        <v>120</v>
      </c>
      <c r="B2935">
        <v>1</v>
      </c>
    </row>
    <row r="2936" spans="1:2" x14ac:dyDescent="0.35">
      <c r="A2936">
        <v>120</v>
      </c>
      <c r="B2936">
        <v>1</v>
      </c>
    </row>
    <row r="2937" spans="1:2" x14ac:dyDescent="0.35">
      <c r="A2937">
        <v>120</v>
      </c>
      <c r="B2937">
        <v>1</v>
      </c>
    </row>
    <row r="2938" spans="1:2" x14ac:dyDescent="0.35">
      <c r="A2938">
        <v>120</v>
      </c>
      <c r="B2938">
        <v>1</v>
      </c>
    </row>
    <row r="2939" spans="1:2" x14ac:dyDescent="0.35">
      <c r="A2939">
        <v>120</v>
      </c>
      <c r="B2939">
        <v>1</v>
      </c>
    </row>
    <row r="2940" spans="1:2" x14ac:dyDescent="0.35">
      <c r="A2940">
        <v>120</v>
      </c>
      <c r="B2940">
        <v>1</v>
      </c>
    </row>
    <row r="2941" spans="1:2" x14ac:dyDescent="0.35">
      <c r="A2941">
        <v>120</v>
      </c>
      <c r="B2941">
        <v>1</v>
      </c>
    </row>
    <row r="2942" spans="1:2" x14ac:dyDescent="0.35">
      <c r="A2942">
        <v>120</v>
      </c>
      <c r="B2942">
        <v>1</v>
      </c>
    </row>
    <row r="2943" spans="1:2" x14ac:dyDescent="0.35">
      <c r="A2943">
        <v>120</v>
      </c>
      <c r="B2943">
        <v>1</v>
      </c>
    </row>
    <row r="2944" spans="1:2" x14ac:dyDescent="0.35">
      <c r="A2944">
        <v>120</v>
      </c>
      <c r="B2944">
        <v>1</v>
      </c>
    </row>
    <row r="2945" spans="1:2" x14ac:dyDescent="0.35">
      <c r="A2945">
        <v>120</v>
      </c>
      <c r="B2945">
        <v>1</v>
      </c>
    </row>
    <row r="2946" spans="1:2" x14ac:dyDescent="0.35">
      <c r="A2946">
        <v>120</v>
      </c>
      <c r="B2946">
        <v>1</v>
      </c>
    </row>
    <row r="2947" spans="1:2" x14ac:dyDescent="0.35">
      <c r="A2947">
        <v>120</v>
      </c>
      <c r="B2947">
        <v>1</v>
      </c>
    </row>
    <row r="2948" spans="1:2" x14ac:dyDescent="0.35">
      <c r="A2948">
        <v>120</v>
      </c>
      <c r="B2948">
        <v>1</v>
      </c>
    </row>
    <row r="2949" spans="1:2" x14ac:dyDescent="0.35">
      <c r="A2949">
        <v>120</v>
      </c>
      <c r="B2949">
        <v>1</v>
      </c>
    </row>
    <row r="2950" spans="1:2" x14ac:dyDescent="0.35">
      <c r="A2950">
        <v>120</v>
      </c>
      <c r="B2950">
        <v>1</v>
      </c>
    </row>
    <row r="2951" spans="1:2" x14ac:dyDescent="0.35">
      <c r="A2951">
        <v>120</v>
      </c>
      <c r="B2951">
        <v>1</v>
      </c>
    </row>
    <row r="2952" spans="1:2" x14ac:dyDescent="0.35">
      <c r="A2952">
        <v>121</v>
      </c>
      <c r="B2952">
        <v>1</v>
      </c>
    </row>
    <row r="2953" spans="1:2" x14ac:dyDescent="0.35">
      <c r="A2953">
        <v>121</v>
      </c>
      <c r="B2953">
        <v>1</v>
      </c>
    </row>
    <row r="2954" spans="1:2" x14ac:dyDescent="0.35">
      <c r="A2954">
        <v>121</v>
      </c>
      <c r="B2954">
        <v>1</v>
      </c>
    </row>
    <row r="2955" spans="1:2" x14ac:dyDescent="0.35">
      <c r="A2955">
        <v>121</v>
      </c>
      <c r="B2955">
        <v>1</v>
      </c>
    </row>
    <row r="2956" spans="1:2" x14ac:dyDescent="0.35">
      <c r="A2956">
        <v>121</v>
      </c>
      <c r="B2956">
        <v>1</v>
      </c>
    </row>
    <row r="2957" spans="1:2" x14ac:dyDescent="0.35">
      <c r="A2957">
        <v>121</v>
      </c>
      <c r="B2957">
        <v>1</v>
      </c>
    </row>
    <row r="2958" spans="1:2" x14ac:dyDescent="0.35">
      <c r="A2958">
        <v>121</v>
      </c>
      <c r="B2958">
        <v>1</v>
      </c>
    </row>
    <row r="2959" spans="1:2" x14ac:dyDescent="0.35">
      <c r="A2959">
        <v>121</v>
      </c>
      <c r="B2959">
        <v>1</v>
      </c>
    </row>
    <row r="2960" spans="1:2" x14ac:dyDescent="0.35">
      <c r="A2960">
        <v>121</v>
      </c>
      <c r="B2960">
        <v>1</v>
      </c>
    </row>
    <row r="2961" spans="1:2" x14ac:dyDescent="0.35">
      <c r="A2961">
        <v>121</v>
      </c>
      <c r="B2961">
        <v>1</v>
      </c>
    </row>
    <row r="2962" spans="1:2" x14ac:dyDescent="0.35">
      <c r="A2962">
        <v>121</v>
      </c>
      <c r="B2962">
        <v>1</v>
      </c>
    </row>
    <row r="2963" spans="1:2" x14ac:dyDescent="0.35">
      <c r="A2963">
        <v>121</v>
      </c>
      <c r="B2963">
        <v>1</v>
      </c>
    </row>
    <row r="2964" spans="1:2" x14ac:dyDescent="0.35">
      <c r="A2964">
        <v>121</v>
      </c>
      <c r="B2964">
        <v>1</v>
      </c>
    </row>
    <row r="2965" spans="1:2" x14ac:dyDescent="0.35">
      <c r="A2965">
        <v>121</v>
      </c>
      <c r="B2965">
        <v>1</v>
      </c>
    </row>
    <row r="2966" spans="1:2" x14ac:dyDescent="0.35">
      <c r="A2966">
        <v>121</v>
      </c>
      <c r="B2966">
        <v>1</v>
      </c>
    </row>
    <row r="2967" spans="1:2" x14ac:dyDescent="0.35">
      <c r="A2967">
        <v>121</v>
      </c>
      <c r="B2967">
        <v>1</v>
      </c>
    </row>
    <row r="2968" spans="1:2" x14ac:dyDescent="0.35">
      <c r="A2968">
        <v>121</v>
      </c>
      <c r="B2968">
        <v>1</v>
      </c>
    </row>
    <row r="2969" spans="1:2" x14ac:dyDescent="0.35">
      <c r="A2969">
        <v>121</v>
      </c>
      <c r="B2969">
        <v>1</v>
      </c>
    </row>
    <row r="2970" spans="1:2" x14ac:dyDescent="0.35">
      <c r="A2970">
        <v>121</v>
      </c>
      <c r="B2970">
        <v>1</v>
      </c>
    </row>
    <row r="2971" spans="1:2" x14ac:dyDescent="0.35">
      <c r="A2971">
        <v>121</v>
      </c>
      <c r="B2971">
        <v>1</v>
      </c>
    </row>
    <row r="2972" spans="1:2" x14ac:dyDescent="0.35">
      <c r="A2972">
        <v>121</v>
      </c>
      <c r="B2972">
        <v>1</v>
      </c>
    </row>
    <row r="2973" spans="1:2" x14ac:dyDescent="0.35">
      <c r="A2973">
        <v>121</v>
      </c>
      <c r="B2973">
        <v>1</v>
      </c>
    </row>
    <row r="2974" spans="1:2" x14ac:dyDescent="0.35">
      <c r="A2974">
        <v>121</v>
      </c>
      <c r="B2974">
        <v>1</v>
      </c>
    </row>
    <row r="2975" spans="1:2" x14ac:dyDescent="0.35">
      <c r="A2975">
        <v>121</v>
      </c>
      <c r="B2975">
        <v>1</v>
      </c>
    </row>
    <row r="2976" spans="1:2" x14ac:dyDescent="0.35">
      <c r="A2976">
        <v>121</v>
      </c>
      <c r="B2976">
        <v>1</v>
      </c>
    </row>
    <row r="2977" spans="1:2" x14ac:dyDescent="0.35">
      <c r="A2977">
        <v>121</v>
      </c>
      <c r="B2977">
        <v>1</v>
      </c>
    </row>
    <row r="2978" spans="1:2" x14ac:dyDescent="0.35">
      <c r="A2978">
        <v>121</v>
      </c>
      <c r="B2978">
        <v>1</v>
      </c>
    </row>
    <row r="2979" spans="1:2" x14ac:dyDescent="0.35">
      <c r="A2979">
        <v>121</v>
      </c>
      <c r="B2979">
        <v>1</v>
      </c>
    </row>
    <row r="2980" spans="1:2" x14ac:dyDescent="0.35">
      <c r="A2980">
        <v>121</v>
      </c>
      <c r="B2980">
        <v>1</v>
      </c>
    </row>
    <row r="2981" spans="1:2" x14ac:dyDescent="0.35">
      <c r="A2981">
        <v>121</v>
      </c>
      <c r="B2981">
        <v>1</v>
      </c>
    </row>
    <row r="2982" spans="1:2" x14ac:dyDescent="0.35">
      <c r="A2982">
        <v>121</v>
      </c>
      <c r="B2982">
        <v>1</v>
      </c>
    </row>
    <row r="2983" spans="1:2" x14ac:dyDescent="0.35">
      <c r="A2983">
        <v>121</v>
      </c>
      <c r="B2983">
        <v>1</v>
      </c>
    </row>
    <row r="2984" spans="1:2" x14ac:dyDescent="0.35">
      <c r="A2984">
        <v>121</v>
      </c>
      <c r="B2984">
        <v>1</v>
      </c>
    </row>
    <row r="2985" spans="1:2" x14ac:dyDescent="0.35">
      <c r="A2985">
        <v>121</v>
      </c>
      <c r="B2985">
        <v>1</v>
      </c>
    </row>
    <row r="2986" spans="1:2" x14ac:dyDescent="0.35">
      <c r="A2986">
        <v>121</v>
      </c>
      <c r="B2986">
        <v>1</v>
      </c>
    </row>
    <row r="2987" spans="1:2" x14ac:dyDescent="0.35">
      <c r="A2987">
        <v>121</v>
      </c>
      <c r="B2987">
        <v>1</v>
      </c>
    </row>
    <row r="2988" spans="1:2" x14ac:dyDescent="0.35">
      <c r="A2988">
        <v>122</v>
      </c>
      <c r="B2988">
        <v>1</v>
      </c>
    </row>
    <row r="2989" spans="1:2" x14ac:dyDescent="0.35">
      <c r="A2989">
        <v>122</v>
      </c>
      <c r="B2989">
        <v>1</v>
      </c>
    </row>
    <row r="2990" spans="1:2" x14ac:dyDescent="0.35">
      <c r="A2990">
        <v>122</v>
      </c>
      <c r="B2990">
        <v>1</v>
      </c>
    </row>
    <row r="2991" spans="1:2" x14ac:dyDescent="0.35">
      <c r="A2991">
        <v>122</v>
      </c>
      <c r="B2991">
        <v>1</v>
      </c>
    </row>
    <row r="2992" spans="1:2" x14ac:dyDescent="0.35">
      <c r="A2992">
        <v>122</v>
      </c>
      <c r="B2992">
        <v>1</v>
      </c>
    </row>
    <row r="2993" spans="1:2" x14ac:dyDescent="0.35">
      <c r="A2993">
        <v>122</v>
      </c>
      <c r="B2993">
        <v>1</v>
      </c>
    </row>
    <row r="2994" spans="1:2" x14ac:dyDescent="0.35">
      <c r="A2994">
        <v>122</v>
      </c>
      <c r="B2994">
        <v>1</v>
      </c>
    </row>
    <row r="2995" spans="1:2" x14ac:dyDescent="0.35">
      <c r="A2995">
        <v>122</v>
      </c>
      <c r="B2995">
        <v>1</v>
      </c>
    </row>
    <row r="2996" spans="1:2" x14ac:dyDescent="0.35">
      <c r="A2996">
        <v>122</v>
      </c>
      <c r="B2996">
        <v>1</v>
      </c>
    </row>
    <row r="2997" spans="1:2" x14ac:dyDescent="0.35">
      <c r="A2997">
        <v>122</v>
      </c>
      <c r="B2997">
        <v>1</v>
      </c>
    </row>
    <row r="2998" spans="1:2" x14ac:dyDescent="0.35">
      <c r="A2998">
        <v>122</v>
      </c>
      <c r="B2998">
        <v>1</v>
      </c>
    </row>
    <row r="2999" spans="1:2" x14ac:dyDescent="0.35">
      <c r="A2999">
        <v>122</v>
      </c>
      <c r="B2999">
        <v>1</v>
      </c>
    </row>
    <row r="3000" spans="1:2" x14ac:dyDescent="0.35">
      <c r="A3000">
        <v>122</v>
      </c>
      <c r="B3000">
        <v>1</v>
      </c>
    </row>
    <row r="3001" spans="1:2" x14ac:dyDescent="0.35">
      <c r="A3001">
        <v>122</v>
      </c>
      <c r="B3001">
        <v>1</v>
      </c>
    </row>
    <row r="3002" spans="1:2" x14ac:dyDescent="0.35">
      <c r="A3002">
        <v>122</v>
      </c>
      <c r="B3002">
        <v>1</v>
      </c>
    </row>
    <row r="3003" spans="1:2" x14ac:dyDescent="0.35">
      <c r="A3003">
        <v>122</v>
      </c>
      <c r="B3003">
        <v>1</v>
      </c>
    </row>
    <row r="3004" spans="1:2" x14ac:dyDescent="0.35">
      <c r="A3004">
        <v>122</v>
      </c>
      <c r="B3004">
        <v>1</v>
      </c>
    </row>
    <row r="3005" spans="1:2" x14ac:dyDescent="0.35">
      <c r="A3005">
        <v>122</v>
      </c>
      <c r="B3005">
        <v>1</v>
      </c>
    </row>
    <row r="3006" spans="1:2" x14ac:dyDescent="0.35">
      <c r="A3006">
        <v>122</v>
      </c>
      <c r="B3006">
        <v>1</v>
      </c>
    </row>
    <row r="3007" spans="1:2" x14ac:dyDescent="0.35">
      <c r="A3007">
        <v>122</v>
      </c>
      <c r="B3007">
        <v>1</v>
      </c>
    </row>
    <row r="3008" spans="1:2" x14ac:dyDescent="0.35">
      <c r="A3008">
        <v>122</v>
      </c>
      <c r="B3008">
        <v>1</v>
      </c>
    </row>
    <row r="3009" spans="1:2" x14ac:dyDescent="0.35">
      <c r="A3009">
        <v>122</v>
      </c>
      <c r="B3009">
        <v>1</v>
      </c>
    </row>
    <row r="3010" spans="1:2" x14ac:dyDescent="0.35">
      <c r="A3010">
        <v>122</v>
      </c>
      <c r="B3010">
        <v>1</v>
      </c>
    </row>
    <row r="3011" spans="1:2" x14ac:dyDescent="0.35">
      <c r="A3011">
        <v>122</v>
      </c>
      <c r="B3011">
        <v>1</v>
      </c>
    </row>
    <row r="3012" spans="1:2" x14ac:dyDescent="0.35">
      <c r="A3012">
        <v>122</v>
      </c>
      <c r="B3012">
        <v>1</v>
      </c>
    </row>
    <row r="3013" spans="1:2" x14ac:dyDescent="0.35">
      <c r="A3013">
        <v>122</v>
      </c>
      <c r="B3013">
        <v>1</v>
      </c>
    </row>
    <row r="3014" spans="1:2" x14ac:dyDescent="0.35">
      <c r="A3014">
        <v>122</v>
      </c>
      <c r="B3014">
        <v>1</v>
      </c>
    </row>
    <row r="3015" spans="1:2" x14ac:dyDescent="0.35">
      <c r="A3015">
        <v>122</v>
      </c>
      <c r="B3015">
        <v>1</v>
      </c>
    </row>
    <row r="3016" spans="1:2" x14ac:dyDescent="0.35">
      <c r="A3016">
        <v>122</v>
      </c>
      <c r="B3016">
        <v>1</v>
      </c>
    </row>
    <row r="3017" spans="1:2" x14ac:dyDescent="0.35">
      <c r="A3017">
        <v>122</v>
      </c>
      <c r="B3017">
        <v>1</v>
      </c>
    </row>
    <row r="3018" spans="1:2" x14ac:dyDescent="0.35">
      <c r="A3018">
        <v>122</v>
      </c>
      <c r="B3018">
        <v>1</v>
      </c>
    </row>
    <row r="3019" spans="1:2" x14ac:dyDescent="0.35">
      <c r="A3019">
        <v>122</v>
      </c>
      <c r="B3019">
        <v>1</v>
      </c>
    </row>
    <row r="3020" spans="1:2" x14ac:dyDescent="0.35">
      <c r="A3020">
        <v>122</v>
      </c>
      <c r="B3020">
        <v>1</v>
      </c>
    </row>
    <row r="3021" spans="1:2" x14ac:dyDescent="0.35">
      <c r="A3021">
        <v>122</v>
      </c>
      <c r="B3021">
        <v>1</v>
      </c>
    </row>
    <row r="3022" spans="1:2" x14ac:dyDescent="0.35">
      <c r="A3022">
        <v>122</v>
      </c>
      <c r="B3022">
        <v>1</v>
      </c>
    </row>
    <row r="3023" spans="1:2" x14ac:dyDescent="0.35">
      <c r="A3023">
        <v>122</v>
      </c>
      <c r="B3023">
        <v>1</v>
      </c>
    </row>
    <row r="3024" spans="1:2" x14ac:dyDescent="0.35">
      <c r="A3024">
        <v>122</v>
      </c>
      <c r="B3024">
        <v>1</v>
      </c>
    </row>
    <row r="3025" spans="1:2" x14ac:dyDescent="0.35">
      <c r="A3025">
        <v>123</v>
      </c>
      <c r="B3025">
        <v>1</v>
      </c>
    </row>
    <row r="3026" spans="1:2" x14ac:dyDescent="0.35">
      <c r="A3026">
        <v>123</v>
      </c>
      <c r="B3026">
        <v>1</v>
      </c>
    </row>
    <row r="3027" spans="1:2" x14ac:dyDescent="0.35">
      <c r="A3027">
        <v>123</v>
      </c>
      <c r="B3027">
        <v>1</v>
      </c>
    </row>
    <row r="3028" spans="1:2" x14ac:dyDescent="0.35">
      <c r="A3028">
        <v>123</v>
      </c>
      <c r="B3028">
        <v>1</v>
      </c>
    </row>
    <row r="3029" spans="1:2" x14ac:dyDescent="0.35">
      <c r="A3029">
        <v>123</v>
      </c>
      <c r="B3029">
        <v>1</v>
      </c>
    </row>
    <row r="3030" spans="1:2" x14ac:dyDescent="0.35">
      <c r="A3030">
        <v>123</v>
      </c>
      <c r="B3030">
        <v>1</v>
      </c>
    </row>
    <row r="3031" spans="1:2" x14ac:dyDescent="0.35">
      <c r="A3031">
        <v>123</v>
      </c>
      <c r="B3031">
        <v>1</v>
      </c>
    </row>
    <row r="3032" spans="1:2" x14ac:dyDescent="0.35">
      <c r="A3032">
        <v>123</v>
      </c>
      <c r="B3032">
        <v>1</v>
      </c>
    </row>
    <row r="3033" spans="1:2" x14ac:dyDescent="0.35">
      <c r="A3033">
        <v>123</v>
      </c>
      <c r="B3033">
        <v>1</v>
      </c>
    </row>
    <row r="3034" spans="1:2" x14ac:dyDescent="0.35">
      <c r="A3034">
        <v>123</v>
      </c>
      <c r="B3034">
        <v>1</v>
      </c>
    </row>
    <row r="3035" spans="1:2" x14ac:dyDescent="0.35">
      <c r="A3035">
        <v>123</v>
      </c>
      <c r="B3035">
        <v>1</v>
      </c>
    </row>
    <row r="3036" spans="1:2" x14ac:dyDescent="0.35">
      <c r="A3036">
        <v>123</v>
      </c>
      <c r="B3036">
        <v>1</v>
      </c>
    </row>
    <row r="3037" spans="1:2" x14ac:dyDescent="0.35">
      <c r="A3037">
        <v>123</v>
      </c>
      <c r="B3037">
        <v>1</v>
      </c>
    </row>
    <row r="3038" spans="1:2" x14ac:dyDescent="0.35">
      <c r="A3038">
        <v>123</v>
      </c>
      <c r="B3038">
        <v>1</v>
      </c>
    </row>
    <row r="3039" spans="1:2" x14ac:dyDescent="0.35">
      <c r="A3039">
        <v>123</v>
      </c>
      <c r="B3039">
        <v>1</v>
      </c>
    </row>
    <row r="3040" spans="1:2" x14ac:dyDescent="0.35">
      <c r="A3040">
        <v>123</v>
      </c>
      <c r="B3040">
        <v>1</v>
      </c>
    </row>
    <row r="3041" spans="1:2" x14ac:dyDescent="0.35">
      <c r="A3041">
        <v>123</v>
      </c>
      <c r="B3041">
        <v>1</v>
      </c>
    </row>
    <row r="3042" spans="1:2" x14ac:dyDescent="0.35">
      <c r="A3042">
        <v>123</v>
      </c>
      <c r="B3042">
        <v>1</v>
      </c>
    </row>
    <row r="3043" spans="1:2" x14ac:dyDescent="0.35">
      <c r="A3043">
        <v>123</v>
      </c>
      <c r="B3043">
        <v>1</v>
      </c>
    </row>
    <row r="3044" spans="1:2" x14ac:dyDescent="0.35">
      <c r="A3044">
        <v>123</v>
      </c>
      <c r="B3044">
        <v>1</v>
      </c>
    </row>
    <row r="3045" spans="1:2" x14ac:dyDescent="0.35">
      <c r="A3045">
        <v>123</v>
      </c>
      <c r="B3045">
        <v>1</v>
      </c>
    </row>
    <row r="3046" spans="1:2" x14ac:dyDescent="0.35">
      <c r="A3046">
        <v>123</v>
      </c>
      <c r="B3046">
        <v>1</v>
      </c>
    </row>
    <row r="3047" spans="1:2" x14ac:dyDescent="0.35">
      <c r="A3047">
        <v>123</v>
      </c>
      <c r="B3047">
        <v>1</v>
      </c>
    </row>
    <row r="3048" spans="1:2" x14ac:dyDescent="0.35">
      <c r="A3048">
        <v>123</v>
      </c>
      <c r="B3048">
        <v>1</v>
      </c>
    </row>
    <row r="3049" spans="1:2" x14ac:dyDescent="0.35">
      <c r="A3049">
        <v>123</v>
      </c>
      <c r="B3049">
        <v>1</v>
      </c>
    </row>
    <row r="3050" spans="1:2" x14ac:dyDescent="0.35">
      <c r="A3050">
        <v>123</v>
      </c>
      <c r="B3050">
        <v>1</v>
      </c>
    </row>
    <row r="3051" spans="1:2" x14ac:dyDescent="0.35">
      <c r="A3051">
        <v>123</v>
      </c>
      <c r="B3051">
        <v>1</v>
      </c>
    </row>
    <row r="3052" spans="1:2" x14ac:dyDescent="0.35">
      <c r="A3052">
        <v>123</v>
      </c>
      <c r="B3052">
        <v>1</v>
      </c>
    </row>
    <row r="3053" spans="1:2" x14ac:dyDescent="0.35">
      <c r="A3053">
        <v>123</v>
      </c>
      <c r="B3053">
        <v>1</v>
      </c>
    </row>
    <row r="3054" spans="1:2" x14ac:dyDescent="0.35">
      <c r="A3054">
        <v>123</v>
      </c>
      <c r="B3054">
        <v>1</v>
      </c>
    </row>
    <row r="3055" spans="1:2" x14ac:dyDescent="0.35">
      <c r="A3055">
        <v>124</v>
      </c>
      <c r="B3055">
        <v>1</v>
      </c>
    </row>
    <row r="3056" spans="1:2" x14ac:dyDescent="0.35">
      <c r="A3056">
        <v>124</v>
      </c>
      <c r="B3056">
        <v>1</v>
      </c>
    </row>
    <row r="3057" spans="1:2" x14ac:dyDescent="0.35">
      <c r="A3057">
        <v>124</v>
      </c>
      <c r="B3057">
        <v>1</v>
      </c>
    </row>
    <row r="3058" spans="1:2" x14ac:dyDescent="0.35">
      <c r="A3058">
        <v>124</v>
      </c>
      <c r="B3058">
        <v>1</v>
      </c>
    </row>
    <row r="3059" spans="1:2" x14ac:dyDescent="0.35">
      <c r="A3059">
        <v>124</v>
      </c>
      <c r="B3059">
        <v>1</v>
      </c>
    </row>
    <row r="3060" spans="1:2" x14ac:dyDescent="0.35">
      <c r="A3060">
        <v>124</v>
      </c>
      <c r="B3060">
        <v>1</v>
      </c>
    </row>
    <row r="3061" spans="1:2" x14ac:dyDescent="0.35">
      <c r="A3061">
        <v>124</v>
      </c>
      <c r="B3061">
        <v>1</v>
      </c>
    </row>
    <row r="3062" spans="1:2" x14ac:dyDescent="0.35">
      <c r="A3062">
        <v>124</v>
      </c>
      <c r="B3062">
        <v>1</v>
      </c>
    </row>
    <row r="3063" spans="1:2" x14ac:dyDescent="0.35">
      <c r="A3063">
        <v>124</v>
      </c>
      <c r="B3063">
        <v>1</v>
      </c>
    </row>
    <row r="3064" spans="1:2" x14ac:dyDescent="0.35">
      <c r="A3064">
        <v>124</v>
      </c>
      <c r="B3064">
        <v>1</v>
      </c>
    </row>
    <row r="3065" spans="1:2" x14ac:dyDescent="0.35">
      <c r="A3065">
        <v>124</v>
      </c>
      <c r="B3065">
        <v>1</v>
      </c>
    </row>
    <row r="3066" spans="1:2" x14ac:dyDescent="0.35">
      <c r="A3066">
        <v>124</v>
      </c>
      <c r="B3066">
        <v>1</v>
      </c>
    </row>
    <row r="3067" spans="1:2" x14ac:dyDescent="0.35">
      <c r="A3067">
        <v>124</v>
      </c>
      <c r="B3067">
        <v>1</v>
      </c>
    </row>
    <row r="3068" spans="1:2" x14ac:dyDescent="0.35">
      <c r="A3068">
        <v>124</v>
      </c>
      <c r="B3068">
        <v>1</v>
      </c>
    </row>
    <row r="3069" spans="1:2" x14ac:dyDescent="0.35">
      <c r="A3069">
        <v>124</v>
      </c>
      <c r="B3069">
        <v>1</v>
      </c>
    </row>
    <row r="3070" spans="1:2" x14ac:dyDescent="0.35">
      <c r="A3070">
        <v>124</v>
      </c>
      <c r="B3070">
        <v>1</v>
      </c>
    </row>
    <row r="3071" spans="1:2" x14ac:dyDescent="0.35">
      <c r="A3071">
        <v>124</v>
      </c>
      <c r="B3071">
        <v>1</v>
      </c>
    </row>
    <row r="3072" spans="1:2" x14ac:dyDescent="0.35">
      <c r="A3072">
        <v>124</v>
      </c>
      <c r="B3072">
        <v>1</v>
      </c>
    </row>
    <row r="3073" spans="1:2" x14ac:dyDescent="0.35">
      <c r="A3073">
        <v>124</v>
      </c>
      <c r="B3073">
        <v>1</v>
      </c>
    </row>
    <row r="3074" spans="1:2" x14ac:dyDescent="0.35">
      <c r="A3074">
        <v>124</v>
      </c>
      <c r="B3074">
        <v>1</v>
      </c>
    </row>
    <row r="3075" spans="1:2" x14ac:dyDescent="0.35">
      <c r="A3075">
        <v>124</v>
      </c>
      <c r="B3075">
        <v>1</v>
      </c>
    </row>
    <row r="3076" spans="1:2" x14ac:dyDescent="0.35">
      <c r="A3076">
        <v>124</v>
      </c>
      <c r="B3076">
        <v>1</v>
      </c>
    </row>
    <row r="3077" spans="1:2" x14ac:dyDescent="0.35">
      <c r="A3077">
        <v>124</v>
      </c>
      <c r="B3077">
        <v>1</v>
      </c>
    </row>
    <row r="3078" spans="1:2" x14ac:dyDescent="0.35">
      <c r="A3078">
        <v>124</v>
      </c>
      <c r="B3078">
        <v>1</v>
      </c>
    </row>
    <row r="3079" spans="1:2" x14ac:dyDescent="0.35">
      <c r="A3079">
        <v>124</v>
      </c>
      <c r="B3079">
        <v>1</v>
      </c>
    </row>
    <row r="3080" spans="1:2" x14ac:dyDescent="0.35">
      <c r="A3080">
        <v>124</v>
      </c>
      <c r="B3080">
        <v>1</v>
      </c>
    </row>
    <row r="3081" spans="1:2" x14ac:dyDescent="0.35">
      <c r="A3081">
        <v>124</v>
      </c>
      <c r="B3081">
        <v>1</v>
      </c>
    </row>
    <row r="3082" spans="1:2" x14ac:dyDescent="0.35">
      <c r="A3082">
        <v>124</v>
      </c>
      <c r="B3082">
        <v>1</v>
      </c>
    </row>
    <row r="3083" spans="1:2" x14ac:dyDescent="0.35">
      <c r="A3083">
        <v>124</v>
      </c>
      <c r="B3083">
        <v>1</v>
      </c>
    </row>
    <row r="3084" spans="1:2" x14ac:dyDescent="0.35">
      <c r="A3084">
        <v>124</v>
      </c>
      <c r="B3084">
        <v>1</v>
      </c>
    </row>
    <row r="3085" spans="1:2" x14ac:dyDescent="0.35">
      <c r="A3085">
        <v>124</v>
      </c>
      <c r="B3085">
        <v>1</v>
      </c>
    </row>
    <row r="3086" spans="1:2" x14ac:dyDescent="0.35">
      <c r="A3086">
        <v>124</v>
      </c>
      <c r="B3086">
        <v>1</v>
      </c>
    </row>
    <row r="3087" spans="1:2" x14ac:dyDescent="0.35">
      <c r="A3087">
        <v>124</v>
      </c>
      <c r="B3087">
        <v>1</v>
      </c>
    </row>
    <row r="3088" spans="1:2" x14ac:dyDescent="0.35">
      <c r="A3088">
        <v>124</v>
      </c>
      <c r="B3088">
        <v>1</v>
      </c>
    </row>
    <row r="3089" spans="1:2" x14ac:dyDescent="0.35">
      <c r="A3089">
        <v>124</v>
      </c>
      <c r="B3089">
        <v>1</v>
      </c>
    </row>
    <row r="3090" spans="1:2" x14ac:dyDescent="0.35">
      <c r="A3090">
        <v>124</v>
      </c>
      <c r="B3090">
        <v>1</v>
      </c>
    </row>
    <row r="3091" spans="1:2" x14ac:dyDescent="0.35">
      <c r="A3091">
        <v>124</v>
      </c>
      <c r="B3091">
        <v>1</v>
      </c>
    </row>
    <row r="3092" spans="1:2" x14ac:dyDescent="0.35">
      <c r="A3092">
        <v>124</v>
      </c>
      <c r="B3092">
        <v>1</v>
      </c>
    </row>
    <row r="3093" spans="1:2" x14ac:dyDescent="0.35">
      <c r="A3093">
        <v>124</v>
      </c>
      <c r="B3093">
        <v>1</v>
      </c>
    </row>
    <row r="3094" spans="1:2" x14ac:dyDescent="0.35">
      <c r="A3094">
        <v>125</v>
      </c>
      <c r="B3094">
        <v>1</v>
      </c>
    </row>
    <row r="3095" spans="1:2" x14ac:dyDescent="0.35">
      <c r="A3095">
        <v>125</v>
      </c>
      <c r="B3095">
        <v>1</v>
      </c>
    </row>
    <row r="3096" spans="1:2" x14ac:dyDescent="0.35">
      <c r="A3096">
        <v>125</v>
      </c>
      <c r="B3096">
        <v>1</v>
      </c>
    </row>
    <row r="3097" spans="1:2" x14ac:dyDescent="0.35">
      <c r="A3097">
        <v>125</v>
      </c>
      <c r="B3097">
        <v>1</v>
      </c>
    </row>
    <row r="3098" spans="1:2" x14ac:dyDescent="0.35">
      <c r="A3098">
        <v>125</v>
      </c>
      <c r="B3098">
        <v>1</v>
      </c>
    </row>
    <row r="3099" spans="1:2" x14ac:dyDescent="0.35">
      <c r="A3099">
        <v>125</v>
      </c>
      <c r="B3099">
        <v>1</v>
      </c>
    </row>
    <row r="3100" spans="1:2" x14ac:dyDescent="0.35">
      <c r="A3100">
        <v>125</v>
      </c>
      <c r="B3100">
        <v>1</v>
      </c>
    </row>
    <row r="3101" spans="1:2" x14ac:dyDescent="0.35">
      <c r="A3101">
        <v>125</v>
      </c>
      <c r="B3101">
        <v>1</v>
      </c>
    </row>
    <row r="3102" spans="1:2" x14ac:dyDescent="0.35">
      <c r="A3102">
        <v>125</v>
      </c>
      <c r="B3102">
        <v>1</v>
      </c>
    </row>
    <row r="3103" spans="1:2" x14ac:dyDescent="0.35">
      <c r="A3103">
        <v>125</v>
      </c>
      <c r="B3103">
        <v>1</v>
      </c>
    </row>
    <row r="3104" spans="1:2" x14ac:dyDescent="0.35">
      <c r="A3104">
        <v>125</v>
      </c>
      <c r="B3104">
        <v>1</v>
      </c>
    </row>
    <row r="3105" spans="1:2" x14ac:dyDescent="0.35">
      <c r="A3105">
        <v>125</v>
      </c>
      <c r="B3105">
        <v>1</v>
      </c>
    </row>
    <row r="3106" spans="1:2" x14ac:dyDescent="0.35">
      <c r="A3106">
        <v>125</v>
      </c>
      <c r="B3106">
        <v>1</v>
      </c>
    </row>
    <row r="3107" spans="1:2" x14ac:dyDescent="0.35">
      <c r="A3107">
        <v>125</v>
      </c>
      <c r="B3107">
        <v>1</v>
      </c>
    </row>
    <row r="3108" spans="1:2" x14ac:dyDescent="0.35">
      <c r="A3108">
        <v>125</v>
      </c>
      <c r="B3108">
        <v>1</v>
      </c>
    </row>
    <row r="3109" spans="1:2" x14ac:dyDescent="0.35">
      <c r="A3109">
        <v>125</v>
      </c>
      <c r="B3109">
        <v>1</v>
      </c>
    </row>
    <row r="3110" spans="1:2" x14ac:dyDescent="0.35">
      <c r="A3110">
        <v>125</v>
      </c>
      <c r="B3110">
        <v>1</v>
      </c>
    </row>
    <row r="3111" spans="1:2" x14ac:dyDescent="0.35">
      <c r="A3111">
        <v>125</v>
      </c>
      <c r="B3111">
        <v>1</v>
      </c>
    </row>
    <row r="3112" spans="1:2" x14ac:dyDescent="0.35">
      <c r="A3112">
        <v>125</v>
      </c>
      <c r="B3112">
        <v>1</v>
      </c>
    </row>
    <row r="3113" spans="1:2" x14ac:dyDescent="0.35">
      <c r="A3113">
        <v>125</v>
      </c>
      <c r="B3113">
        <v>1</v>
      </c>
    </row>
    <row r="3114" spans="1:2" x14ac:dyDescent="0.35">
      <c r="A3114">
        <v>125</v>
      </c>
      <c r="B3114">
        <v>1</v>
      </c>
    </row>
    <row r="3115" spans="1:2" x14ac:dyDescent="0.35">
      <c r="A3115">
        <v>125</v>
      </c>
      <c r="B3115">
        <v>1</v>
      </c>
    </row>
    <row r="3116" spans="1:2" x14ac:dyDescent="0.35">
      <c r="A3116">
        <v>125</v>
      </c>
      <c r="B3116">
        <v>1</v>
      </c>
    </row>
    <row r="3117" spans="1:2" x14ac:dyDescent="0.35">
      <c r="A3117">
        <v>125</v>
      </c>
      <c r="B3117">
        <v>1</v>
      </c>
    </row>
    <row r="3118" spans="1:2" x14ac:dyDescent="0.35">
      <c r="A3118">
        <v>125</v>
      </c>
      <c r="B3118">
        <v>1</v>
      </c>
    </row>
    <row r="3119" spans="1:2" x14ac:dyDescent="0.35">
      <c r="A3119">
        <v>125</v>
      </c>
      <c r="B3119">
        <v>1</v>
      </c>
    </row>
    <row r="3120" spans="1:2" x14ac:dyDescent="0.35">
      <c r="A3120">
        <v>125</v>
      </c>
      <c r="B3120">
        <v>1</v>
      </c>
    </row>
    <row r="3121" spans="1:2" x14ac:dyDescent="0.35">
      <c r="A3121">
        <v>125</v>
      </c>
      <c r="B3121">
        <v>1</v>
      </c>
    </row>
    <row r="3122" spans="1:2" x14ac:dyDescent="0.35">
      <c r="A3122">
        <v>125</v>
      </c>
      <c r="B3122">
        <v>1</v>
      </c>
    </row>
    <row r="3123" spans="1:2" x14ac:dyDescent="0.35">
      <c r="A3123">
        <v>125</v>
      </c>
      <c r="B3123">
        <v>1</v>
      </c>
    </row>
    <row r="3124" spans="1:2" x14ac:dyDescent="0.35">
      <c r="A3124">
        <v>125</v>
      </c>
      <c r="B3124">
        <v>1</v>
      </c>
    </row>
    <row r="3125" spans="1:2" x14ac:dyDescent="0.35">
      <c r="A3125">
        <v>125</v>
      </c>
      <c r="B3125">
        <v>1</v>
      </c>
    </row>
    <row r="3126" spans="1:2" x14ac:dyDescent="0.35">
      <c r="A3126">
        <v>126</v>
      </c>
      <c r="B3126">
        <v>1</v>
      </c>
    </row>
    <row r="3127" spans="1:2" x14ac:dyDescent="0.35">
      <c r="A3127">
        <v>126</v>
      </c>
      <c r="B3127">
        <v>1</v>
      </c>
    </row>
    <row r="3128" spans="1:2" x14ac:dyDescent="0.35">
      <c r="A3128">
        <v>126</v>
      </c>
      <c r="B3128">
        <v>1</v>
      </c>
    </row>
    <row r="3129" spans="1:2" x14ac:dyDescent="0.35">
      <c r="A3129">
        <v>126</v>
      </c>
      <c r="B3129">
        <v>1</v>
      </c>
    </row>
    <row r="3130" spans="1:2" x14ac:dyDescent="0.35">
      <c r="A3130">
        <v>126</v>
      </c>
      <c r="B3130">
        <v>1</v>
      </c>
    </row>
    <row r="3131" spans="1:2" x14ac:dyDescent="0.35">
      <c r="A3131">
        <v>126</v>
      </c>
      <c r="B3131">
        <v>1</v>
      </c>
    </row>
    <row r="3132" spans="1:2" x14ac:dyDescent="0.35">
      <c r="A3132">
        <v>126</v>
      </c>
      <c r="B3132">
        <v>1</v>
      </c>
    </row>
    <row r="3133" spans="1:2" x14ac:dyDescent="0.35">
      <c r="A3133">
        <v>126</v>
      </c>
      <c r="B3133">
        <v>1</v>
      </c>
    </row>
    <row r="3134" spans="1:2" x14ac:dyDescent="0.35">
      <c r="A3134">
        <v>126</v>
      </c>
      <c r="B3134">
        <v>1</v>
      </c>
    </row>
    <row r="3135" spans="1:2" x14ac:dyDescent="0.35">
      <c r="A3135">
        <v>126</v>
      </c>
      <c r="B3135">
        <v>1</v>
      </c>
    </row>
    <row r="3136" spans="1:2" x14ac:dyDescent="0.35">
      <c r="A3136">
        <v>126</v>
      </c>
      <c r="B3136">
        <v>1</v>
      </c>
    </row>
    <row r="3137" spans="1:2" x14ac:dyDescent="0.35">
      <c r="A3137">
        <v>126</v>
      </c>
      <c r="B3137">
        <v>1</v>
      </c>
    </row>
    <row r="3138" spans="1:2" x14ac:dyDescent="0.35">
      <c r="A3138">
        <v>126</v>
      </c>
      <c r="B3138">
        <v>1</v>
      </c>
    </row>
    <row r="3139" spans="1:2" x14ac:dyDescent="0.35">
      <c r="A3139">
        <v>126</v>
      </c>
      <c r="B3139">
        <v>1</v>
      </c>
    </row>
    <row r="3140" spans="1:2" x14ac:dyDescent="0.35">
      <c r="A3140">
        <v>126</v>
      </c>
      <c r="B3140">
        <v>1</v>
      </c>
    </row>
    <row r="3141" spans="1:2" x14ac:dyDescent="0.35">
      <c r="A3141">
        <v>126</v>
      </c>
      <c r="B3141">
        <v>1</v>
      </c>
    </row>
    <row r="3142" spans="1:2" x14ac:dyDescent="0.35">
      <c r="A3142">
        <v>126</v>
      </c>
      <c r="B3142">
        <v>1</v>
      </c>
    </row>
    <row r="3143" spans="1:2" x14ac:dyDescent="0.35">
      <c r="A3143">
        <v>126</v>
      </c>
      <c r="B3143">
        <v>1</v>
      </c>
    </row>
    <row r="3144" spans="1:2" x14ac:dyDescent="0.35">
      <c r="A3144">
        <v>126</v>
      </c>
      <c r="B3144">
        <v>1</v>
      </c>
    </row>
    <row r="3145" spans="1:2" x14ac:dyDescent="0.35">
      <c r="A3145">
        <v>126</v>
      </c>
      <c r="B3145">
        <v>1</v>
      </c>
    </row>
    <row r="3146" spans="1:2" x14ac:dyDescent="0.35">
      <c r="A3146">
        <v>126</v>
      </c>
      <c r="B3146">
        <v>1</v>
      </c>
    </row>
    <row r="3147" spans="1:2" x14ac:dyDescent="0.35">
      <c r="A3147">
        <v>126</v>
      </c>
      <c r="B3147">
        <v>1</v>
      </c>
    </row>
    <row r="3148" spans="1:2" x14ac:dyDescent="0.35">
      <c r="A3148">
        <v>126</v>
      </c>
      <c r="B3148">
        <v>1</v>
      </c>
    </row>
    <row r="3149" spans="1:2" x14ac:dyDescent="0.35">
      <c r="A3149">
        <v>126</v>
      </c>
      <c r="B3149">
        <v>1</v>
      </c>
    </row>
    <row r="3150" spans="1:2" x14ac:dyDescent="0.35">
      <c r="A3150">
        <v>126</v>
      </c>
      <c r="B3150">
        <v>1</v>
      </c>
    </row>
    <row r="3151" spans="1:2" x14ac:dyDescent="0.35">
      <c r="A3151">
        <v>126</v>
      </c>
      <c r="B3151">
        <v>1</v>
      </c>
    </row>
    <row r="3152" spans="1:2" x14ac:dyDescent="0.35">
      <c r="A3152">
        <v>126</v>
      </c>
      <c r="B3152">
        <v>1</v>
      </c>
    </row>
    <row r="3153" spans="1:2" x14ac:dyDescent="0.35">
      <c r="A3153">
        <v>126</v>
      </c>
      <c r="B3153">
        <v>1</v>
      </c>
    </row>
    <row r="3154" spans="1:2" x14ac:dyDescent="0.35">
      <c r="A3154">
        <v>126</v>
      </c>
      <c r="B3154">
        <v>1</v>
      </c>
    </row>
    <row r="3155" spans="1:2" x14ac:dyDescent="0.35">
      <c r="A3155">
        <v>126</v>
      </c>
      <c r="B3155">
        <v>1</v>
      </c>
    </row>
    <row r="3156" spans="1:2" x14ac:dyDescent="0.35">
      <c r="A3156">
        <v>126</v>
      </c>
      <c r="B3156">
        <v>1</v>
      </c>
    </row>
    <row r="3157" spans="1:2" x14ac:dyDescent="0.35">
      <c r="A3157">
        <v>127</v>
      </c>
      <c r="B3157">
        <v>1</v>
      </c>
    </row>
    <row r="3158" spans="1:2" x14ac:dyDescent="0.35">
      <c r="A3158">
        <v>127</v>
      </c>
      <c r="B3158">
        <v>1</v>
      </c>
    </row>
    <row r="3159" spans="1:2" x14ac:dyDescent="0.35">
      <c r="A3159">
        <v>127</v>
      </c>
      <c r="B3159">
        <v>1</v>
      </c>
    </row>
    <row r="3160" spans="1:2" x14ac:dyDescent="0.35">
      <c r="A3160">
        <v>127</v>
      </c>
      <c r="B3160">
        <v>1</v>
      </c>
    </row>
    <row r="3161" spans="1:2" x14ac:dyDescent="0.35">
      <c r="A3161">
        <v>127</v>
      </c>
      <c r="B3161">
        <v>1</v>
      </c>
    </row>
    <row r="3162" spans="1:2" x14ac:dyDescent="0.35">
      <c r="A3162">
        <v>127</v>
      </c>
      <c r="B3162">
        <v>1</v>
      </c>
    </row>
    <row r="3163" spans="1:2" x14ac:dyDescent="0.35">
      <c r="A3163">
        <v>127</v>
      </c>
      <c r="B3163">
        <v>1</v>
      </c>
    </row>
    <row r="3164" spans="1:2" x14ac:dyDescent="0.35">
      <c r="A3164">
        <v>127</v>
      </c>
      <c r="B3164">
        <v>1</v>
      </c>
    </row>
    <row r="3165" spans="1:2" x14ac:dyDescent="0.35">
      <c r="A3165">
        <v>127</v>
      </c>
      <c r="B3165">
        <v>1</v>
      </c>
    </row>
    <row r="3166" spans="1:2" x14ac:dyDescent="0.35">
      <c r="A3166">
        <v>127</v>
      </c>
      <c r="B3166">
        <v>1</v>
      </c>
    </row>
    <row r="3167" spans="1:2" x14ac:dyDescent="0.35">
      <c r="A3167">
        <v>127</v>
      </c>
      <c r="B3167">
        <v>1</v>
      </c>
    </row>
    <row r="3168" spans="1:2" x14ac:dyDescent="0.35">
      <c r="A3168">
        <v>127</v>
      </c>
      <c r="B3168">
        <v>1</v>
      </c>
    </row>
    <row r="3169" spans="1:2" x14ac:dyDescent="0.35">
      <c r="A3169">
        <v>127</v>
      </c>
      <c r="B3169">
        <v>1</v>
      </c>
    </row>
    <row r="3170" spans="1:2" x14ac:dyDescent="0.35">
      <c r="A3170">
        <v>127</v>
      </c>
      <c r="B3170">
        <v>1</v>
      </c>
    </row>
    <row r="3171" spans="1:2" x14ac:dyDescent="0.35">
      <c r="A3171">
        <v>127</v>
      </c>
      <c r="B3171">
        <v>1</v>
      </c>
    </row>
    <row r="3172" spans="1:2" x14ac:dyDescent="0.35">
      <c r="A3172">
        <v>127</v>
      </c>
      <c r="B3172">
        <v>1</v>
      </c>
    </row>
    <row r="3173" spans="1:2" x14ac:dyDescent="0.35">
      <c r="A3173">
        <v>127</v>
      </c>
      <c r="B3173">
        <v>1</v>
      </c>
    </row>
    <row r="3174" spans="1:2" x14ac:dyDescent="0.35">
      <c r="A3174">
        <v>127</v>
      </c>
      <c r="B3174">
        <v>1</v>
      </c>
    </row>
    <row r="3175" spans="1:2" x14ac:dyDescent="0.35">
      <c r="A3175">
        <v>127</v>
      </c>
      <c r="B3175">
        <v>1</v>
      </c>
    </row>
    <row r="3176" spans="1:2" x14ac:dyDescent="0.35">
      <c r="A3176">
        <v>127</v>
      </c>
      <c r="B3176">
        <v>1</v>
      </c>
    </row>
    <row r="3177" spans="1:2" x14ac:dyDescent="0.35">
      <c r="A3177">
        <v>127</v>
      </c>
      <c r="B3177">
        <v>1</v>
      </c>
    </row>
    <row r="3178" spans="1:2" x14ac:dyDescent="0.35">
      <c r="A3178">
        <v>127</v>
      </c>
      <c r="B3178">
        <v>1</v>
      </c>
    </row>
    <row r="3179" spans="1:2" x14ac:dyDescent="0.35">
      <c r="A3179">
        <v>127</v>
      </c>
      <c r="B3179">
        <v>1</v>
      </c>
    </row>
    <row r="3180" spans="1:2" x14ac:dyDescent="0.35">
      <c r="A3180">
        <v>127</v>
      </c>
      <c r="B3180">
        <v>1</v>
      </c>
    </row>
    <row r="3181" spans="1:2" x14ac:dyDescent="0.35">
      <c r="A3181">
        <v>127</v>
      </c>
      <c r="B3181">
        <v>1</v>
      </c>
    </row>
    <row r="3182" spans="1:2" x14ac:dyDescent="0.35">
      <c r="A3182">
        <v>127</v>
      </c>
      <c r="B3182">
        <v>1</v>
      </c>
    </row>
    <row r="3183" spans="1:2" x14ac:dyDescent="0.35">
      <c r="A3183">
        <v>127</v>
      </c>
      <c r="B3183">
        <v>1</v>
      </c>
    </row>
    <row r="3184" spans="1:2" x14ac:dyDescent="0.35">
      <c r="A3184">
        <v>127</v>
      </c>
      <c r="B3184">
        <v>1</v>
      </c>
    </row>
    <row r="3185" spans="1:2" x14ac:dyDescent="0.35">
      <c r="A3185">
        <v>127</v>
      </c>
      <c r="B3185">
        <v>1</v>
      </c>
    </row>
    <row r="3186" spans="1:2" x14ac:dyDescent="0.35">
      <c r="A3186">
        <v>127</v>
      </c>
      <c r="B3186">
        <v>1</v>
      </c>
    </row>
    <row r="3187" spans="1:2" x14ac:dyDescent="0.35">
      <c r="A3187">
        <v>127</v>
      </c>
      <c r="B3187">
        <v>1</v>
      </c>
    </row>
    <row r="3188" spans="1:2" x14ac:dyDescent="0.35">
      <c r="A3188">
        <v>127</v>
      </c>
      <c r="B3188">
        <v>1</v>
      </c>
    </row>
    <row r="3189" spans="1:2" x14ac:dyDescent="0.35">
      <c r="A3189">
        <v>127</v>
      </c>
      <c r="B3189">
        <v>1</v>
      </c>
    </row>
    <row r="3190" spans="1:2" x14ac:dyDescent="0.35">
      <c r="A3190">
        <v>127</v>
      </c>
      <c r="B3190">
        <v>1</v>
      </c>
    </row>
    <row r="3191" spans="1:2" x14ac:dyDescent="0.35">
      <c r="A3191">
        <v>127</v>
      </c>
      <c r="B3191">
        <v>1</v>
      </c>
    </row>
    <row r="3192" spans="1:2" x14ac:dyDescent="0.35">
      <c r="A3192">
        <v>127</v>
      </c>
      <c r="B3192">
        <v>1</v>
      </c>
    </row>
    <row r="3193" spans="1:2" x14ac:dyDescent="0.35">
      <c r="A3193">
        <v>127</v>
      </c>
      <c r="B3193">
        <v>1</v>
      </c>
    </row>
    <row r="3194" spans="1:2" x14ac:dyDescent="0.35">
      <c r="A3194">
        <v>127</v>
      </c>
      <c r="B3194">
        <v>1</v>
      </c>
    </row>
    <row r="3195" spans="1:2" x14ac:dyDescent="0.35">
      <c r="A3195">
        <v>128</v>
      </c>
      <c r="B3195">
        <v>1</v>
      </c>
    </row>
    <row r="3196" spans="1:2" x14ac:dyDescent="0.35">
      <c r="A3196">
        <v>128</v>
      </c>
      <c r="B3196">
        <v>1</v>
      </c>
    </row>
    <row r="3197" spans="1:2" x14ac:dyDescent="0.35">
      <c r="A3197">
        <v>128</v>
      </c>
      <c r="B3197">
        <v>1</v>
      </c>
    </row>
    <row r="3198" spans="1:2" x14ac:dyDescent="0.35">
      <c r="A3198">
        <v>128</v>
      </c>
      <c r="B3198">
        <v>1</v>
      </c>
    </row>
    <row r="3199" spans="1:2" x14ac:dyDescent="0.35">
      <c r="A3199">
        <v>128</v>
      </c>
      <c r="B3199">
        <v>1</v>
      </c>
    </row>
    <row r="3200" spans="1:2" x14ac:dyDescent="0.35">
      <c r="A3200">
        <v>128</v>
      </c>
      <c r="B3200">
        <v>1</v>
      </c>
    </row>
    <row r="3201" spans="1:2" x14ac:dyDescent="0.35">
      <c r="A3201">
        <v>128</v>
      </c>
      <c r="B3201">
        <v>1</v>
      </c>
    </row>
    <row r="3202" spans="1:2" x14ac:dyDescent="0.35">
      <c r="A3202">
        <v>128</v>
      </c>
      <c r="B3202">
        <v>1</v>
      </c>
    </row>
    <row r="3203" spans="1:2" x14ac:dyDescent="0.35">
      <c r="A3203">
        <v>128</v>
      </c>
      <c r="B3203">
        <v>1</v>
      </c>
    </row>
    <row r="3204" spans="1:2" x14ac:dyDescent="0.35">
      <c r="A3204">
        <v>128</v>
      </c>
      <c r="B3204">
        <v>1</v>
      </c>
    </row>
    <row r="3205" spans="1:2" x14ac:dyDescent="0.35">
      <c r="A3205">
        <v>128</v>
      </c>
      <c r="B3205">
        <v>1</v>
      </c>
    </row>
    <row r="3206" spans="1:2" x14ac:dyDescent="0.35">
      <c r="A3206">
        <v>128</v>
      </c>
      <c r="B3206">
        <v>1</v>
      </c>
    </row>
    <row r="3207" spans="1:2" x14ac:dyDescent="0.35">
      <c r="A3207">
        <v>128</v>
      </c>
      <c r="B3207">
        <v>1</v>
      </c>
    </row>
    <row r="3208" spans="1:2" x14ac:dyDescent="0.35">
      <c r="A3208">
        <v>128</v>
      </c>
      <c r="B3208">
        <v>1</v>
      </c>
    </row>
    <row r="3209" spans="1:2" x14ac:dyDescent="0.35">
      <c r="A3209">
        <v>128</v>
      </c>
      <c r="B3209">
        <v>1</v>
      </c>
    </row>
    <row r="3210" spans="1:2" x14ac:dyDescent="0.35">
      <c r="A3210">
        <v>128</v>
      </c>
      <c r="B3210">
        <v>1</v>
      </c>
    </row>
    <row r="3211" spans="1:2" x14ac:dyDescent="0.35">
      <c r="A3211">
        <v>128</v>
      </c>
      <c r="B3211">
        <v>1</v>
      </c>
    </row>
    <row r="3212" spans="1:2" x14ac:dyDescent="0.35">
      <c r="A3212">
        <v>128</v>
      </c>
      <c r="B3212">
        <v>1</v>
      </c>
    </row>
    <row r="3213" spans="1:2" x14ac:dyDescent="0.35">
      <c r="A3213">
        <v>128</v>
      </c>
      <c r="B3213">
        <v>1</v>
      </c>
    </row>
    <row r="3214" spans="1:2" x14ac:dyDescent="0.35">
      <c r="A3214">
        <v>128</v>
      </c>
      <c r="B3214">
        <v>1</v>
      </c>
    </row>
    <row r="3215" spans="1:2" x14ac:dyDescent="0.35">
      <c r="A3215">
        <v>128</v>
      </c>
      <c r="B3215">
        <v>1</v>
      </c>
    </row>
    <row r="3216" spans="1:2" x14ac:dyDescent="0.35">
      <c r="A3216">
        <v>128</v>
      </c>
      <c r="B3216">
        <v>1</v>
      </c>
    </row>
    <row r="3217" spans="1:2" x14ac:dyDescent="0.35">
      <c r="A3217">
        <v>128</v>
      </c>
      <c r="B3217">
        <v>1</v>
      </c>
    </row>
    <row r="3218" spans="1:2" x14ac:dyDescent="0.35">
      <c r="A3218">
        <v>128</v>
      </c>
      <c r="B3218">
        <v>1</v>
      </c>
    </row>
    <row r="3219" spans="1:2" x14ac:dyDescent="0.35">
      <c r="A3219">
        <v>128</v>
      </c>
      <c r="B3219">
        <v>1</v>
      </c>
    </row>
    <row r="3220" spans="1:2" x14ac:dyDescent="0.35">
      <c r="A3220">
        <v>128</v>
      </c>
      <c r="B3220">
        <v>1</v>
      </c>
    </row>
    <row r="3221" spans="1:2" x14ac:dyDescent="0.35">
      <c r="A3221">
        <v>128</v>
      </c>
      <c r="B3221">
        <v>1</v>
      </c>
    </row>
    <row r="3222" spans="1:2" x14ac:dyDescent="0.35">
      <c r="A3222">
        <v>128</v>
      </c>
      <c r="B3222">
        <v>1</v>
      </c>
    </row>
    <row r="3223" spans="1:2" x14ac:dyDescent="0.35">
      <c r="A3223">
        <v>128</v>
      </c>
      <c r="B3223">
        <v>1</v>
      </c>
    </row>
    <row r="3224" spans="1:2" x14ac:dyDescent="0.35">
      <c r="A3224">
        <v>128</v>
      </c>
      <c r="B3224">
        <v>1</v>
      </c>
    </row>
    <row r="3225" spans="1:2" x14ac:dyDescent="0.35">
      <c r="A3225">
        <v>128</v>
      </c>
      <c r="B3225">
        <v>1</v>
      </c>
    </row>
    <row r="3226" spans="1:2" x14ac:dyDescent="0.35">
      <c r="A3226">
        <v>128</v>
      </c>
      <c r="B3226">
        <v>1</v>
      </c>
    </row>
    <row r="3227" spans="1:2" x14ac:dyDescent="0.35">
      <c r="A3227">
        <v>128</v>
      </c>
      <c r="B3227">
        <v>1</v>
      </c>
    </row>
    <row r="3228" spans="1:2" x14ac:dyDescent="0.35">
      <c r="A3228">
        <v>128</v>
      </c>
      <c r="B3228">
        <v>1</v>
      </c>
    </row>
    <row r="3229" spans="1:2" x14ac:dyDescent="0.35">
      <c r="A3229">
        <v>128</v>
      </c>
      <c r="B3229">
        <v>1</v>
      </c>
    </row>
    <row r="3230" spans="1:2" x14ac:dyDescent="0.35">
      <c r="A3230">
        <v>128</v>
      </c>
      <c r="B3230">
        <v>1</v>
      </c>
    </row>
    <row r="3231" spans="1:2" x14ac:dyDescent="0.35">
      <c r="A3231">
        <v>128</v>
      </c>
      <c r="B3231">
        <v>1</v>
      </c>
    </row>
    <row r="3232" spans="1:2" x14ac:dyDescent="0.35">
      <c r="A3232">
        <v>128</v>
      </c>
      <c r="B3232">
        <v>1</v>
      </c>
    </row>
    <row r="3233" spans="1:2" x14ac:dyDescent="0.35">
      <c r="A3233">
        <v>129</v>
      </c>
      <c r="B3233">
        <v>1</v>
      </c>
    </row>
    <row r="3234" spans="1:2" x14ac:dyDescent="0.35">
      <c r="A3234">
        <v>129</v>
      </c>
      <c r="B3234">
        <v>1</v>
      </c>
    </row>
    <row r="3235" spans="1:2" x14ac:dyDescent="0.35">
      <c r="A3235">
        <v>129</v>
      </c>
      <c r="B3235">
        <v>1</v>
      </c>
    </row>
    <row r="3236" spans="1:2" x14ac:dyDescent="0.35">
      <c r="A3236">
        <v>129</v>
      </c>
      <c r="B3236">
        <v>1</v>
      </c>
    </row>
    <row r="3237" spans="1:2" x14ac:dyDescent="0.35">
      <c r="A3237">
        <v>129</v>
      </c>
      <c r="B3237">
        <v>1</v>
      </c>
    </row>
    <row r="3238" spans="1:2" x14ac:dyDescent="0.35">
      <c r="A3238">
        <v>129</v>
      </c>
      <c r="B3238">
        <v>1</v>
      </c>
    </row>
    <row r="3239" spans="1:2" x14ac:dyDescent="0.35">
      <c r="A3239">
        <v>129</v>
      </c>
      <c r="B3239">
        <v>1</v>
      </c>
    </row>
    <row r="3240" spans="1:2" x14ac:dyDescent="0.35">
      <c r="A3240">
        <v>129</v>
      </c>
      <c r="B3240">
        <v>1</v>
      </c>
    </row>
    <row r="3241" spans="1:2" x14ac:dyDescent="0.35">
      <c r="A3241">
        <v>129</v>
      </c>
      <c r="B3241">
        <v>1</v>
      </c>
    </row>
    <row r="3242" spans="1:2" x14ac:dyDescent="0.35">
      <c r="A3242">
        <v>129</v>
      </c>
      <c r="B3242">
        <v>1</v>
      </c>
    </row>
    <row r="3243" spans="1:2" x14ac:dyDescent="0.35">
      <c r="A3243">
        <v>129</v>
      </c>
      <c r="B3243">
        <v>1</v>
      </c>
    </row>
    <row r="3244" spans="1:2" x14ac:dyDescent="0.35">
      <c r="A3244">
        <v>129</v>
      </c>
      <c r="B3244">
        <v>1</v>
      </c>
    </row>
    <row r="3245" spans="1:2" x14ac:dyDescent="0.35">
      <c r="A3245">
        <v>129</v>
      </c>
      <c r="B3245">
        <v>1</v>
      </c>
    </row>
    <row r="3246" spans="1:2" x14ac:dyDescent="0.35">
      <c r="A3246">
        <v>129</v>
      </c>
      <c r="B3246">
        <v>1</v>
      </c>
    </row>
    <row r="3247" spans="1:2" x14ac:dyDescent="0.35">
      <c r="A3247">
        <v>129</v>
      </c>
      <c r="B3247">
        <v>1</v>
      </c>
    </row>
    <row r="3248" spans="1:2" x14ac:dyDescent="0.35">
      <c r="A3248">
        <v>129</v>
      </c>
      <c r="B3248">
        <v>1</v>
      </c>
    </row>
    <row r="3249" spans="1:2" x14ac:dyDescent="0.35">
      <c r="A3249">
        <v>129</v>
      </c>
      <c r="B3249">
        <v>1</v>
      </c>
    </row>
    <row r="3250" spans="1:2" x14ac:dyDescent="0.35">
      <c r="A3250">
        <v>129</v>
      </c>
      <c r="B3250">
        <v>1</v>
      </c>
    </row>
    <row r="3251" spans="1:2" x14ac:dyDescent="0.35">
      <c r="A3251">
        <v>129</v>
      </c>
      <c r="B3251">
        <v>1</v>
      </c>
    </row>
    <row r="3252" spans="1:2" x14ac:dyDescent="0.35">
      <c r="A3252">
        <v>129</v>
      </c>
      <c r="B3252">
        <v>1</v>
      </c>
    </row>
    <row r="3253" spans="1:2" x14ac:dyDescent="0.35">
      <c r="A3253">
        <v>129</v>
      </c>
      <c r="B3253">
        <v>1</v>
      </c>
    </row>
    <row r="3254" spans="1:2" x14ac:dyDescent="0.35">
      <c r="A3254">
        <v>129</v>
      </c>
      <c r="B3254">
        <v>1</v>
      </c>
    </row>
    <row r="3255" spans="1:2" x14ac:dyDescent="0.35">
      <c r="A3255">
        <v>129</v>
      </c>
      <c r="B3255">
        <v>1</v>
      </c>
    </row>
    <row r="3256" spans="1:2" x14ac:dyDescent="0.35">
      <c r="A3256">
        <v>129</v>
      </c>
      <c r="B3256">
        <v>1</v>
      </c>
    </row>
    <row r="3257" spans="1:2" x14ac:dyDescent="0.35">
      <c r="A3257">
        <v>129</v>
      </c>
      <c r="B3257">
        <v>1</v>
      </c>
    </row>
    <row r="3258" spans="1:2" x14ac:dyDescent="0.35">
      <c r="A3258">
        <v>129</v>
      </c>
      <c r="B3258">
        <v>1</v>
      </c>
    </row>
    <row r="3259" spans="1:2" x14ac:dyDescent="0.35">
      <c r="A3259">
        <v>129</v>
      </c>
      <c r="B3259">
        <v>1</v>
      </c>
    </row>
    <row r="3260" spans="1:2" x14ac:dyDescent="0.35">
      <c r="A3260">
        <v>129</v>
      </c>
      <c r="B3260">
        <v>1</v>
      </c>
    </row>
    <row r="3261" spans="1:2" x14ac:dyDescent="0.35">
      <c r="A3261">
        <v>129</v>
      </c>
      <c r="B3261">
        <v>1</v>
      </c>
    </row>
    <row r="3262" spans="1:2" x14ac:dyDescent="0.35">
      <c r="A3262">
        <v>129</v>
      </c>
      <c r="B3262">
        <v>1</v>
      </c>
    </row>
    <row r="3263" spans="1:2" x14ac:dyDescent="0.35">
      <c r="A3263">
        <v>129</v>
      </c>
      <c r="B3263">
        <v>1</v>
      </c>
    </row>
    <row r="3264" spans="1:2" x14ac:dyDescent="0.35">
      <c r="A3264">
        <v>129</v>
      </c>
      <c r="B3264">
        <v>1</v>
      </c>
    </row>
    <row r="3265" spans="1:2" x14ac:dyDescent="0.35">
      <c r="A3265">
        <v>129</v>
      </c>
      <c r="B3265">
        <v>1</v>
      </c>
    </row>
    <row r="3266" spans="1:2" x14ac:dyDescent="0.35">
      <c r="A3266">
        <v>129</v>
      </c>
      <c r="B3266">
        <v>1</v>
      </c>
    </row>
    <row r="3267" spans="1:2" x14ac:dyDescent="0.35">
      <c r="A3267">
        <v>129</v>
      </c>
      <c r="B3267">
        <v>1</v>
      </c>
    </row>
    <row r="3268" spans="1:2" x14ac:dyDescent="0.35">
      <c r="A3268">
        <v>129</v>
      </c>
      <c r="B3268">
        <v>1</v>
      </c>
    </row>
    <row r="3269" spans="1:2" x14ac:dyDescent="0.35">
      <c r="A3269">
        <v>129</v>
      </c>
      <c r="B3269">
        <v>1</v>
      </c>
    </row>
    <row r="3270" spans="1:2" x14ac:dyDescent="0.35">
      <c r="A3270">
        <v>129</v>
      </c>
      <c r="B3270">
        <v>1</v>
      </c>
    </row>
    <row r="3271" spans="1:2" x14ac:dyDescent="0.35">
      <c r="A3271">
        <v>129</v>
      </c>
      <c r="B3271">
        <v>1</v>
      </c>
    </row>
    <row r="3272" spans="1:2" x14ac:dyDescent="0.35">
      <c r="A3272">
        <v>129</v>
      </c>
      <c r="B3272">
        <v>1</v>
      </c>
    </row>
    <row r="3273" spans="1:2" x14ac:dyDescent="0.35">
      <c r="A3273">
        <v>129</v>
      </c>
      <c r="B3273">
        <v>1</v>
      </c>
    </row>
    <row r="3274" spans="1:2" x14ac:dyDescent="0.35">
      <c r="A3274">
        <v>129</v>
      </c>
      <c r="B3274">
        <v>1</v>
      </c>
    </row>
    <row r="3275" spans="1:2" x14ac:dyDescent="0.35">
      <c r="A3275">
        <v>129</v>
      </c>
      <c r="B3275">
        <v>1</v>
      </c>
    </row>
    <row r="3276" spans="1:2" x14ac:dyDescent="0.35">
      <c r="A3276">
        <v>129</v>
      </c>
      <c r="B3276">
        <v>1</v>
      </c>
    </row>
    <row r="3277" spans="1:2" x14ac:dyDescent="0.35">
      <c r="A3277">
        <v>130</v>
      </c>
      <c r="B3277">
        <v>1</v>
      </c>
    </row>
    <row r="3278" spans="1:2" x14ac:dyDescent="0.35">
      <c r="A3278">
        <v>130</v>
      </c>
      <c r="B3278">
        <v>1</v>
      </c>
    </row>
    <row r="3279" spans="1:2" x14ac:dyDescent="0.35">
      <c r="A3279">
        <v>130</v>
      </c>
      <c r="B3279">
        <v>1</v>
      </c>
    </row>
    <row r="3280" spans="1:2" x14ac:dyDescent="0.35">
      <c r="A3280">
        <v>130</v>
      </c>
      <c r="B3280">
        <v>1</v>
      </c>
    </row>
    <row r="3281" spans="1:2" x14ac:dyDescent="0.35">
      <c r="A3281">
        <v>130</v>
      </c>
      <c r="B3281">
        <v>1</v>
      </c>
    </row>
    <row r="3282" spans="1:2" x14ac:dyDescent="0.35">
      <c r="A3282">
        <v>130</v>
      </c>
      <c r="B3282">
        <v>1</v>
      </c>
    </row>
    <row r="3283" spans="1:2" x14ac:dyDescent="0.35">
      <c r="A3283">
        <v>130</v>
      </c>
      <c r="B3283">
        <v>1</v>
      </c>
    </row>
    <row r="3284" spans="1:2" x14ac:dyDescent="0.35">
      <c r="A3284">
        <v>130</v>
      </c>
      <c r="B3284">
        <v>1</v>
      </c>
    </row>
    <row r="3285" spans="1:2" x14ac:dyDescent="0.35">
      <c r="A3285">
        <v>130</v>
      </c>
      <c r="B3285">
        <v>1</v>
      </c>
    </row>
    <row r="3286" spans="1:2" x14ac:dyDescent="0.35">
      <c r="A3286">
        <v>130</v>
      </c>
      <c r="B3286">
        <v>1</v>
      </c>
    </row>
    <row r="3287" spans="1:2" x14ac:dyDescent="0.35">
      <c r="A3287">
        <v>130</v>
      </c>
      <c r="B3287">
        <v>1</v>
      </c>
    </row>
    <row r="3288" spans="1:2" x14ac:dyDescent="0.35">
      <c r="A3288">
        <v>130</v>
      </c>
      <c r="B3288">
        <v>1</v>
      </c>
    </row>
    <row r="3289" spans="1:2" x14ac:dyDescent="0.35">
      <c r="A3289">
        <v>130</v>
      </c>
      <c r="B3289">
        <v>1</v>
      </c>
    </row>
    <row r="3290" spans="1:2" x14ac:dyDescent="0.35">
      <c r="A3290">
        <v>130</v>
      </c>
      <c r="B3290">
        <v>1</v>
      </c>
    </row>
    <row r="3291" spans="1:2" x14ac:dyDescent="0.35">
      <c r="A3291">
        <v>130</v>
      </c>
      <c r="B3291">
        <v>1</v>
      </c>
    </row>
    <row r="3292" spans="1:2" x14ac:dyDescent="0.35">
      <c r="A3292">
        <v>130</v>
      </c>
      <c r="B3292">
        <v>1</v>
      </c>
    </row>
    <row r="3293" spans="1:2" x14ac:dyDescent="0.35">
      <c r="A3293">
        <v>130</v>
      </c>
      <c r="B3293">
        <v>1</v>
      </c>
    </row>
    <row r="3294" spans="1:2" x14ac:dyDescent="0.35">
      <c r="A3294">
        <v>130</v>
      </c>
      <c r="B3294">
        <v>1</v>
      </c>
    </row>
    <row r="3295" spans="1:2" x14ac:dyDescent="0.35">
      <c r="A3295">
        <v>130</v>
      </c>
      <c r="B3295">
        <v>1</v>
      </c>
    </row>
    <row r="3296" spans="1:2" x14ac:dyDescent="0.35">
      <c r="A3296">
        <v>130</v>
      </c>
      <c r="B3296">
        <v>1</v>
      </c>
    </row>
    <row r="3297" spans="1:2" x14ac:dyDescent="0.35">
      <c r="A3297">
        <v>130</v>
      </c>
      <c r="B3297">
        <v>1</v>
      </c>
    </row>
    <row r="3298" spans="1:2" x14ac:dyDescent="0.35">
      <c r="A3298">
        <v>130</v>
      </c>
      <c r="B3298">
        <v>1</v>
      </c>
    </row>
    <row r="3299" spans="1:2" x14ac:dyDescent="0.35">
      <c r="A3299">
        <v>130</v>
      </c>
      <c r="B3299">
        <v>1</v>
      </c>
    </row>
    <row r="3300" spans="1:2" x14ac:dyDescent="0.35">
      <c r="A3300">
        <v>130</v>
      </c>
      <c r="B3300">
        <v>1</v>
      </c>
    </row>
    <row r="3301" spans="1:2" x14ac:dyDescent="0.35">
      <c r="A3301">
        <v>130</v>
      </c>
      <c r="B3301">
        <v>1</v>
      </c>
    </row>
    <row r="3302" spans="1:2" x14ac:dyDescent="0.35">
      <c r="A3302">
        <v>130</v>
      </c>
      <c r="B3302">
        <v>1</v>
      </c>
    </row>
    <row r="3303" spans="1:2" x14ac:dyDescent="0.35">
      <c r="A3303">
        <v>130</v>
      </c>
      <c r="B3303">
        <v>1</v>
      </c>
    </row>
    <row r="3304" spans="1:2" x14ac:dyDescent="0.35">
      <c r="A3304">
        <v>130</v>
      </c>
      <c r="B3304">
        <v>1</v>
      </c>
    </row>
    <row r="3305" spans="1:2" x14ac:dyDescent="0.35">
      <c r="A3305">
        <v>130</v>
      </c>
      <c r="B3305">
        <v>1</v>
      </c>
    </row>
    <row r="3306" spans="1:2" x14ac:dyDescent="0.35">
      <c r="A3306">
        <v>130</v>
      </c>
      <c r="B3306">
        <v>1</v>
      </c>
    </row>
    <row r="3307" spans="1:2" x14ac:dyDescent="0.35">
      <c r="A3307">
        <v>130</v>
      </c>
      <c r="B3307">
        <v>1</v>
      </c>
    </row>
    <row r="3308" spans="1:2" x14ac:dyDescent="0.35">
      <c r="A3308">
        <v>130</v>
      </c>
      <c r="B3308">
        <v>1</v>
      </c>
    </row>
    <row r="3309" spans="1:2" x14ac:dyDescent="0.35">
      <c r="A3309">
        <v>130</v>
      </c>
      <c r="B3309">
        <v>1</v>
      </c>
    </row>
    <row r="3310" spans="1:2" x14ac:dyDescent="0.35">
      <c r="A3310">
        <v>130</v>
      </c>
      <c r="B3310">
        <v>1</v>
      </c>
    </row>
    <row r="3311" spans="1:2" x14ac:dyDescent="0.35">
      <c r="A3311">
        <v>131</v>
      </c>
      <c r="B3311">
        <v>1</v>
      </c>
    </row>
    <row r="3312" spans="1:2" x14ac:dyDescent="0.35">
      <c r="A3312">
        <v>131</v>
      </c>
      <c r="B3312">
        <v>1</v>
      </c>
    </row>
    <row r="3313" spans="1:2" x14ac:dyDescent="0.35">
      <c r="A3313">
        <v>131</v>
      </c>
      <c r="B3313">
        <v>1</v>
      </c>
    </row>
    <row r="3314" spans="1:2" x14ac:dyDescent="0.35">
      <c r="A3314">
        <v>131</v>
      </c>
      <c r="B3314">
        <v>1</v>
      </c>
    </row>
    <row r="3315" spans="1:2" x14ac:dyDescent="0.35">
      <c r="A3315">
        <v>131</v>
      </c>
      <c r="B3315">
        <v>1</v>
      </c>
    </row>
    <row r="3316" spans="1:2" x14ac:dyDescent="0.35">
      <c r="A3316">
        <v>131</v>
      </c>
      <c r="B3316">
        <v>1</v>
      </c>
    </row>
    <row r="3317" spans="1:2" x14ac:dyDescent="0.35">
      <c r="A3317">
        <v>131</v>
      </c>
      <c r="B3317">
        <v>1</v>
      </c>
    </row>
    <row r="3318" spans="1:2" x14ac:dyDescent="0.35">
      <c r="A3318">
        <v>131</v>
      </c>
      <c r="B3318">
        <v>1</v>
      </c>
    </row>
    <row r="3319" spans="1:2" x14ac:dyDescent="0.35">
      <c r="A3319">
        <v>131</v>
      </c>
      <c r="B3319">
        <v>1</v>
      </c>
    </row>
    <row r="3320" spans="1:2" x14ac:dyDescent="0.35">
      <c r="A3320">
        <v>131</v>
      </c>
      <c r="B3320">
        <v>1</v>
      </c>
    </row>
    <row r="3321" spans="1:2" x14ac:dyDescent="0.35">
      <c r="A3321">
        <v>131</v>
      </c>
      <c r="B3321">
        <v>1</v>
      </c>
    </row>
    <row r="3322" spans="1:2" x14ac:dyDescent="0.35">
      <c r="A3322">
        <v>131</v>
      </c>
      <c r="B3322">
        <v>1</v>
      </c>
    </row>
    <row r="3323" spans="1:2" x14ac:dyDescent="0.35">
      <c r="A3323">
        <v>131</v>
      </c>
      <c r="B3323">
        <v>1</v>
      </c>
    </row>
    <row r="3324" spans="1:2" x14ac:dyDescent="0.35">
      <c r="A3324">
        <v>131</v>
      </c>
      <c r="B3324">
        <v>1</v>
      </c>
    </row>
    <row r="3325" spans="1:2" x14ac:dyDescent="0.35">
      <c r="A3325">
        <v>131</v>
      </c>
      <c r="B3325">
        <v>1</v>
      </c>
    </row>
    <row r="3326" spans="1:2" x14ac:dyDescent="0.35">
      <c r="A3326">
        <v>131</v>
      </c>
      <c r="B3326">
        <v>1</v>
      </c>
    </row>
    <row r="3327" spans="1:2" x14ac:dyDescent="0.35">
      <c r="A3327">
        <v>131</v>
      </c>
      <c r="B3327">
        <v>1</v>
      </c>
    </row>
    <row r="3328" spans="1:2" x14ac:dyDescent="0.35">
      <c r="A3328">
        <v>131</v>
      </c>
      <c r="B3328">
        <v>1</v>
      </c>
    </row>
    <row r="3329" spans="1:2" x14ac:dyDescent="0.35">
      <c r="A3329">
        <v>131</v>
      </c>
      <c r="B3329">
        <v>1</v>
      </c>
    </row>
    <row r="3330" spans="1:2" x14ac:dyDescent="0.35">
      <c r="A3330">
        <v>131</v>
      </c>
      <c r="B3330">
        <v>1</v>
      </c>
    </row>
    <row r="3331" spans="1:2" x14ac:dyDescent="0.35">
      <c r="A3331">
        <v>131</v>
      </c>
      <c r="B3331">
        <v>1</v>
      </c>
    </row>
    <row r="3332" spans="1:2" x14ac:dyDescent="0.35">
      <c r="A3332">
        <v>131</v>
      </c>
      <c r="B3332">
        <v>1</v>
      </c>
    </row>
    <row r="3333" spans="1:2" x14ac:dyDescent="0.35">
      <c r="A3333">
        <v>131</v>
      </c>
      <c r="B3333">
        <v>1</v>
      </c>
    </row>
    <row r="3334" spans="1:2" x14ac:dyDescent="0.35">
      <c r="A3334">
        <v>131</v>
      </c>
      <c r="B3334">
        <v>1</v>
      </c>
    </row>
    <row r="3335" spans="1:2" x14ac:dyDescent="0.35">
      <c r="A3335">
        <v>131</v>
      </c>
      <c r="B3335">
        <v>1</v>
      </c>
    </row>
    <row r="3336" spans="1:2" x14ac:dyDescent="0.35">
      <c r="A3336">
        <v>131</v>
      </c>
      <c r="B3336">
        <v>1</v>
      </c>
    </row>
    <row r="3337" spans="1:2" x14ac:dyDescent="0.35">
      <c r="A3337">
        <v>131</v>
      </c>
      <c r="B3337">
        <v>1</v>
      </c>
    </row>
    <row r="3338" spans="1:2" x14ac:dyDescent="0.35">
      <c r="A3338">
        <v>131</v>
      </c>
      <c r="B3338">
        <v>1</v>
      </c>
    </row>
    <row r="3339" spans="1:2" x14ac:dyDescent="0.35">
      <c r="A3339">
        <v>131</v>
      </c>
      <c r="B3339">
        <v>1</v>
      </c>
    </row>
    <row r="3340" spans="1:2" x14ac:dyDescent="0.35">
      <c r="A3340">
        <v>131</v>
      </c>
      <c r="B3340">
        <v>1</v>
      </c>
    </row>
    <row r="3341" spans="1:2" x14ac:dyDescent="0.35">
      <c r="A3341">
        <v>131</v>
      </c>
      <c r="B3341">
        <v>1</v>
      </c>
    </row>
    <row r="3342" spans="1:2" x14ac:dyDescent="0.35">
      <c r="A3342">
        <v>132</v>
      </c>
      <c r="B3342">
        <v>1</v>
      </c>
    </row>
    <row r="3343" spans="1:2" x14ac:dyDescent="0.35">
      <c r="A3343">
        <v>132</v>
      </c>
      <c r="B3343">
        <v>1</v>
      </c>
    </row>
    <row r="3344" spans="1:2" x14ac:dyDescent="0.35">
      <c r="A3344">
        <v>132</v>
      </c>
      <c r="B3344">
        <v>1</v>
      </c>
    </row>
    <row r="3345" spans="1:2" x14ac:dyDescent="0.35">
      <c r="A3345">
        <v>132</v>
      </c>
      <c r="B3345">
        <v>1</v>
      </c>
    </row>
    <row r="3346" spans="1:2" x14ac:dyDescent="0.35">
      <c r="A3346">
        <v>132</v>
      </c>
      <c r="B3346">
        <v>1</v>
      </c>
    </row>
    <row r="3347" spans="1:2" x14ac:dyDescent="0.35">
      <c r="A3347">
        <v>132</v>
      </c>
      <c r="B3347">
        <v>1</v>
      </c>
    </row>
    <row r="3348" spans="1:2" x14ac:dyDescent="0.35">
      <c r="A3348">
        <v>132</v>
      </c>
      <c r="B3348">
        <v>1</v>
      </c>
    </row>
    <row r="3349" spans="1:2" x14ac:dyDescent="0.35">
      <c r="A3349">
        <v>132</v>
      </c>
      <c r="B3349">
        <v>1</v>
      </c>
    </row>
    <row r="3350" spans="1:2" x14ac:dyDescent="0.35">
      <c r="A3350">
        <v>132</v>
      </c>
      <c r="B3350">
        <v>1</v>
      </c>
    </row>
    <row r="3351" spans="1:2" x14ac:dyDescent="0.35">
      <c r="A3351">
        <v>132</v>
      </c>
      <c r="B3351">
        <v>1</v>
      </c>
    </row>
    <row r="3352" spans="1:2" x14ac:dyDescent="0.35">
      <c r="A3352">
        <v>132</v>
      </c>
      <c r="B3352">
        <v>1</v>
      </c>
    </row>
    <row r="3353" spans="1:2" x14ac:dyDescent="0.35">
      <c r="A3353">
        <v>132</v>
      </c>
      <c r="B3353">
        <v>1</v>
      </c>
    </row>
    <row r="3354" spans="1:2" x14ac:dyDescent="0.35">
      <c r="A3354">
        <v>132</v>
      </c>
      <c r="B3354">
        <v>1</v>
      </c>
    </row>
    <row r="3355" spans="1:2" x14ac:dyDescent="0.35">
      <c r="A3355">
        <v>132</v>
      </c>
      <c r="B3355">
        <v>1</v>
      </c>
    </row>
    <row r="3356" spans="1:2" x14ac:dyDescent="0.35">
      <c r="A3356">
        <v>132</v>
      </c>
      <c r="B3356">
        <v>1</v>
      </c>
    </row>
    <row r="3357" spans="1:2" x14ac:dyDescent="0.35">
      <c r="A3357">
        <v>132</v>
      </c>
      <c r="B3357">
        <v>1</v>
      </c>
    </row>
    <row r="3358" spans="1:2" x14ac:dyDescent="0.35">
      <c r="A3358">
        <v>132</v>
      </c>
      <c r="B3358">
        <v>1</v>
      </c>
    </row>
    <row r="3359" spans="1:2" x14ac:dyDescent="0.35">
      <c r="A3359">
        <v>132</v>
      </c>
      <c r="B3359">
        <v>1</v>
      </c>
    </row>
    <row r="3360" spans="1:2" x14ac:dyDescent="0.35">
      <c r="A3360">
        <v>132</v>
      </c>
      <c r="B3360">
        <v>1</v>
      </c>
    </row>
    <row r="3361" spans="1:2" x14ac:dyDescent="0.35">
      <c r="A3361">
        <v>132</v>
      </c>
      <c r="B3361">
        <v>1</v>
      </c>
    </row>
    <row r="3362" spans="1:2" x14ac:dyDescent="0.35">
      <c r="A3362">
        <v>132</v>
      </c>
      <c r="B3362">
        <v>1</v>
      </c>
    </row>
    <row r="3363" spans="1:2" x14ac:dyDescent="0.35">
      <c r="A3363">
        <v>132</v>
      </c>
      <c r="B3363">
        <v>1</v>
      </c>
    </row>
    <row r="3364" spans="1:2" x14ac:dyDescent="0.35">
      <c r="A3364">
        <v>132</v>
      </c>
      <c r="B3364">
        <v>1</v>
      </c>
    </row>
    <row r="3365" spans="1:2" x14ac:dyDescent="0.35">
      <c r="A3365">
        <v>132</v>
      </c>
      <c r="B3365">
        <v>1</v>
      </c>
    </row>
    <row r="3366" spans="1:2" x14ac:dyDescent="0.35">
      <c r="A3366">
        <v>132</v>
      </c>
      <c r="B3366">
        <v>1</v>
      </c>
    </row>
    <row r="3367" spans="1:2" x14ac:dyDescent="0.35">
      <c r="A3367">
        <v>132</v>
      </c>
      <c r="B3367">
        <v>1</v>
      </c>
    </row>
    <row r="3368" spans="1:2" x14ac:dyDescent="0.35">
      <c r="A3368">
        <v>132</v>
      </c>
      <c r="B3368">
        <v>1</v>
      </c>
    </row>
    <row r="3369" spans="1:2" x14ac:dyDescent="0.35">
      <c r="A3369">
        <v>132</v>
      </c>
      <c r="B3369">
        <v>1</v>
      </c>
    </row>
    <row r="3370" spans="1:2" x14ac:dyDescent="0.35">
      <c r="A3370">
        <v>132</v>
      </c>
      <c r="B3370">
        <v>1</v>
      </c>
    </row>
    <row r="3371" spans="1:2" x14ac:dyDescent="0.35">
      <c r="A3371">
        <v>132</v>
      </c>
      <c r="B3371">
        <v>1</v>
      </c>
    </row>
    <row r="3372" spans="1:2" x14ac:dyDescent="0.35">
      <c r="A3372">
        <v>132</v>
      </c>
      <c r="B3372">
        <v>1</v>
      </c>
    </row>
    <row r="3373" spans="1:2" x14ac:dyDescent="0.35">
      <c r="A3373">
        <v>133</v>
      </c>
      <c r="B3373">
        <v>1</v>
      </c>
    </row>
    <row r="3374" spans="1:2" x14ac:dyDescent="0.35">
      <c r="A3374">
        <v>133</v>
      </c>
      <c r="B3374">
        <v>1</v>
      </c>
    </row>
    <row r="3375" spans="1:2" x14ac:dyDescent="0.35">
      <c r="A3375">
        <v>133</v>
      </c>
      <c r="B3375">
        <v>1</v>
      </c>
    </row>
    <row r="3376" spans="1:2" x14ac:dyDescent="0.35">
      <c r="A3376">
        <v>133</v>
      </c>
      <c r="B3376">
        <v>1</v>
      </c>
    </row>
    <row r="3377" spans="1:2" x14ac:dyDescent="0.35">
      <c r="A3377">
        <v>133</v>
      </c>
      <c r="B3377">
        <v>1</v>
      </c>
    </row>
    <row r="3378" spans="1:2" x14ac:dyDescent="0.35">
      <c r="A3378">
        <v>133</v>
      </c>
      <c r="B3378">
        <v>1</v>
      </c>
    </row>
    <row r="3379" spans="1:2" x14ac:dyDescent="0.35">
      <c r="A3379">
        <v>133</v>
      </c>
      <c r="B3379">
        <v>1</v>
      </c>
    </row>
    <row r="3380" spans="1:2" x14ac:dyDescent="0.35">
      <c r="A3380">
        <v>133</v>
      </c>
      <c r="B3380">
        <v>1</v>
      </c>
    </row>
    <row r="3381" spans="1:2" x14ac:dyDescent="0.35">
      <c r="A3381">
        <v>133</v>
      </c>
      <c r="B3381">
        <v>1</v>
      </c>
    </row>
    <row r="3382" spans="1:2" x14ac:dyDescent="0.35">
      <c r="A3382">
        <v>133</v>
      </c>
      <c r="B3382">
        <v>1</v>
      </c>
    </row>
    <row r="3383" spans="1:2" x14ac:dyDescent="0.35">
      <c r="A3383">
        <v>133</v>
      </c>
      <c r="B3383">
        <v>1</v>
      </c>
    </row>
    <row r="3384" spans="1:2" x14ac:dyDescent="0.35">
      <c r="A3384">
        <v>133</v>
      </c>
      <c r="B3384">
        <v>1</v>
      </c>
    </row>
    <row r="3385" spans="1:2" x14ac:dyDescent="0.35">
      <c r="A3385">
        <v>133</v>
      </c>
      <c r="B3385">
        <v>1</v>
      </c>
    </row>
    <row r="3386" spans="1:2" x14ac:dyDescent="0.35">
      <c r="A3386">
        <v>133</v>
      </c>
      <c r="B3386">
        <v>1</v>
      </c>
    </row>
    <row r="3387" spans="1:2" x14ac:dyDescent="0.35">
      <c r="A3387">
        <v>133</v>
      </c>
      <c r="B3387">
        <v>1</v>
      </c>
    </row>
    <row r="3388" spans="1:2" x14ac:dyDescent="0.35">
      <c r="A3388">
        <v>133</v>
      </c>
      <c r="B3388">
        <v>1</v>
      </c>
    </row>
    <row r="3389" spans="1:2" x14ac:dyDescent="0.35">
      <c r="A3389">
        <v>133</v>
      </c>
      <c r="B3389">
        <v>1</v>
      </c>
    </row>
    <row r="3390" spans="1:2" x14ac:dyDescent="0.35">
      <c r="A3390">
        <v>133</v>
      </c>
      <c r="B3390">
        <v>1</v>
      </c>
    </row>
    <row r="3391" spans="1:2" x14ac:dyDescent="0.35">
      <c r="A3391">
        <v>133</v>
      </c>
      <c r="B3391">
        <v>1</v>
      </c>
    </row>
    <row r="3392" spans="1:2" x14ac:dyDescent="0.35">
      <c r="A3392">
        <v>133</v>
      </c>
      <c r="B3392">
        <v>1</v>
      </c>
    </row>
    <row r="3393" spans="1:2" x14ac:dyDescent="0.35">
      <c r="A3393">
        <v>133</v>
      </c>
      <c r="B3393">
        <v>1</v>
      </c>
    </row>
    <row r="3394" spans="1:2" x14ac:dyDescent="0.35">
      <c r="A3394">
        <v>133</v>
      </c>
      <c r="B3394">
        <v>1</v>
      </c>
    </row>
    <row r="3395" spans="1:2" x14ac:dyDescent="0.35">
      <c r="A3395">
        <v>133</v>
      </c>
      <c r="B3395">
        <v>1</v>
      </c>
    </row>
    <row r="3396" spans="1:2" x14ac:dyDescent="0.35">
      <c r="A3396">
        <v>133</v>
      </c>
      <c r="B3396">
        <v>1</v>
      </c>
    </row>
    <row r="3397" spans="1:2" x14ac:dyDescent="0.35">
      <c r="A3397">
        <v>133</v>
      </c>
      <c r="B3397">
        <v>1</v>
      </c>
    </row>
    <row r="3398" spans="1:2" x14ac:dyDescent="0.35">
      <c r="A3398">
        <v>133</v>
      </c>
      <c r="B3398">
        <v>1</v>
      </c>
    </row>
    <row r="3399" spans="1:2" x14ac:dyDescent="0.35">
      <c r="A3399">
        <v>133</v>
      </c>
      <c r="B3399">
        <v>1</v>
      </c>
    </row>
    <row r="3400" spans="1:2" x14ac:dyDescent="0.35">
      <c r="A3400">
        <v>134</v>
      </c>
      <c r="B3400">
        <v>1</v>
      </c>
    </row>
    <row r="3401" spans="1:2" x14ac:dyDescent="0.35">
      <c r="A3401">
        <v>134</v>
      </c>
      <c r="B3401">
        <v>1</v>
      </c>
    </row>
    <row r="3402" spans="1:2" x14ac:dyDescent="0.35">
      <c r="A3402">
        <v>134</v>
      </c>
      <c r="B3402">
        <v>1</v>
      </c>
    </row>
    <row r="3403" spans="1:2" x14ac:dyDescent="0.35">
      <c r="A3403">
        <v>134</v>
      </c>
      <c r="B3403">
        <v>1</v>
      </c>
    </row>
    <row r="3404" spans="1:2" x14ac:dyDescent="0.35">
      <c r="A3404">
        <v>134</v>
      </c>
      <c r="B3404">
        <v>1</v>
      </c>
    </row>
    <row r="3405" spans="1:2" x14ac:dyDescent="0.35">
      <c r="A3405">
        <v>134</v>
      </c>
      <c r="B3405">
        <v>1</v>
      </c>
    </row>
    <row r="3406" spans="1:2" x14ac:dyDescent="0.35">
      <c r="A3406">
        <v>134</v>
      </c>
      <c r="B3406">
        <v>1</v>
      </c>
    </row>
    <row r="3407" spans="1:2" x14ac:dyDescent="0.35">
      <c r="A3407">
        <v>134</v>
      </c>
      <c r="B3407">
        <v>1</v>
      </c>
    </row>
    <row r="3408" spans="1:2" x14ac:dyDescent="0.35">
      <c r="A3408">
        <v>134</v>
      </c>
      <c r="B3408">
        <v>1</v>
      </c>
    </row>
    <row r="3409" spans="1:2" x14ac:dyDescent="0.35">
      <c r="A3409">
        <v>134</v>
      </c>
      <c r="B3409">
        <v>1</v>
      </c>
    </row>
    <row r="3410" spans="1:2" x14ac:dyDescent="0.35">
      <c r="A3410">
        <v>134</v>
      </c>
      <c r="B3410">
        <v>1</v>
      </c>
    </row>
    <row r="3411" spans="1:2" x14ac:dyDescent="0.35">
      <c r="A3411">
        <v>134</v>
      </c>
      <c r="B3411">
        <v>1</v>
      </c>
    </row>
    <row r="3412" spans="1:2" x14ac:dyDescent="0.35">
      <c r="A3412">
        <v>134</v>
      </c>
      <c r="B3412">
        <v>1</v>
      </c>
    </row>
    <row r="3413" spans="1:2" x14ac:dyDescent="0.35">
      <c r="A3413">
        <v>134</v>
      </c>
      <c r="B3413">
        <v>1</v>
      </c>
    </row>
    <row r="3414" spans="1:2" x14ac:dyDescent="0.35">
      <c r="A3414">
        <v>134</v>
      </c>
      <c r="B3414">
        <v>1</v>
      </c>
    </row>
    <row r="3415" spans="1:2" x14ac:dyDescent="0.35">
      <c r="A3415">
        <v>134</v>
      </c>
      <c r="B3415">
        <v>1</v>
      </c>
    </row>
    <row r="3416" spans="1:2" x14ac:dyDescent="0.35">
      <c r="A3416">
        <v>134</v>
      </c>
      <c r="B3416">
        <v>1</v>
      </c>
    </row>
    <row r="3417" spans="1:2" x14ac:dyDescent="0.35">
      <c r="A3417">
        <v>134</v>
      </c>
      <c r="B3417">
        <v>1</v>
      </c>
    </row>
    <row r="3418" spans="1:2" x14ac:dyDescent="0.35">
      <c r="A3418">
        <v>134</v>
      </c>
      <c r="B3418">
        <v>1</v>
      </c>
    </row>
    <row r="3419" spans="1:2" x14ac:dyDescent="0.35">
      <c r="A3419">
        <v>134</v>
      </c>
      <c r="B3419">
        <v>1</v>
      </c>
    </row>
    <row r="3420" spans="1:2" x14ac:dyDescent="0.35">
      <c r="A3420">
        <v>134</v>
      </c>
      <c r="B3420">
        <v>1</v>
      </c>
    </row>
    <row r="3421" spans="1:2" x14ac:dyDescent="0.35">
      <c r="A3421">
        <v>134</v>
      </c>
      <c r="B3421">
        <v>1</v>
      </c>
    </row>
    <row r="3422" spans="1:2" x14ac:dyDescent="0.35">
      <c r="A3422">
        <v>134</v>
      </c>
      <c r="B3422">
        <v>1</v>
      </c>
    </row>
    <row r="3423" spans="1:2" x14ac:dyDescent="0.35">
      <c r="A3423">
        <v>134</v>
      </c>
      <c r="B3423">
        <v>1</v>
      </c>
    </row>
    <row r="3424" spans="1:2" x14ac:dyDescent="0.35">
      <c r="A3424">
        <v>134</v>
      </c>
      <c r="B3424">
        <v>1</v>
      </c>
    </row>
    <row r="3425" spans="1:2" x14ac:dyDescent="0.35">
      <c r="A3425">
        <v>134</v>
      </c>
      <c r="B3425">
        <v>1</v>
      </c>
    </row>
    <row r="3426" spans="1:2" x14ac:dyDescent="0.35">
      <c r="A3426">
        <v>134</v>
      </c>
      <c r="B3426">
        <v>1</v>
      </c>
    </row>
    <row r="3427" spans="1:2" x14ac:dyDescent="0.35">
      <c r="A3427">
        <v>135</v>
      </c>
      <c r="B3427">
        <v>1</v>
      </c>
    </row>
    <row r="3428" spans="1:2" x14ac:dyDescent="0.35">
      <c r="A3428">
        <v>135</v>
      </c>
      <c r="B3428">
        <v>1</v>
      </c>
    </row>
    <row r="3429" spans="1:2" x14ac:dyDescent="0.35">
      <c r="A3429">
        <v>135</v>
      </c>
      <c r="B3429">
        <v>1</v>
      </c>
    </row>
    <row r="3430" spans="1:2" x14ac:dyDescent="0.35">
      <c r="A3430">
        <v>135</v>
      </c>
      <c r="B3430">
        <v>1</v>
      </c>
    </row>
    <row r="3431" spans="1:2" x14ac:dyDescent="0.35">
      <c r="A3431">
        <v>135</v>
      </c>
      <c r="B3431">
        <v>1</v>
      </c>
    </row>
    <row r="3432" spans="1:2" x14ac:dyDescent="0.35">
      <c r="A3432">
        <v>135</v>
      </c>
      <c r="B3432">
        <v>1</v>
      </c>
    </row>
    <row r="3433" spans="1:2" x14ac:dyDescent="0.35">
      <c r="A3433">
        <v>135</v>
      </c>
      <c r="B3433">
        <v>1</v>
      </c>
    </row>
    <row r="3434" spans="1:2" x14ac:dyDescent="0.35">
      <c r="A3434">
        <v>135</v>
      </c>
      <c r="B3434">
        <v>1</v>
      </c>
    </row>
    <row r="3435" spans="1:2" x14ac:dyDescent="0.35">
      <c r="A3435">
        <v>135</v>
      </c>
      <c r="B3435">
        <v>1</v>
      </c>
    </row>
    <row r="3436" spans="1:2" x14ac:dyDescent="0.35">
      <c r="A3436">
        <v>135</v>
      </c>
      <c r="B3436">
        <v>1</v>
      </c>
    </row>
    <row r="3437" spans="1:2" x14ac:dyDescent="0.35">
      <c r="A3437">
        <v>135</v>
      </c>
      <c r="B3437">
        <v>1</v>
      </c>
    </row>
    <row r="3438" spans="1:2" x14ac:dyDescent="0.35">
      <c r="A3438">
        <v>135</v>
      </c>
      <c r="B3438">
        <v>1</v>
      </c>
    </row>
    <row r="3439" spans="1:2" x14ac:dyDescent="0.35">
      <c r="A3439">
        <v>135</v>
      </c>
      <c r="B3439">
        <v>1</v>
      </c>
    </row>
    <row r="3440" spans="1:2" x14ac:dyDescent="0.35">
      <c r="A3440">
        <v>135</v>
      </c>
      <c r="B3440">
        <v>1</v>
      </c>
    </row>
    <row r="3441" spans="1:2" x14ac:dyDescent="0.35">
      <c r="A3441">
        <v>135</v>
      </c>
      <c r="B3441">
        <v>1</v>
      </c>
    </row>
    <row r="3442" spans="1:2" x14ac:dyDescent="0.35">
      <c r="A3442">
        <v>135</v>
      </c>
      <c r="B3442">
        <v>1</v>
      </c>
    </row>
    <row r="3443" spans="1:2" x14ac:dyDescent="0.35">
      <c r="A3443">
        <v>135</v>
      </c>
      <c r="B3443">
        <v>1</v>
      </c>
    </row>
    <row r="3444" spans="1:2" x14ac:dyDescent="0.35">
      <c r="A3444">
        <v>135</v>
      </c>
      <c r="B3444">
        <v>1</v>
      </c>
    </row>
    <row r="3445" spans="1:2" x14ac:dyDescent="0.35">
      <c r="A3445">
        <v>135</v>
      </c>
      <c r="B3445">
        <v>1</v>
      </c>
    </row>
    <row r="3446" spans="1:2" x14ac:dyDescent="0.35">
      <c r="A3446">
        <v>135</v>
      </c>
      <c r="B3446">
        <v>1</v>
      </c>
    </row>
    <row r="3447" spans="1:2" x14ac:dyDescent="0.35">
      <c r="A3447">
        <v>135</v>
      </c>
      <c r="B3447">
        <v>1</v>
      </c>
    </row>
    <row r="3448" spans="1:2" x14ac:dyDescent="0.35">
      <c r="A3448">
        <v>135</v>
      </c>
      <c r="B3448">
        <v>1</v>
      </c>
    </row>
    <row r="3449" spans="1:2" x14ac:dyDescent="0.35">
      <c r="A3449">
        <v>135</v>
      </c>
      <c r="B3449">
        <v>1</v>
      </c>
    </row>
    <row r="3450" spans="1:2" x14ac:dyDescent="0.35">
      <c r="A3450">
        <v>135</v>
      </c>
      <c r="B3450">
        <v>1</v>
      </c>
    </row>
    <row r="3451" spans="1:2" x14ac:dyDescent="0.35">
      <c r="A3451">
        <v>135</v>
      </c>
      <c r="B3451">
        <v>1</v>
      </c>
    </row>
    <row r="3452" spans="1:2" x14ac:dyDescent="0.35">
      <c r="A3452">
        <v>135</v>
      </c>
      <c r="B3452">
        <v>1</v>
      </c>
    </row>
    <row r="3453" spans="1:2" x14ac:dyDescent="0.35">
      <c r="A3453">
        <v>135</v>
      </c>
      <c r="B3453">
        <v>1</v>
      </c>
    </row>
    <row r="3454" spans="1:2" x14ac:dyDescent="0.35">
      <c r="A3454">
        <v>135</v>
      </c>
      <c r="B3454">
        <v>1</v>
      </c>
    </row>
    <row r="3455" spans="1:2" x14ac:dyDescent="0.35">
      <c r="A3455">
        <v>135</v>
      </c>
      <c r="B3455">
        <v>1</v>
      </c>
    </row>
    <row r="3456" spans="1:2" x14ac:dyDescent="0.35">
      <c r="A3456">
        <v>135</v>
      </c>
      <c r="B3456">
        <v>1</v>
      </c>
    </row>
    <row r="3457" spans="1:2" x14ac:dyDescent="0.35">
      <c r="A3457">
        <v>135</v>
      </c>
      <c r="B3457">
        <v>1</v>
      </c>
    </row>
    <row r="3458" spans="1:2" x14ac:dyDescent="0.35">
      <c r="A3458">
        <v>135</v>
      </c>
      <c r="B3458">
        <v>1</v>
      </c>
    </row>
    <row r="3459" spans="1:2" x14ac:dyDescent="0.35">
      <c r="A3459">
        <v>135</v>
      </c>
      <c r="B3459">
        <v>1</v>
      </c>
    </row>
    <row r="3460" spans="1:2" x14ac:dyDescent="0.35">
      <c r="A3460">
        <v>136</v>
      </c>
      <c r="B3460">
        <v>1</v>
      </c>
    </row>
    <row r="3461" spans="1:2" x14ac:dyDescent="0.35">
      <c r="A3461">
        <v>136</v>
      </c>
      <c r="B3461">
        <v>1</v>
      </c>
    </row>
    <row r="3462" spans="1:2" x14ac:dyDescent="0.35">
      <c r="A3462">
        <v>136</v>
      </c>
      <c r="B3462">
        <v>1</v>
      </c>
    </row>
    <row r="3463" spans="1:2" x14ac:dyDescent="0.35">
      <c r="A3463">
        <v>136</v>
      </c>
      <c r="B3463">
        <v>1</v>
      </c>
    </row>
    <row r="3464" spans="1:2" x14ac:dyDescent="0.35">
      <c r="A3464">
        <v>136</v>
      </c>
      <c r="B3464">
        <v>1</v>
      </c>
    </row>
    <row r="3465" spans="1:2" x14ac:dyDescent="0.35">
      <c r="A3465">
        <v>136</v>
      </c>
      <c r="B3465">
        <v>1</v>
      </c>
    </row>
    <row r="3466" spans="1:2" x14ac:dyDescent="0.35">
      <c r="A3466">
        <v>136</v>
      </c>
      <c r="B3466">
        <v>1</v>
      </c>
    </row>
    <row r="3467" spans="1:2" x14ac:dyDescent="0.35">
      <c r="A3467">
        <v>136</v>
      </c>
      <c r="B3467">
        <v>1</v>
      </c>
    </row>
    <row r="3468" spans="1:2" x14ac:dyDescent="0.35">
      <c r="A3468">
        <v>136</v>
      </c>
      <c r="B3468">
        <v>1</v>
      </c>
    </row>
    <row r="3469" spans="1:2" x14ac:dyDescent="0.35">
      <c r="A3469">
        <v>136</v>
      </c>
      <c r="B3469">
        <v>1</v>
      </c>
    </row>
    <row r="3470" spans="1:2" x14ac:dyDescent="0.35">
      <c r="A3470">
        <v>136</v>
      </c>
      <c r="B3470">
        <v>1</v>
      </c>
    </row>
    <row r="3471" spans="1:2" x14ac:dyDescent="0.35">
      <c r="A3471">
        <v>136</v>
      </c>
      <c r="B3471">
        <v>1</v>
      </c>
    </row>
    <row r="3472" spans="1:2" x14ac:dyDescent="0.35">
      <c r="A3472">
        <v>136</v>
      </c>
      <c r="B3472">
        <v>1</v>
      </c>
    </row>
    <row r="3473" spans="1:2" x14ac:dyDescent="0.35">
      <c r="A3473">
        <v>136</v>
      </c>
      <c r="B3473">
        <v>1</v>
      </c>
    </row>
    <row r="3474" spans="1:2" x14ac:dyDescent="0.35">
      <c r="A3474">
        <v>136</v>
      </c>
      <c r="B3474">
        <v>1</v>
      </c>
    </row>
    <row r="3475" spans="1:2" x14ac:dyDescent="0.35">
      <c r="A3475">
        <v>136</v>
      </c>
      <c r="B3475">
        <v>1</v>
      </c>
    </row>
    <row r="3476" spans="1:2" x14ac:dyDescent="0.35">
      <c r="A3476">
        <v>136</v>
      </c>
      <c r="B3476">
        <v>1</v>
      </c>
    </row>
    <row r="3477" spans="1:2" x14ac:dyDescent="0.35">
      <c r="A3477">
        <v>136</v>
      </c>
      <c r="B3477">
        <v>1</v>
      </c>
    </row>
    <row r="3478" spans="1:2" x14ac:dyDescent="0.35">
      <c r="A3478">
        <v>136</v>
      </c>
      <c r="B3478">
        <v>1</v>
      </c>
    </row>
    <row r="3479" spans="1:2" x14ac:dyDescent="0.35">
      <c r="A3479">
        <v>136</v>
      </c>
      <c r="B3479">
        <v>1</v>
      </c>
    </row>
    <row r="3480" spans="1:2" x14ac:dyDescent="0.35">
      <c r="A3480">
        <v>136</v>
      </c>
      <c r="B3480">
        <v>1</v>
      </c>
    </row>
    <row r="3481" spans="1:2" x14ac:dyDescent="0.35">
      <c r="A3481">
        <v>136</v>
      </c>
      <c r="B3481">
        <v>1</v>
      </c>
    </row>
    <row r="3482" spans="1:2" x14ac:dyDescent="0.35">
      <c r="A3482">
        <v>136</v>
      </c>
      <c r="B3482">
        <v>1</v>
      </c>
    </row>
    <row r="3483" spans="1:2" x14ac:dyDescent="0.35">
      <c r="A3483">
        <v>136</v>
      </c>
      <c r="B3483">
        <v>1</v>
      </c>
    </row>
    <row r="3484" spans="1:2" x14ac:dyDescent="0.35">
      <c r="A3484">
        <v>136</v>
      </c>
      <c r="B3484">
        <v>1</v>
      </c>
    </row>
    <row r="3485" spans="1:2" x14ac:dyDescent="0.35">
      <c r="A3485">
        <v>136</v>
      </c>
      <c r="B3485">
        <v>1</v>
      </c>
    </row>
    <row r="3486" spans="1:2" x14ac:dyDescent="0.35">
      <c r="A3486">
        <v>136</v>
      </c>
      <c r="B3486">
        <v>1</v>
      </c>
    </row>
    <row r="3487" spans="1:2" x14ac:dyDescent="0.35">
      <c r="A3487">
        <v>136</v>
      </c>
      <c r="B3487">
        <v>1</v>
      </c>
    </row>
    <row r="3488" spans="1:2" x14ac:dyDescent="0.35">
      <c r="A3488">
        <v>136</v>
      </c>
      <c r="B3488">
        <v>1</v>
      </c>
    </row>
    <row r="3489" spans="1:2" x14ac:dyDescent="0.35">
      <c r="A3489">
        <v>136</v>
      </c>
      <c r="B3489">
        <v>1</v>
      </c>
    </row>
    <row r="3490" spans="1:2" x14ac:dyDescent="0.35">
      <c r="A3490">
        <v>136</v>
      </c>
      <c r="B3490">
        <v>1</v>
      </c>
    </row>
    <row r="3491" spans="1:2" x14ac:dyDescent="0.35">
      <c r="A3491">
        <v>136</v>
      </c>
      <c r="B3491">
        <v>1</v>
      </c>
    </row>
    <row r="3492" spans="1:2" x14ac:dyDescent="0.35">
      <c r="A3492">
        <v>136</v>
      </c>
      <c r="B3492">
        <v>1</v>
      </c>
    </row>
    <row r="3493" spans="1:2" x14ac:dyDescent="0.35">
      <c r="A3493">
        <v>136</v>
      </c>
      <c r="B3493">
        <v>1</v>
      </c>
    </row>
    <row r="3494" spans="1:2" x14ac:dyDescent="0.35">
      <c r="A3494">
        <v>136</v>
      </c>
      <c r="B3494">
        <v>1</v>
      </c>
    </row>
    <row r="3495" spans="1:2" x14ac:dyDescent="0.35">
      <c r="A3495">
        <v>137</v>
      </c>
      <c r="B3495">
        <v>1</v>
      </c>
    </row>
    <row r="3496" spans="1:2" x14ac:dyDescent="0.35">
      <c r="A3496">
        <v>137</v>
      </c>
      <c r="B3496">
        <v>1</v>
      </c>
    </row>
    <row r="3497" spans="1:2" x14ac:dyDescent="0.35">
      <c r="A3497">
        <v>137</v>
      </c>
      <c r="B3497">
        <v>1</v>
      </c>
    </row>
    <row r="3498" spans="1:2" x14ac:dyDescent="0.35">
      <c r="A3498">
        <v>137</v>
      </c>
      <c r="B3498">
        <v>1</v>
      </c>
    </row>
    <row r="3499" spans="1:2" x14ac:dyDescent="0.35">
      <c r="A3499">
        <v>137</v>
      </c>
      <c r="B3499">
        <v>1</v>
      </c>
    </row>
    <row r="3500" spans="1:2" x14ac:dyDescent="0.35">
      <c r="A3500">
        <v>137</v>
      </c>
      <c r="B3500">
        <v>1</v>
      </c>
    </row>
    <row r="3501" spans="1:2" x14ac:dyDescent="0.35">
      <c r="A3501">
        <v>137</v>
      </c>
      <c r="B3501">
        <v>1</v>
      </c>
    </row>
    <row r="3502" spans="1:2" x14ac:dyDescent="0.35">
      <c r="A3502">
        <v>137</v>
      </c>
      <c r="B3502">
        <v>1</v>
      </c>
    </row>
    <row r="3503" spans="1:2" x14ac:dyDescent="0.35">
      <c r="A3503">
        <v>137</v>
      </c>
      <c r="B3503">
        <v>1</v>
      </c>
    </row>
    <row r="3504" spans="1:2" x14ac:dyDescent="0.35">
      <c r="A3504">
        <v>137</v>
      </c>
      <c r="B3504">
        <v>1</v>
      </c>
    </row>
    <row r="3505" spans="1:2" x14ac:dyDescent="0.35">
      <c r="A3505">
        <v>137</v>
      </c>
      <c r="B3505">
        <v>1</v>
      </c>
    </row>
    <row r="3506" spans="1:2" x14ac:dyDescent="0.35">
      <c r="A3506">
        <v>137</v>
      </c>
      <c r="B3506">
        <v>1</v>
      </c>
    </row>
    <row r="3507" spans="1:2" x14ac:dyDescent="0.35">
      <c r="A3507">
        <v>137</v>
      </c>
      <c r="B3507">
        <v>1</v>
      </c>
    </row>
    <row r="3508" spans="1:2" x14ac:dyDescent="0.35">
      <c r="A3508">
        <v>137</v>
      </c>
      <c r="B3508">
        <v>1</v>
      </c>
    </row>
    <row r="3509" spans="1:2" x14ac:dyDescent="0.35">
      <c r="A3509">
        <v>137</v>
      </c>
      <c r="B3509">
        <v>1</v>
      </c>
    </row>
    <row r="3510" spans="1:2" x14ac:dyDescent="0.35">
      <c r="A3510">
        <v>137</v>
      </c>
      <c r="B3510">
        <v>1</v>
      </c>
    </row>
    <row r="3511" spans="1:2" x14ac:dyDescent="0.35">
      <c r="A3511">
        <v>137</v>
      </c>
      <c r="B3511">
        <v>1</v>
      </c>
    </row>
    <row r="3512" spans="1:2" x14ac:dyDescent="0.35">
      <c r="A3512">
        <v>137</v>
      </c>
      <c r="B3512">
        <v>1</v>
      </c>
    </row>
    <row r="3513" spans="1:2" x14ac:dyDescent="0.35">
      <c r="A3513">
        <v>137</v>
      </c>
      <c r="B3513">
        <v>1</v>
      </c>
    </row>
    <row r="3514" spans="1:2" x14ac:dyDescent="0.35">
      <c r="A3514">
        <v>137</v>
      </c>
      <c r="B3514">
        <v>1</v>
      </c>
    </row>
    <row r="3515" spans="1:2" x14ac:dyDescent="0.35">
      <c r="A3515">
        <v>137</v>
      </c>
      <c r="B3515">
        <v>1</v>
      </c>
    </row>
    <row r="3516" spans="1:2" x14ac:dyDescent="0.35">
      <c r="A3516">
        <v>138</v>
      </c>
      <c r="B3516">
        <v>1</v>
      </c>
    </row>
    <row r="3517" spans="1:2" x14ac:dyDescent="0.35">
      <c r="A3517">
        <v>138</v>
      </c>
      <c r="B3517">
        <v>1</v>
      </c>
    </row>
    <row r="3518" spans="1:2" x14ac:dyDescent="0.35">
      <c r="A3518">
        <v>138</v>
      </c>
      <c r="B3518">
        <v>1</v>
      </c>
    </row>
    <row r="3519" spans="1:2" x14ac:dyDescent="0.35">
      <c r="A3519">
        <v>138</v>
      </c>
      <c r="B3519">
        <v>1</v>
      </c>
    </row>
    <row r="3520" spans="1:2" x14ac:dyDescent="0.35">
      <c r="A3520">
        <v>138</v>
      </c>
      <c r="B3520">
        <v>1</v>
      </c>
    </row>
    <row r="3521" spans="1:2" x14ac:dyDescent="0.35">
      <c r="A3521">
        <v>138</v>
      </c>
      <c r="B3521">
        <v>1</v>
      </c>
    </row>
    <row r="3522" spans="1:2" x14ac:dyDescent="0.35">
      <c r="A3522">
        <v>138</v>
      </c>
      <c r="B3522">
        <v>1</v>
      </c>
    </row>
    <row r="3523" spans="1:2" x14ac:dyDescent="0.35">
      <c r="A3523">
        <v>138</v>
      </c>
      <c r="B3523">
        <v>1</v>
      </c>
    </row>
    <row r="3524" spans="1:2" x14ac:dyDescent="0.35">
      <c r="A3524">
        <v>138</v>
      </c>
      <c r="B3524">
        <v>1</v>
      </c>
    </row>
    <row r="3525" spans="1:2" x14ac:dyDescent="0.35">
      <c r="A3525">
        <v>138</v>
      </c>
      <c r="B3525">
        <v>1</v>
      </c>
    </row>
    <row r="3526" spans="1:2" x14ac:dyDescent="0.35">
      <c r="A3526">
        <v>138</v>
      </c>
      <c r="B3526">
        <v>1</v>
      </c>
    </row>
    <row r="3527" spans="1:2" x14ac:dyDescent="0.35">
      <c r="A3527">
        <v>138</v>
      </c>
      <c r="B3527">
        <v>1</v>
      </c>
    </row>
    <row r="3528" spans="1:2" x14ac:dyDescent="0.35">
      <c r="A3528">
        <v>138</v>
      </c>
      <c r="B3528">
        <v>1</v>
      </c>
    </row>
    <row r="3529" spans="1:2" x14ac:dyDescent="0.35">
      <c r="A3529">
        <v>138</v>
      </c>
      <c r="B3529">
        <v>1</v>
      </c>
    </row>
    <row r="3530" spans="1:2" x14ac:dyDescent="0.35">
      <c r="A3530">
        <v>138</v>
      </c>
      <c r="B3530">
        <v>1</v>
      </c>
    </row>
    <row r="3531" spans="1:2" x14ac:dyDescent="0.35">
      <c r="A3531">
        <v>138</v>
      </c>
      <c r="B3531">
        <v>1</v>
      </c>
    </row>
    <row r="3532" spans="1:2" x14ac:dyDescent="0.35">
      <c r="A3532">
        <v>138</v>
      </c>
      <c r="B3532">
        <v>1</v>
      </c>
    </row>
    <row r="3533" spans="1:2" x14ac:dyDescent="0.35">
      <c r="A3533">
        <v>138</v>
      </c>
      <c r="B3533">
        <v>1</v>
      </c>
    </row>
    <row r="3534" spans="1:2" x14ac:dyDescent="0.35">
      <c r="A3534">
        <v>138</v>
      </c>
      <c r="B3534">
        <v>1</v>
      </c>
    </row>
    <row r="3535" spans="1:2" x14ac:dyDescent="0.35">
      <c r="A3535">
        <v>138</v>
      </c>
      <c r="B3535">
        <v>1</v>
      </c>
    </row>
    <row r="3536" spans="1:2" x14ac:dyDescent="0.35">
      <c r="A3536">
        <v>138</v>
      </c>
      <c r="B3536">
        <v>1</v>
      </c>
    </row>
    <row r="3537" spans="1:2" x14ac:dyDescent="0.35">
      <c r="A3537">
        <v>138</v>
      </c>
      <c r="B3537">
        <v>1</v>
      </c>
    </row>
    <row r="3538" spans="1:2" x14ac:dyDescent="0.35">
      <c r="A3538">
        <v>138</v>
      </c>
      <c r="B3538">
        <v>1</v>
      </c>
    </row>
    <row r="3539" spans="1:2" x14ac:dyDescent="0.35">
      <c r="A3539">
        <v>138</v>
      </c>
      <c r="B3539">
        <v>1</v>
      </c>
    </row>
    <row r="3540" spans="1:2" x14ac:dyDescent="0.35">
      <c r="A3540">
        <v>138</v>
      </c>
      <c r="B3540">
        <v>1</v>
      </c>
    </row>
    <row r="3541" spans="1:2" x14ac:dyDescent="0.35">
      <c r="A3541">
        <v>138</v>
      </c>
      <c r="B3541">
        <v>1</v>
      </c>
    </row>
    <row r="3542" spans="1:2" x14ac:dyDescent="0.35">
      <c r="A3542">
        <v>138</v>
      </c>
      <c r="B3542">
        <v>1</v>
      </c>
    </row>
    <row r="3543" spans="1:2" x14ac:dyDescent="0.35">
      <c r="A3543">
        <v>138</v>
      </c>
      <c r="B3543">
        <v>1</v>
      </c>
    </row>
    <row r="3544" spans="1:2" x14ac:dyDescent="0.35">
      <c r="A3544">
        <v>138</v>
      </c>
      <c r="B3544">
        <v>1</v>
      </c>
    </row>
    <row r="3545" spans="1:2" x14ac:dyDescent="0.35">
      <c r="A3545">
        <v>138</v>
      </c>
      <c r="B3545">
        <v>1</v>
      </c>
    </row>
    <row r="3546" spans="1:2" x14ac:dyDescent="0.35">
      <c r="A3546">
        <v>138</v>
      </c>
      <c r="B3546">
        <v>1</v>
      </c>
    </row>
    <row r="3547" spans="1:2" x14ac:dyDescent="0.35">
      <c r="A3547">
        <v>138</v>
      </c>
      <c r="B3547">
        <v>1</v>
      </c>
    </row>
    <row r="3548" spans="1:2" x14ac:dyDescent="0.35">
      <c r="A3548">
        <v>138</v>
      </c>
      <c r="B3548">
        <v>1</v>
      </c>
    </row>
    <row r="3549" spans="1:2" x14ac:dyDescent="0.35">
      <c r="A3549">
        <v>138</v>
      </c>
      <c r="B3549">
        <v>1</v>
      </c>
    </row>
    <row r="3550" spans="1:2" x14ac:dyDescent="0.35">
      <c r="A3550">
        <v>139</v>
      </c>
      <c r="B3550">
        <v>1</v>
      </c>
    </row>
    <row r="3551" spans="1:2" x14ac:dyDescent="0.35">
      <c r="A3551">
        <v>139</v>
      </c>
      <c r="B3551">
        <v>1</v>
      </c>
    </row>
    <row r="3552" spans="1:2" x14ac:dyDescent="0.35">
      <c r="A3552">
        <v>139</v>
      </c>
      <c r="B3552">
        <v>1</v>
      </c>
    </row>
    <row r="3553" spans="1:2" x14ac:dyDescent="0.35">
      <c r="A3553">
        <v>139</v>
      </c>
      <c r="B3553">
        <v>1</v>
      </c>
    </row>
    <row r="3554" spans="1:2" x14ac:dyDescent="0.35">
      <c r="A3554">
        <v>139</v>
      </c>
      <c r="B3554">
        <v>1</v>
      </c>
    </row>
    <row r="3555" spans="1:2" x14ac:dyDescent="0.35">
      <c r="A3555">
        <v>139</v>
      </c>
      <c r="B3555">
        <v>1</v>
      </c>
    </row>
    <row r="3556" spans="1:2" x14ac:dyDescent="0.35">
      <c r="A3556">
        <v>139</v>
      </c>
      <c r="B3556">
        <v>1</v>
      </c>
    </row>
    <row r="3557" spans="1:2" x14ac:dyDescent="0.35">
      <c r="A3557">
        <v>139</v>
      </c>
      <c r="B3557">
        <v>1</v>
      </c>
    </row>
    <row r="3558" spans="1:2" x14ac:dyDescent="0.35">
      <c r="A3558">
        <v>139</v>
      </c>
      <c r="B3558">
        <v>1</v>
      </c>
    </row>
    <row r="3559" spans="1:2" x14ac:dyDescent="0.35">
      <c r="A3559">
        <v>139</v>
      </c>
      <c r="B3559">
        <v>1</v>
      </c>
    </row>
    <row r="3560" spans="1:2" x14ac:dyDescent="0.35">
      <c r="A3560">
        <v>139</v>
      </c>
      <c r="B3560">
        <v>1</v>
      </c>
    </row>
    <row r="3561" spans="1:2" x14ac:dyDescent="0.35">
      <c r="A3561">
        <v>139</v>
      </c>
      <c r="B3561">
        <v>1</v>
      </c>
    </row>
    <row r="3562" spans="1:2" x14ac:dyDescent="0.35">
      <c r="A3562">
        <v>139</v>
      </c>
      <c r="B3562">
        <v>1</v>
      </c>
    </row>
    <row r="3563" spans="1:2" x14ac:dyDescent="0.35">
      <c r="A3563">
        <v>139</v>
      </c>
      <c r="B3563">
        <v>1</v>
      </c>
    </row>
    <row r="3564" spans="1:2" x14ac:dyDescent="0.35">
      <c r="A3564">
        <v>139</v>
      </c>
      <c r="B3564">
        <v>1</v>
      </c>
    </row>
    <row r="3565" spans="1:2" x14ac:dyDescent="0.35">
      <c r="A3565">
        <v>139</v>
      </c>
      <c r="B3565">
        <v>1</v>
      </c>
    </row>
    <row r="3566" spans="1:2" x14ac:dyDescent="0.35">
      <c r="A3566">
        <v>139</v>
      </c>
      <c r="B3566">
        <v>1</v>
      </c>
    </row>
    <row r="3567" spans="1:2" x14ac:dyDescent="0.35">
      <c r="A3567">
        <v>139</v>
      </c>
      <c r="B3567">
        <v>1</v>
      </c>
    </row>
    <row r="3568" spans="1:2" x14ac:dyDescent="0.35">
      <c r="A3568">
        <v>139</v>
      </c>
      <c r="B3568">
        <v>1</v>
      </c>
    </row>
    <row r="3569" spans="1:2" x14ac:dyDescent="0.35">
      <c r="A3569">
        <v>139</v>
      </c>
      <c r="B3569">
        <v>1</v>
      </c>
    </row>
    <row r="3570" spans="1:2" x14ac:dyDescent="0.35">
      <c r="A3570">
        <v>139</v>
      </c>
      <c r="B3570">
        <v>1</v>
      </c>
    </row>
    <row r="3571" spans="1:2" x14ac:dyDescent="0.35">
      <c r="A3571">
        <v>139</v>
      </c>
      <c r="B3571">
        <v>1</v>
      </c>
    </row>
    <row r="3572" spans="1:2" x14ac:dyDescent="0.35">
      <c r="A3572">
        <v>139</v>
      </c>
      <c r="B3572">
        <v>1</v>
      </c>
    </row>
    <row r="3573" spans="1:2" x14ac:dyDescent="0.35">
      <c r="A3573">
        <v>139</v>
      </c>
      <c r="B3573">
        <v>1</v>
      </c>
    </row>
    <row r="3574" spans="1:2" x14ac:dyDescent="0.35">
      <c r="A3574">
        <v>139</v>
      </c>
      <c r="B3574">
        <v>1</v>
      </c>
    </row>
    <row r="3575" spans="1:2" x14ac:dyDescent="0.35">
      <c r="A3575">
        <v>139</v>
      </c>
      <c r="B3575">
        <v>1</v>
      </c>
    </row>
    <row r="3576" spans="1:2" x14ac:dyDescent="0.35">
      <c r="A3576">
        <v>139</v>
      </c>
      <c r="B3576">
        <v>1</v>
      </c>
    </row>
    <row r="3577" spans="1:2" x14ac:dyDescent="0.35">
      <c r="A3577">
        <v>139</v>
      </c>
      <c r="B3577">
        <v>1</v>
      </c>
    </row>
    <row r="3578" spans="1:2" x14ac:dyDescent="0.35">
      <c r="A3578">
        <v>139</v>
      </c>
      <c r="B3578">
        <v>1</v>
      </c>
    </row>
    <row r="3579" spans="1:2" x14ac:dyDescent="0.35">
      <c r="A3579">
        <v>139</v>
      </c>
      <c r="B3579">
        <v>1</v>
      </c>
    </row>
    <row r="3580" spans="1:2" x14ac:dyDescent="0.35">
      <c r="A3580">
        <v>140</v>
      </c>
      <c r="B3580">
        <v>1</v>
      </c>
    </row>
    <row r="3581" spans="1:2" x14ac:dyDescent="0.35">
      <c r="A3581">
        <v>140</v>
      </c>
      <c r="B3581">
        <v>1</v>
      </c>
    </row>
    <row r="3582" spans="1:2" x14ac:dyDescent="0.35">
      <c r="A3582">
        <v>140</v>
      </c>
      <c r="B3582">
        <v>1</v>
      </c>
    </row>
    <row r="3583" spans="1:2" x14ac:dyDescent="0.35">
      <c r="A3583">
        <v>140</v>
      </c>
      <c r="B3583">
        <v>1</v>
      </c>
    </row>
    <row r="3584" spans="1:2" x14ac:dyDescent="0.35">
      <c r="A3584">
        <v>140</v>
      </c>
      <c r="B3584">
        <v>1</v>
      </c>
    </row>
    <row r="3585" spans="1:2" x14ac:dyDescent="0.35">
      <c r="A3585">
        <v>140</v>
      </c>
      <c r="B3585">
        <v>1</v>
      </c>
    </row>
    <row r="3586" spans="1:2" x14ac:dyDescent="0.35">
      <c r="A3586">
        <v>140</v>
      </c>
      <c r="B3586">
        <v>1</v>
      </c>
    </row>
    <row r="3587" spans="1:2" x14ac:dyDescent="0.35">
      <c r="A3587">
        <v>140</v>
      </c>
      <c r="B3587">
        <v>1</v>
      </c>
    </row>
    <row r="3588" spans="1:2" x14ac:dyDescent="0.35">
      <c r="A3588">
        <v>140</v>
      </c>
      <c r="B3588">
        <v>1</v>
      </c>
    </row>
    <row r="3589" spans="1:2" x14ac:dyDescent="0.35">
      <c r="A3589">
        <v>140</v>
      </c>
      <c r="B3589">
        <v>1</v>
      </c>
    </row>
    <row r="3590" spans="1:2" x14ac:dyDescent="0.35">
      <c r="A3590">
        <v>140</v>
      </c>
      <c r="B3590">
        <v>1</v>
      </c>
    </row>
    <row r="3591" spans="1:2" x14ac:dyDescent="0.35">
      <c r="A3591">
        <v>140</v>
      </c>
      <c r="B3591">
        <v>1</v>
      </c>
    </row>
    <row r="3592" spans="1:2" x14ac:dyDescent="0.35">
      <c r="A3592">
        <v>140</v>
      </c>
      <c r="B3592">
        <v>1</v>
      </c>
    </row>
    <row r="3593" spans="1:2" x14ac:dyDescent="0.35">
      <c r="A3593">
        <v>140</v>
      </c>
      <c r="B3593">
        <v>1</v>
      </c>
    </row>
    <row r="3594" spans="1:2" x14ac:dyDescent="0.35">
      <c r="A3594">
        <v>140</v>
      </c>
      <c r="B3594">
        <v>1</v>
      </c>
    </row>
    <row r="3595" spans="1:2" x14ac:dyDescent="0.35">
      <c r="A3595">
        <v>140</v>
      </c>
      <c r="B3595">
        <v>1</v>
      </c>
    </row>
    <row r="3596" spans="1:2" x14ac:dyDescent="0.35">
      <c r="A3596">
        <v>140</v>
      </c>
      <c r="B3596">
        <v>1</v>
      </c>
    </row>
    <row r="3597" spans="1:2" x14ac:dyDescent="0.35">
      <c r="A3597">
        <v>140</v>
      </c>
      <c r="B3597">
        <v>1</v>
      </c>
    </row>
    <row r="3598" spans="1:2" x14ac:dyDescent="0.35">
      <c r="A3598">
        <v>140</v>
      </c>
      <c r="B3598">
        <v>1</v>
      </c>
    </row>
    <row r="3599" spans="1:2" x14ac:dyDescent="0.35">
      <c r="A3599">
        <v>140</v>
      </c>
      <c r="B3599">
        <v>1</v>
      </c>
    </row>
    <row r="3600" spans="1:2" x14ac:dyDescent="0.35">
      <c r="A3600">
        <v>140</v>
      </c>
      <c r="B3600">
        <v>1</v>
      </c>
    </row>
    <row r="3601" spans="1:2" x14ac:dyDescent="0.35">
      <c r="A3601">
        <v>140</v>
      </c>
      <c r="B3601">
        <v>1</v>
      </c>
    </row>
    <row r="3602" spans="1:2" x14ac:dyDescent="0.35">
      <c r="A3602">
        <v>140</v>
      </c>
      <c r="B3602">
        <v>1</v>
      </c>
    </row>
    <row r="3603" spans="1:2" x14ac:dyDescent="0.35">
      <c r="A3603">
        <v>140</v>
      </c>
      <c r="B3603">
        <v>1</v>
      </c>
    </row>
    <row r="3604" spans="1:2" x14ac:dyDescent="0.35">
      <c r="A3604">
        <v>140</v>
      </c>
      <c r="B3604">
        <v>1</v>
      </c>
    </row>
    <row r="3605" spans="1:2" x14ac:dyDescent="0.35">
      <c r="A3605">
        <v>140</v>
      </c>
      <c r="B3605">
        <v>1</v>
      </c>
    </row>
    <row r="3606" spans="1:2" x14ac:dyDescent="0.35">
      <c r="A3606">
        <v>140</v>
      </c>
      <c r="B3606">
        <v>1</v>
      </c>
    </row>
    <row r="3607" spans="1:2" x14ac:dyDescent="0.35">
      <c r="A3607">
        <v>140</v>
      </c>
      <c r="B3607">
        <v>1</v>
      </c>
    </row>
    <row r="3608" spans="1:2" x14ac:dyDescent="0.35">
      <c r="A3608">
        <v>141</v>
      </c>
      <c r="B3608">
        <v>1</v>
      </c>
    </row>
    <row r="3609" spans="1:2" x14ac:dyDescent="0.35">
      <c r="A3609">
        <v>141</v>
      </c>
      <c r="B3609">
        <v>1</v>
      </c>
    </row>
    <row r="3610" spans="1:2" x14ac:dyDescent="0.35">
      <c r="A3610">
        <v>141</v>
      </c>
      <c r="B3610">
        <v>1</v>
      </c>
    </row>
    <row r="3611" spans="1:2" x14ac:dyDescent="0.35">
      <c r="A3611">
        <v>141</v>
      </c>
      <c r="B3611">
        <v>1</v>
      </c>
    </row>
    <row r="3612" spans="1:2" x14ac:dyDescent="0.35">
      <c r="A3612">
        <v>141</v>
      </c>
      <c r="B3612">
        <v>1</v>
      </c>
    </row>
    <row r="3613" spans="1:2" x14ac:dyDescent="0.35">
      <c r="A3613">
        <v>141</v>
      </c>
      <c r="B3613">
        <v>1</v>
      </c>
    </row>
    <row r="3614" spans="1:2" x14ac:dyDescent="0.35">
      <c r="A3614">
        <v>141</v>
      </c>
      <c r="B3614">
        <v>1</v>
      </c>
    </row>
    <row r="3615" spans="1:2" x14ac:dyDescent="0.35">
      <c r="A3615">
        <v>141</v>
      </c>
      <c r="B3615">
        <v>1</v>
      </c>
    </row>
    <row r="3616" spans="1:2" x14ac:dyDescent="0.35">
      <c r="A3616">
        <v>141</v>
      </c>
      <c r="B3616">
        <v>1</v>
      </c>
    </row>
    <row r="3617" spans="1:2" x14ac:dyDescent="0.35">
      <c r="A3617">
        <v>141</v>
      </c>
      <c r="B3617">
        <v>1</v>
      </c>
    </row>
    <row r="3618" spans="1:2" x14ac:dyDescent="0.35">
      <c r="A3618">
        <v>141</v>
      </c>
      <c r="B3618">
        <v>1</v>
      </c>
    </row>
    <row r="3619" spans="1:2" x14ac:dyDescent="0.35">
      <c r="A3619">
        <v>141</v>
      </c>
      <c r="B3619">
        <v>1</v>
      </c>
    </row>
    <row r="3620" spans="1:2" x14ac:dyDescent="0.35">
      <c r="A3620">
        <v>141</v>
      </c>
      <c r="B3620">
        <v>1</v>
      </c>
    </row>
    <row r="3621" spans="1:2" x14ac:dyDescent="0.35">
      <c r="A3621">
        <v>141</v>
      </c>
      <c r="B3621">
        <v>1</v>
      </c>
    </row>
    <row r="3622" spans="1:2" x14ac:dyDescent="0.35">
      <c r="A3622">
        <v>141</v>
      </c>
      <c r="B3622">
        <v>1</v>
      </c>
    </row>
    <row r="3623" spans="1:2" x14ac:dyDescent="0.35">
      <c r="A3623">
        <v>141</v>
      </c>
      <c r="B3623">
        <v>1</v>
      </c>
    </row>
    <row r="3624" spans="1:2" x14ac:dyDescent="0.35">
      <c r="A3624">
        <v>141</v>
      </c>
      <c r="B3624">
        <v>1</v>
      </c>
    </row>
    <row r="3625" spans="1:2" x14ac:dyDescent="0.35">
      <c r="A3625">
        <v>141</v>
      </c>
      <c r="B3625">
        <v>1</v>
      </c>
    </row>
    <row r="3626" spans="1:2" x14ac:dyDescent="0.35">
      <c r="A3626">
        <v>141</v>
      </c>
      <c r="B3626">
        <v>1</v>
      </c>
    </row>
    <row r="3627" spans="1:2" x14ac:dyDescent="0.35">
      <c r="A3627">
        <v>141</v>
      </c>
      <c r="B3627">
        <v>1</v>
      </c>
    </row>
    <row r="3628" spans="1:2" x14ac:dyDescent="0.35">
      <c r="A3628">
        <v>141</v>
      </c>
      <c r="B3628">
        <v>1</v>
      </c>
    </row>
    <row r="3629" spans="1:2" x14ac:dyDescent="0.35">
      <c r="A3629">
        <v>141</v>
      </c>
      <c r="B3629">
        <v>1</v>
      </c>
    </row>
    <row r="3630" spans="1:2" x14ac:dyDescent="0.35">
      <c r="A3630">
        <v>141</v>
      </c>
      <c r="B3630">
        <v>1</v>
      </c>
    </row>
    <row r="3631" spans="1:2" x14ac:dyDescent="0.35">
      <c r="A3631">
        <v>141</v>
      </c>
      <c r="B3631">
        <v>1</v>
      </c>
    </row>
    <row r="3632" spans="1:2" x14ac:dyDescent="0.35">
      <c r="A3632">
        <v>142</v>
      </c>
      <c r="B3632">
        <v>1</v>
      </c>
    </row>
    <row r="3633" spans="1:2" x14ac:dyDescent="0.35">
      <c r="A3633">
        <v>142</v>
      </c>
      <c r="B3633">
        <v>1</v>
      </c>
    </row>
    <row r="3634" spans="1:2" x14ac:dyDescent="0.35">
      <c r="A3634">
        <v>142</v>
      </c>
      <c r="B3634">
        <v>1</v>
      </c>
    </row>
    <row r="3635" spans="1:2" x14ac:dyDescent="0.35">
      <c r="A3635">
        <v>142</v>
      </c>
      <c r="B3635">
        <v>1</v>
      </c>
    </row>
    <row r="3636" spans="1:2" x14ac:dyDescent="0.35">
      <c r="A3636">
        <v>142</v>
      </c>
      <c r="B3636">
        <v>1</v>
      </c>
    </row>
    <row r="3637" spans="1:2" x14ac:dyDescent="0.35">
      <c r="A3637">
        <v>142</v>
      </c>
      <c r="B3637">
        <v>1</v>
      </c>
    </row>
    <row r="3638" spans="1:2" x14ac:dyDescent="0.35">
      <c r="A3638">
        <v>142</v>
      </c>
      <c r="B3638">
        <v>1</v>
      </c>
    </row>
    <row r="3639" spans="1:2" x14ac:dyDescent="0.35">
      <c r="A3639">
        <v>142</v>
      </c>
      <c r="B3639">
        <v>1</v>
      </c>
    </row>
    <row r="3640" spans="1:2" x14ac:dyDescent="0.35">
      <c r="A3640">
        <v>142</v>
      </c>
      <c r="B3640">
        <v>1</v>
      </c>
    </row>
    <row r="3641" spans="1:2" x14ac:dyDescent="0.35">
      <c r="A3641">
        <v>142</v>
      </c>
      <c r="B3641">
        <v>1</v>
      </c>
    </row>
    <row r="3642" spans="1:2" x14ac:dyDescent="0.35">
      <c r="A3642">
        <v>142</v>
      </c>
      <c r="B3642">
        <v>1</v>
      </c>
    </row>
    <row r="3643" spans="1:2" x14ac:dyDescent="0.35">
      <c r="A3643">
        <v>142</v>
      </c>
      <c r="B3643">
        <v>1</v>
      </c>
    </row>
    <row r="3644" spans="1:2" x14ac:dyDescent="0.35">
      <c r="A3644">
        <v>142</v>
      </c>
      <c r="B3644">
        <v>1</v>
      </c>
    </row>
    <row r="3645" spans="1:2" x14ac:dyDescent="0.35">
      <c r="A3645">
        <v>142</v>
      </c>
      <c r="B3645">
        <v>1</v>
      </c>
    </row>
    <row r="3646" spans="1:2" x14ac:dyDescent="0.35">
      <c r="A3646">
        <v>142</v>
      </c>
      <c r="B3646">
        <v>1</v>
      </c>
    </row>
    <row r="3647" spans="1:2" x14ac:dyDescent="0.35">
      <c r="A3647">
        <v>142</v>
      </c>
      <c r="B3647">
        <v>1</v>
      </c>
    </row>
    <row r="3648" spans="1:2" x14ac:dyDescent="0.35">
      <c r="A3648">
        <v>142</v>
      </c>
      <c r="B3648">
        <v>1</v>
      </c>
    </row>
    <row r="3649" spans="1:2" x14ac:dyDescent="0.35">
      <c r="A3649">
        <v>142</v>
      </c>
      <c r="B3649">
        <v>1</v>
      </c>
    </row>
    <row r="3650" spans="1:2" x14ac:dyDescent="0.35">
      <c r="A3650">
        <v>142</v>
      </c>
      <c r="B3650">
        <v>1</v>
      </c>
    </row>
    <row r="3651" spans="1:2" x14ac:dyDescent="0.35">
      <c r="A3651">
        <v>142</v>
      </c>
      <c r="B3651">
        <v>1</v>
      </c>
    </row>
    <row r="3652" spans="1:2" x14ac:dyDescent="0.35">
      <c r="A3652">
        <v>142</v>
      </c>
      <c r="B3652">
        <v>1</v>
      </c>
    </row>
    <row r="3653" spans="1:2" x14ac:dyDescent="0.35">
      <c r="A3653">
        <v>142</v>
      </c>
      <c r="B3653">
        <v>1</v>
      </c>
    </row>
    <row r="3654" spans="1:2" x14ac:dyDescent="0.35">
      <c r="A3654">
        <v>142</v>
      </c>
      <c r="B3654">
        <v>1</v>
      </c>
    </row>
    <row r="3655" spans="1:2" x14ac:dyDescent="0.35">
      <c r="A3655">
        <v>142</v>
      </c>
      <c r="B3655">
        <v>1</v>
      </c>
    </row>
    <row r="3656" spans="1:2" x14ac:dyDescent="0.35">
      <c r="A3656">
        <v>142</v>
      </c>
      <c r="B3656">
        <v>1</v>
      </c>
    </row>
    <row r="3657" spans="1:2" x14ac:dyDescent="0.35">
      <c r="A3657">
        <v>142</v>
      </c>
      <c r="B3657">
        <v>1</v>
      </c>
    </row>
    <row r="3658" spans="1:2" x14ac:dyDescent="0.35">
      <c r="A3658">
        <v>142</v>
      </c>
      <c r="B3658">
        <v>1</v>
      </c>
    </row>
    <row r="3659" spans="1:2" x14ac:dyDescent="0.35">
      <c r="A3659">
        <v>142</v>
      </c>
      <c r="B3659">
        <v>1</v>
      </c>
    </row>
    <row r="3660" spans="1:2" x14ac:dyDescent="0.35">
      <c r="A3660">
        <v>142</v>
      </c>
      <c r="B3660">
        <v>1</v>
      </c>
    </row>
    <row r="3661" spans="1:2" x14ac:dyDescent="0.35">
      <c r="A3661">
        <v>143</v>
      </c>
      <c r="B3661">
        <v>1</v>
      </c>
    </row>
    <row r="3662" spans="1:2" x14ac:dyDescent="0.35">
      <c r="A3662">
        <v>143</v>
      </c>
      <c r="B3662">
        <v>1</v>
      </c>
    </row>
    <row r="3663" spans="1:2" x14ac:dyDescent="0.35">
      <c r="A3663">
        <v>143</v>
      </c>
      <c r="B3663">
        <v>1</v>
      </c>
    </row>
    <row r="3664" spans="1:2" x14ac:dyDescent="0.35">
      <c r="A3664">
        <v>143</v>
      </c>
      <c r="B3664">
        <v>1</v>
      </c>
    </row>
    <row r="3665" spans="1:2" x14ac:dyDescent="0.35">
      <c r="A3665">
        <v>143</v>
      </c>
      <c r="B3665">
        <v>1</v>
      </c>
    </row>
    <row r="3666" spans="1:2" x14ac:dyDescent="0.35">
      <c r="A3666">
        <v>143</v>
      </c>
      <c r="B3666">
        <v>1</v>
      </c>
    </row>
    <row r="3667" spans="1:2" x14ac:dyDescent="0.35">
      <c r="A3667">
        <v>143</v>
      </c>
      <c r="B3667">
        <v>1</v>
      </c>
    </row>
    <row r="3668" spans="1:2" x14ac:dyDescent="0.35">
      <c r="A3668">
        <v>143</v>
      </c>
      <c r="B3668">
        <v>1</v>
      </c>
    </row>
    <row r="3669" spans="1:2" x14ac:dyDescent="0.35">
      <c r="A3669">
        <v>143</v>
      </c>
      <c r="B3669">
        <v>1</v>
      </c>
    </row>
    <row r="3670" spans="1:2" x14ac:dyDescent="0.35">
      <c r="A3670">
        <v>143</v>
      </c>
      <c r="B3670">
        <v>1</v>
      </c>
    </row>
    <row r="3671" spans="1:2" x14ac:dyDescent="0.35">
      <c r="A3671">
        <v>143</v>
      </c>
      <c r="B3671">
        <v>1</v>
      </c>
    </row>
    <row r="3672" spans="1:2" x14ac:dyDescent="0.35">
      <c r="A3672">
        <v>143</v>
      </c>
      <c r="B3672">
        <v>1</v>
      </c>
    </row>
    <row r="3673" spans="1:2" x14ac:dyDescent="0.35">
      <c r="A3673">
        <v>143</v>
      </c>
      <c r="B3673">
        <v>1</v>
      </c>
    </row>
    <row r="3674" spans="1:2" x14ac:dyDescent="0.35">
      <c r="A3674">
        <v>143</v>
      </c>
      <c r="B3674">
        <v>1</v>
      </c>
    </row>
    <row r="3675" spans="1:2" x14ac:dyDescent="0.35">
      <c r="A3675">
        <v>143</v>
      </c>
      <c r="B3675">
        <v>1</v>
      </c>
    </row>
    <row r="3676" spans="1:2" x14ac:dyDescent="0.35">
      <c r="A3676">
        <v>143</v>
      </c>
      <c r="B3676">
        <v>1</v>
      </c>
    </row>
    <row r="3677" spans="1:2" x14ac:dyDescent="0.35">
      <c r="A3677">
        <v>143</v>
      </c>
      <c r="B3677">
        <v>1</v>
      </c>
    </row>
    <row r="3678" spans="1:2" x14ac:dyDescent="0.35">
      <c r="A3678">
        <v>143</v>
      </c>
      <c r="B3678">
        <v>1</v>
      </c>
    </row>
    <row r="3679" spans="1:2" x14ac:dyDescent="0.35">
      <c r="A3679">
        <v>143</v>
      </c>
      <c r="B3679">
        <v>1</v>
      </c>
    </row>
    <row r="3680" spans="1:2" x14ac:dyDescent="0.35">
      <c r="A3680">
        <v>143</v>
      </c>
      <c r="B3680">
        <v>1</v>
      </c>
    </row>
    <row r="3681" spans="1:2" x14ac:dyDescent="0.35">
      <c r="A3681">
        <v>143</v>
      </c>
      <c r="B3681">
        <v>1</v>
      </c>
    </row>
    <row r="3682" spans="1:2" x14ac:dyDescent="0.35">
      <c r="A3682">
        <v>143</v>
      </c>
      <c r="B3682">
        <v>1</v>
      </c>
    </row>
    <row r="3683" spans="1:2" x14ac:dyDescent="0.35">
      <c r="A3683">
        <v>143</v>
      </c>
      <c r="B3683">
        <v>1</v>
      </c>
    </row>
    <row r="3684" spans="1:2" x14ac:dyDescent="0.35">
      <c r="A3684">
        <v>143</v>
      </c>
      <c r="B3684">
        <v>1</v>
      </c>
    </row>
    <row r="3685" spans="1:2" x14ac:dyDescent="0.35">
      <c r="A3685">
        <v>143</v>
      </c>
      <c r="B3685">
        <v>1</v>
      </c>
    </row>
    <row r="3686" spans="1:2" x14ac:dyDescent="0.35">
      <c r="A3686">
        <v>143</v>
      </c>
      <c r="B3686">
        <v>1</v>
      </c>
    </row>
    <row r="3687" spans="1:2" x14ac:dyDescent="0.35">
      <c r="A3687">
        <v>143</v>
      </c>
      <c r="B3687">
        <v>1</v>
      </c>
    </row>
    <row r="3688" spans="1:2" x14ac:dyDescent="0.35">
      <c r="A3688">
        <v>143</v>
      </c>
      <c r="B3688">
        <v>1</v>
      </c>
    </row>
    <row r="3689" spans="1:2" x14ac:dyDescent="0.35">
      <c r="A3689">
        <v>143</v>
      </c>
      <c r="B3689">
        <v>1</v>
      </c>
    </row>
    <row r="3690" spans="1:2" x14ac:dyDescent="0.35">
      <c r="A3690">
        <v>143</v>
      </c>
      <c r="B3690">
        <v>1</v>
      </c>
    </row>
    <row r="3691" spans="1:2" x14ac:dyDescent="0.35">
      <c r="A3691">
        <v>143</v>
      </c>
      <c r="B3691">
        <v>1</v>
      </c>
    </row>
    <row r="3692" spans="1:2" x14ac:dyDescent="0.35">
      <c r="A3692">
        <v>143</v>
      </c>
      <c r="B3692">
        <v>1</v>
      </c>
    </row>
    <row r="3693" spans="1:2" x14ac:dyDescent="0.35">
      <c r="A3693">
        <v>144</v>
      </c>
      <c r="B3693">
        <v>1</v>
      </c>
    </row>
    <row r="3694" spans="1:2" x14ac:dyDescent="0.35">
      <c r="A3694">
        <v>144</v>
      </c>
      <c r="B3694">
        <v>1</v>
      </c>
    </row>
    <row r="3695" spans="1:2" x14ac:dyDescent="0.35">
      <c r="A3695">
        <v>144</v>
      </c>
      <c r="B3695">
        <v>1</v>
      </c>
    </row>
    <row r="3696" spans="1:2" x14ac:dyDescent="0.35">
      <c r="A3696">
        <v>144</v>
      </c>
      <c r="B3696">
        <v>1</v>
      </c>
    </row>
    <row r="3697" spans="1:2" x14ac:dyDescent="0.35">
      <c r="A3697">
        <v>144</v>
      </c>
      <c r="B3697">
        <v>1</v>
      </c>
    </row>
    <row r="3698" spans="1:2" x14ac:dyDescent="0.35">
      <c r="A3698">
        <v>144</v>
      </c>
      <c r="B3698">
        <v>1</v>
      </c>
    </row>
    <row r="3699" spans="1:2" x14ac:dyDescent="0.35">
      <c r="A3699">
        <v>144</v>
      </c>
      <c r="B3699">
        <v>1</v>
      </c>
    </row>
    <row r="3700" spans="1:2" x14ac:dyDescent="0.35">
      <c r="A3700">
        <v>144</v>
      </c>
      <c r="B3700">
        <v>1</v>
      </c>
    </row>
    <row r="3701" spans="1:2" x14ac:dyDescent="0.35">
      <c r="A3701">
        <v>144</v>
      </c>
      <c r="B3701">
        <v>1</v>
      </c>
    </row>
    <row r="3702" spans="1:2" x14ac:dyDescent="0.35">
      <c r="A3702">
        <v>144</v>
      </c>
      <c r="B3702">
        <v>1</v>
      </c>
    </row>
    <row r="3703" spans="1:2" x14ac:dyDescent="0.35">
      <c r="A3703">
        <v>144</v>
      </c>
      <c r="B3703">
        <v>1</v>
      </c>
    </row>
    <row r="3704" spans="1:2" x14ac:dyDescent="0.35">
      <c r="A3704">
        <v>144</v>
      </c>
      <c r="B3704">
        <v>1</v>
      </c>
    </row>
    <row r="3705" spans="1:2" x14ac:dyDescent="0.35">
      <c r="A3705">
        <v>144</v>
      </c>
      <c r="B3705">
        <v>1</v>
      </c>
    </row>
    <row r="3706" spans="1:2" x14ac:dyDescent="0.35">
      <c r="A3706">
        <v>144</v>
      </c>
      <c r="B3706">
        <v>1</v>
      </c>
    </row>
    <row r="3707" spans="1:2" x14ac:dyDescent="0.35">
      <c r="A3707">
        <v>144</v>
      </c>
      <c r="B3707">
        <v>1</v>
      </c>
    </row>
    <row r="3708" spans="1:2" x14ac:dyDescent="0.35">
      <c r="A3708">
        <v>144</v>
      </c>
      <c r="B3708">
        <v>1</v>
      </c>
    </row>
    <row r="3709" spans="1:2" x14ac:dyDescent="0.35">
      <c r="A3709">
        <v>144</v>
      </c>
      <c r="B3709">
        <v>1</v>
      </c>
    </row>
    <row r="3710" spans="1:2" x14ac:dyDescent="0.35">
      <c r="A3710">
        <v>144</v>
      </c>
      <c r="B3710">
        <v>1</v>
      </c>
    </row>
    <row r="3711" spans="1:2" x14ac:dyDescent="0.35">
      <c r="A3711">
        <v>144</v>
      </c>
      <c r="B3711">
        <v>1</v>
      </c>
    </row>
    <row r="3712" spans="1:2" x14ac:dyDescent="0.35">
      <c r="A3712">
        <v>144</v>
      </c>
      <c r="B3712">
        <v>1</v>
      </c>
    </row>
    <row r="3713" spans="1:2" x14ac:dyDescent="0.35">
      <c r="A3713">
        <v>144</v>
      </c>
      <c r="B3713">
        <v>1</v>
      </c>
    </row>
    <row r="3714" spans="1:2" x14ac:dyDescent="0.35">
      <c r="A3714">
        <v>144</v>
      </c>
      <c r="B3714">
        <v>1</v>
      </c>
    </row>
    <row r="3715" spans="1:2" x14ac:dyDescent="0.35">
      <c r="A3715">
        <v>144</v>
      </c>
      <c r="B3715">
        <v>1</v>
      </c>
    </row>
    <row r="3716" spans="1:2" x14ac:dyDescent="0.35">
      <c r="A3716">
        <v>144</v>
      </c>
      <c r="B3716">
        <v>1</v>
      </c>
    </row>
    <row r="3717" spans="1:2" x14ac:dyDescent="0.35">
      <c r="A3717">
        <v>144</v>
      </c>
      <c r="B3717">
        <v>1</v>
      </c>
    </row>
    <row r="3718" spans="1:2" x14ac:dyDescent="0.35">
      <c r="A3718">
        <v>144</v>
      </c>
      <c r="B3718">
        <v>1</v>
      </c>
    </row>
    <row r="3719" spans="1:2" x14ac:dyDescent="0.35">
      <c r="A3719">
        <v>144</v>
      </c>
      <c r="B3719">
        <v>1</v>
      </c>
    </row>
    <row r="3720" spans="1:2" x14ac:dyDescent="0.35">
      <c r="A3720">
        <v>144</v>
      </c>
      <c r="B3720">
        <v>1</v>
      </c>
    </row>
    <row r="3721" spans="1:2" x14ac:dyDescent="0.35">
      <c r="A3721">
        <v>144</v>
      </c>
      <c r="B3721">
        <v>1</v>
      </c>
    </row>
    <row r="3722" spans="1:2" x14ac:dyDescent="0.35">
      <c r="A3722">
        <v>144</v>
      </c>
      <c r="B3722">
        <v>1</v>
      </c>
    </row>
    <row r="3723" spans="1:2" x14ac:dyDescent="0.35">
      <c r="A3723">
        <v>144</v>
      </c>
      <c r="B3723">
        <v>1</v>
      </c>
    </row>
    <row r="3724" spans="1:2" x14ac:dyDescent="0.35">
      <c r="A3724">
        <v>144</v>
      </c>
      <c r="B3724">
        <v>1</v>
      </c>
    </row>
    <row r="3725" spans="1:2" x14ac:dyDescent="0.35">
      <c r="A3725">
        <v>144</v>
      </c>
      <c r="B3725">
        <v>1</v>
      </c>
    </row>
    <row r="3726" spans="1:2" x14ac:dyDescent="0.35">
      <c r="A3726">
        <v>144</v>
      </c>
      <c r="B3726">
        <v>1</v>
      </c>
    </row>
    <row r="3727" spans="1:2" x14ac:dyDescent="0.35">
      <c r="A3727">
        <v>144</v>
      </c>
      <c r="B3727">
        <v>1</v>
      </c>
    </row>
    <row r="3728" spans="1:2" x14ac:dyDescent="0.35">
      <c r="A3728">
        <v>144</v>
      </c>
      <c r="B3728">
        <v>1</v>
      </c>
    </row>
    <row r="3729" spans="1:2" x14ac:dyDescent="0.35">
      <c r="A3729">
        <v>144</v>
      </c>
      <c r="B3729">
        <v>1</v>
      </c>
    </row>
    <row r="3730" spans="1:2" x14ac:dyDescent="0.35">
      <c r="A3730">
        <v>144</v>
      </c>
      <c r="B3730">
        <v>1</v>
      </c>
    </row>
    <row r="3731" spans="1:2" x14ac:dyDescent="0.35">
      <c r="A3731">
        <v>144</v>
      </c>
      <c r="B3731">
        <v>1</v>
      </c>
    </row>
    <row r="3732" spans="1:2" x14ac:dyDescent="0.35">
      <c r="A3732">
        <v>144</v>
      </c>
      <c r="B3732">
        <v>1</v>
      </c>
    </row>
    <row r="3733" spans="1:2" x14ac:dyDescent="0.35">
      <c r="A3733">
        <v>144</v>
      </c>
      <c r="B3733">
        <v>1</v>
      </c>
    </row>
    <row r="3734" spans="1:2" x14ac:dyDescent="0.35">
      <c r="A3734">
        <v>144</v>
      </c>
      <c r="B3734">
        <v>1</v>
      </c>
    </row>
    <row r="3735" spans="1:2" x14ac:dyDescent="0.35">
      <c r="A3735">
        <v>145</v>
      </c>
      <c r="B3735">
        <v>1</v>
      </c>
    </row>
    <row r="3736" spans="1:2" x14ac:dyDescent="0.35">
      <c r="A3736">
        <v>145</v>
      </c>
      <c r="B3736">
        <v>1</v>
      </c>
    </row>
    <row r="3737" spans="1:2" x14ac:dyDescent="0.35">
      <c r="A3737">
        <v>145</v>
      </c>
      <c r="B3737">
        <v>1</v>
      </c>
    </row>
    <row r="3738" spans="1:2" x14ac:dyDescent="0.35">
      <c r="A3738">
        <v>145</v>
      </c>
      <c r="B3738">
        <v>1</v>
      </c>
    </row>
    <row r="3739" spans="1:2" x14ac:dyDescent="0.35">
      <c r="A3739">
        <v>145</v>
      </c>
      <c r="B3739">
        <v>1</v>
      </c>
    </row>
    <row r="3740" spans="1:2" x14ac:dyDescent="0.35">
      <c r="A3740">
        <v>145</v>
      </c>
      <c r="B3740">
        <v>1</v>
      </c>
    </row>
    <row r="3741" spans="1:2" x14ac:dyDescent="0.35">
      <c r="A3741">
        <v>145</v>
      </c>
      <c r="B3741">
        <v>1</v>
      </c>
    </row>
    <row r="3742" spans="1:2" x14ac:dyDescent="0.35">
      <c r="A3742">
        <v>145</v>
      </c>
      <c r="B3742">
        <v>1</v>
      </c>
    </row>
    <row r="3743" spans="1:2" x14ac:dyDescent="0.35">
      <c r="A3743">
        <v>145</v>
      </c>
      <c r="B3743">
        <v>1</v>
      </c>
    </row>
    <row r="3744" spans="1:2" x14ac:dyDescent="0.35">
      <c r="A3744">
        <v>145</v>
      </c>
      <c r="B3744">
        <v>1</v>
      </c>
    </row>
    <row r="3745" spans="1:2" x14ac:dyDescent="0.35">
      <c r="A3745">
        <v>145</v>
      </c>
      <c r="B3745">
        <v>1</v>
      </c>
    </row>
    <row r="3746" spans="1:2" x14ac:dyDescent="0.35">
      <c r="A3746">
        <v>145</v>
      </c>
      <c r="B3746">
        <v>1</v>
      </c>
    </row>
    <row r="3747" spans="1:2" x14ac:dyDescent="0.35">
      <c r="A3747">
        <v>145</v>
      </c>
      <c r="B3747">
        <v>1</v>
      </c>
    </row>
    <row r="3748" spans="1:2" x14ac:dyDescent="0.35">
      <c r="A3748">
        <v>145</v>
      </c>
      <c r="B3748">
        <v>1</v>
      </c>
    </row>
    <row r="3749" spans="1:2" x14ac:dyDescent="0.35">
      <c r="A3749">
        <v>145</v>
      </c>
      <c r="B3749">
        <v>1</v>
      </c>
    </row>
    <row r="3750" spans="1:2" x14ac:dyDescent="0.35">
      <c r="A3750">
        <v>145</v>
      </c>
      <c r="B3750">
        <v>1</v>
      </c>
    </row>
    <row r="3751" spans="1:2" x14ac:dyDescent="0.35">
      <c r="A3751">
        <v>145</v>
      </c>
      <c r="B3751">
        <v>1</v>
      </c>
    </row>
    <row r="3752" spans="1:2" x14ac:dyDescent="0.35">
      <c r="A3752">
        <v>145</v>
      </c>
      <c r="B3752">
        <v>1</v>
      </c>
    </row>
    <row r="3753" spans="1:2" x14ac:dyDescent="0.35">
      <c r="A3753">
        <v>145</v>
      </c>
      <c r="B3753">
        <v>1</v>
      </c>
    </row>
    <row r="3754" spans="1:2" x14ac:dyDescent="0.35">
      <c r="A3754">
        <v>145</v>
      </c>
      <c r="B3754">
        <v>1</v>
      </c>
    </row>
    <row r="3755" spans="1:2" x14ac:dyDescent="0.35">
      <c r="A3755">
        <v>145</v>
      </c>
      <c r="B3755">
        <v>1</v>
      </c>
    </row>
    <row r="3756" spans="1:2" x14ac:dyDescent="0.35">
      <c r="A3756">
        <v>145</v>
      </c>
      <c r="B3756">
        <v>1</v>
      </c>
    </row>
    <row r="3757" spans="1:2" x14ac:dyDescent="0.35">
      <c r="A3757">
        <v>145</v>
      </c>
      <c r="B3757">
        <v>1</v>
      </c>
    </row>
    <row r="3758" spans="1:2" x14ac:dyDescent="0.35">
      <c r="A3758">
        <v>145</v>
      </c>
      <c r="B3758">
        <v>1</v>
      </c>
    </row>
    <row r="3759" spans="1:2" x14ac:dyDescent="0.35">
      <c r="A3759">
        <v>145</v>
      </c>
      <c r="B3759">
        <v>1</v>
      </c>
    </row>
    <row r="3760" spans="1:2" x14ac:dyDescent="0.35">
      <c r="A3760">
        <v>145</v>
      </c>
      <c r="B3760">
        <v>1</v>
      </c>
    </row>
    <row r="3761" spans="1:2" x14ac:dyDescent="0.35">
      <c r="A3761">
        <v>145</v>
      </c>
      <c r="B3761">
        <v>1</v>
      </c>
    </row>
    <row r="3762" spans="1:2" x14ac:dyDescent="0.35">
      <c r="A3762">
        <v>145</v>
      </c>
      <c r="B3762">
        <v>1</v>
      </c>
    </row>
    <row r="3763" spans="1:2" x14ac:dyDescent="0.35">
      <c r="A3763">
        <v>145</v>
      </c>
      <c r="B3763">
        <v>1</v>
      </c>
    </row>
    <row r="3764" spans="1:2" x14ac:dyDescent="0.35">
      <c r="A3764">
        <v>145</v>
      </c>
      <c r="B3764">
        <v>1</v>
      </c>
    </row>
    <row r="3765" spans="1:2" x14ac:dyDescent="0.35">
      <c r="A3765">
        <v>145</v>
      </c>
      <c r="B3765">
        <v>1</v>
      </c>
    </row>
    <row r="3766" spans="1:2" x14ac:dyDescent="0.35">
      <c r="A3766">
        <v>145</v>
      </c>
      <c r="B3766">
        <v>1</v>
      </c>
    </row>
    <row r="3767" spans="1:2" x14ac:dyDescent="0.35">
      <c r="A3767">
        <v>145</v>
      </c>
      <c r="B3767">
        <v>1</v>
      </c>
    </row>
    <row r="3768" spans="1:2" x14ac:dyDescent="0.35">
      <c r="A3768">
        <v>145</v>
      </c>
      <c r="B3768">
        <v>1</v>
      </c>
    </row>
    <row r="3769" spans="1:2" x14ac:dyDescent="0.35">
      <c r="A3769">
        <v>145</v>
      </c>
      <c r="B3769">
        <v>1</v>
      </c>
    </row>
    <row r="3770" spans="1:2" x14ac:dyDescent="0.35">
      <c r="A3770">
        <v>145</v>
      </c>
      <c r="B3770">
        <v>1</v>
      </c>
    </row>
    <row r="3771" spans="1:2" x14ac:dyDescent="0.35">
      <c r="A3771">
        <v>145</v>
      </c>
      <c r="B3771">
        <v>1</v>
      </c>
    </row>
    <row r="3772" spans="1:2" x14ac:dyDescent="0.35">
      <c r="A3772">
        <v>146</v>
      </c>
      <c r="B3772">
        <v>1</v>
      </c>
    </row>
    <row r="3773" spans="1:2" x14ac:dyDescent="0.35">
      <c r="A3773">
        <v>146</v>
      </c>
      <c r="B3773">
        <v>1</v>
      </c>
    </row>
    <row r="3774" spans="1:2" x14ac:dyDescent="0.35">
      <c r="A3774">
        <v>146</v>
      </c>
      <c r="B3774">
        <v>1</v>
      </c>
    </row>
    <row r="3775" spans="1:2" x14ac:dyDescent="0.35">
      <c r="A3775">
        <v>146</v>
      </c>
      <c r="B3775">
        <v>1</v>
      </c>
    </row>
    <row r="3776" spans="1:2" x14ac:dyDescent="0.35">
      <c r="A3776">
        <v>146</v>
      </c>
      <c r="B3776">
        <v>1</v>
      </c>
    </row>
    <row r="3777" spans="1:2" x14ac:dyDescent="0.35">
      <c r="A3777">
        <v>146</v>
      </c>
      <c r="B3777">
        <v>1</v>
      </c>
    </row>
    <row r="3778" spans="1:2" x14ac:dyDescent="0.35">
      <c r="A3778">
        <v>146</v>
      </c>
      <c r="B3778">
        <v>1</v>
      </c>
    </row>
    <row r="3779" spans="1:2" x14ac:dyDescent="0.35">
      <c r="A3779">
        <v>146</v>
      </c>
      <c r="B3779">
        <v>1</v>
      </c>
    </row>
    <row r="3780" spans="1:2" x14ac:dyDescent="0.35">
      <c r="A3780">
        <v>146</v>
      </c>
      <c r="B3780">
        <v>1</v>
      </c>
    </row>
    <row r="3781" spans="1:2" x14ac:dyDescent="0.35">
      <c r="A3781">
        <v>146</v>
      </c>
      <c r="B3781">
        <v>1</v>
      </c>
    </row>
    <row r="3782" spans="1:2" x14ac:dyDescent="0.35">
      <c r="A3782">
        <v>146</v>
      </c>
      <c r="B3782">
        <v>1</v>
      </c>
    </row>
    <row r="3783" spans="1:2" x14ac:dyDescent="0.35">
      <c r="A3783">
        <v>146</v>
      </c>
      <c r="B3783">
        <v>1</v>
      </c>
    </row>
    <row r="3784" spans="1:2" x14ac:dyDescent="0.35">
      <c r="A3784">
        <v>146</v>
      </c>
      <c r="B3784">
        <v>1</v>
      </c>
    </row>
    <row r="3785" spans="1:2" x14ac:dyDescent="0.35">
      <c r="A3785">
        <v>146</v>
      </c>
      <c r="B3785">
        <v>1</v>
      </c>
    </row>
    <row r="3786" spans="1:2" x14ac:dyDescent="0.35">
      <c r="A3786">
        <v>146</v>
      </c>
      <c r="B3786">
        <v>1</v>
      </c>
    </row>
    <row r="3787" spans="1:2" x14ac:dyDescent="0.35">
      <c r="A3787">
        <v>146</v>
      </c>
      <c r="B3787">
        <v>1</v>
      </c>
    </row>
    <row r="3788" spans="1:2" x14ac:dyDescent="0.35">
      <c r="A3788">
        <v>146</v>
      </c>
      <c r="B3788">
        <v>1</v>
      </c>
    </row>
    <row r="3789" spans="1:2" x14ac:dyDescent="0.35">
      <c r="A3789">
        <v>146</v>
      </c>
      <c r="B3789">
        <v>1</v>
      </c>
    </row>
    <row r="3790" spans="1:2" x14ac:dyDescent="0.35">
      <c r="A3790">
        <v>146</v>
      </c>
      <c r="B3790">
        <v>1</v>
      </c>
    </row>
    <row r="3791" spans="1:2" x14ac:dyDescent="0.35">
      <c r="A3791">
        <v>146</v>
      </c>
      <c r="B3791">
        <v>1</v>
      </c>
    </row>
    <row r="3792" spans="1:2" x14ac:dyDescent="0.35">
      <c r="A3792">
        <v>146</v>
      </c>
      <c r="B3792">
        <v>1</v>
      </c>
    </row>
    <row r="3793" spans="1:2" x14ac:dyDescent="0.35">
      <c r="A3793">
        <v>146</v>
      </c>
      <c r="B3793">
        <v>1</v>
      </c>
    </row>
    <row r="3794" spans="1:2" x14ac:dyDescent="0.35">
      <c r="A3794">
        <v>146</v>
      </c>
      <c r="B3794">
        <v>1</v>
      </c>
    </row>
    <row r="3795" spans="1:2" x14ac:dyDescent="0.35">
      <c r="A3795">
        <v>146</v>
      </c>
      <c r="B3795">
        <v>1</v>
      </c>
    </row>
    <row r="3796" spans="1:2" x14ac:dyDescent="0.35">
      <c r="A3796">
        <v>146</v>
      </c>
      <c r="B3796">
        <v>1</v>
      </c>
    </row>
    <row r="3797" spans="1:2" x14ac:dyDescent="0.35">
      <c r="A3797">
        <v>146</v>
      </c>
      <c r="B3797">
        <v>1</v>
      </c>
    </row>
    <row r="3798" spans="1:2" x14ac:dyDescent="0.35">
      <c r="A3798">
        <v>146</v>
      </c>
      <c r="B3798">
        <v>1</v>
      </c>
    </row>
    <row r="3799" spans="1:2" x14ac:dyDescent="0.35">
      <c r="A3799">
        <v>146</v>
      </c>
      <c r="B3799">
        <v>1</v>
      </c>
    </row>
    <row r="3800" spans="1:2" x14ac:dyDescent="0.35">
      <c r="A3800">
        <v>146</v>
      </c>
      <c r="B3800">
        <v>1</v>
      </c>
    </row>
    <row r="3801" spans="1:2" x14ac:dyDescent="0.35">
      <c r="A3801">
        <v>146</v>
      </c>
      <c r="B3801">
        <v>1</v>
      </c>
    </row>
    <row r="3802" spans="1:2" x14ac:dyDescent="0.35">
      <c r="A3802">
        <v>146</v>
      </c>
      <c r="B3802">
        <v>1</v>
      </c>
    </row>
    <row r="3803" spans="1:2" x14ac:dyDescent="0.35">
      <c r="A3803">
        <v>147</v>
      </c>
      <c r="B3803">
        <v>1</v>
      </c>
    </row>
    <row r="3804" spans="1:2" x14ac:dyDescent="0.35">
      <c r="A3804">
        <v>147</v>
      </c>
      <c r="B3804">
        <v>1</v>
      </c>
    </row>
    <row r="3805" spans="1:2" x14ac:dyDescent="0.35">
      <c r="A3805">
        <v>147</v>
      </c>
      <c r="B3805">
        <v>1</v>
      </c>
    </row>
    <row r="3806" spans="1:2" x14ac:dyDescent="0.35">
      <c r="A3806">
        <v>147</v>
      </c>
      <c r="B3806">
        <v>1</v>
      </c>
    </row>
    <row r="3807" spans="1:2" x14ac:dyDescent="0.35">
      <c r="A3807">
        <v>147</v>
      </c>
      <c r="B3807">
        <v>1</v>
      </c>
    </row>
    <row r="3808" spans="1:2" x14ac:dyDescent="0.35">
      <c r="A3808">
        <v>147</v>
      </c>
      <c r="B3808">
        <v>1</v>
      </c>
    </row>
    <row r="3809" spans="1:2" x14ac:dyDescent="0.35">
      <c r="A3809">
        <v>147</v>
      </c>
      <c r="B3809">
        <v>1</v>
      </c>
    </row>
    <row r="3810" spans="1:2" x14ac:dyDescent="0.35">
      <c r="A3810">
        <v>147</v>
      </c>
      <c r="B3810">
        <v>1</v>
      </c>
    </row>
    <row r="3811" spans="1:2" x14ac:dyDescent="0.35">
      <c r="A3811">
        <v>147</v>
      </c>
      <c r="B3811">
        <v>1</v>
      </c>
    </row>
    <row r="3812" spans="1:2" x14ac:dyDescent="0.35">
      <c r="A3812">
        <v>147</v>
      </c>
      <c r="B3812">
        <v>1</v>
      </c>
    </row>
    <row r="3813" spans="1:2" x14ac:dyDescent="0.35">
      <c r="A3813">
        <v>147</v>
      </c>
      <c r="B3813">
        <v>1</v>
      </c>
    </row>
    <row r="3814" spans="1:2" x14ac:dyDescent="0.35">
      <c r="A3814">
        <v>147</v>
      </c>
      <c r="B3814">
        <v>1</v>
      </c>
    </row>
    <row r="3815" spans="1:2" x14ac:dyDescent="0.35">
      <c r="A3815">
        <v>147</v>
      </c>
      <c r="B3815">
        <v>1</v>
      </c>
    </row>
    <row r="3816" spans="1:2" x14ac:dyDescent="0.35">
      <c r="A3816">
        <v>147</v>
      </c>
      <c r="B3816">
        <v>1</v>
      </c>
    </row>
    <row r="3817" spans="1:2" x14ac:dyDescent="0.35">
      <c r="A3817">
        <v>147</v>
      </c>
      <c r="B3817">
        <v>1</v>
      </c>
    </row>
    <row r="3818" spans="1:2" x14ac:dyDescent="0.35">
      <c r="A3818">
        <v>147</v>
      </c>
      <c r="B3818">
        <v>1</v>
      </c>
    </row>
    <row r="3819" spans="1:2" x14ac:dyDescent="0.35">
      <c r="A3819">
        <v>147</v>
      </c>
      <c r="B3819">
        <v>1</v>
      </c>
    </row>
    <row r="3820" spans="1:2" x14ac:dyDescent="0.35">
      <c r="A3820">
        <v>147</v>
      </c>
      <c r="B3820">
        <v>1</v>
      </c>
    </row>
    <row r="3821" spans="1:2" x14ac:dyDescent="0.35">
      <c r="A3821">
        <v>147</v>
      </c>
      <c r="B3821">
        <v>1</v>
      </c>
    </row>
    <row r="3822" spans="1:2" x14ac:dyDescent="0.35">
      <c r="A3822">
        <v>147</v>
      </c>
      <c r="B3822">
        <v>1</v>
      </c>
    </row>
    <row r="3823" spans="1:2" x14ac:dyDescent="0.35">
      <c r="A3823">
        <v>147</v>
      </c>
      <c r="B3823">
        <v>1</v>
      </c>
    </row>
    <row r="3824" spans="1:2" x14ac:dyDescent="0.35">
      <c r="A3824">
        <v>147</v>
      </c>
      <c r="B3824">
        <v>1</v>
      </c>
    </row>
    <row r="3825" spans="1:2" x14ac:dyDescent="0.35">
      <c r="A3825">
        <v>147</v>
      </c>
      <c r="B3825">
        <v>1</v>
      </c>
    </row>
    <row r="3826" spans="1:2" x14ac:dyDescent="0.35">
      <c r="A3826">
        <v>147</v>
      </c>
      <c r="B3826">
        <v>1</v>
      </c>
    </row>
    <row r="3827" spans="1:2" x14ac:dyDescent="0.35">
      <c r="A3827">
        <v>147</v>
      </c>
      <c r="B3827">
        <v>1</v>
      </c>
    </row>
    <row r="3828" spans="1:2" x14ac:dyDescent="0.35">
      <c r="A3828">
        <v>147</v>
      </c>
      <c r="B3828">
        <v>1</v>
      </c>
    </row>
    <row r="3829" spans="1:2" x14ac:dyDescent="0.35">
      <c r="A3829">
        <v>147</v>
      </c>
      <c r="B3829">
        <v>1</v>
      </c>
    </row>
    <row r="3830" spans="1:2" x14ac:dyDescent="0.35">
      <c r="A3830">
        <v>148</v>
      </c>
      <c r="B3830">
        <v>1</v>
      </c>
    </row>
    <row r="3831" spans="1:2" x14ac:dyDescent="0.35">
      <c r="A3831">
        <v>148</v>
      </c>
      <c r="B3831">
        <v>1</v>
      </c>
    </row>
    <row r="3832" spans="1:2" x14ac:dyDescent="0.35">
      <c r="A3832">
        <v>148</v>
      </c>
      <c r="B3832">
        <v>1</v>
      </c>
    </row>
    <row r="3833" spans="1:2" x14ac:dyDescent="0.35">
      <c r="A3833">
        <v>148</v>
      </c>
      <c r="B3833">
        <v>1</v>
      </c>
    </row>
    <row r="3834" spans="1:2" x14ac:dyDescent="0.35">
      <c r="A3834">
        <v>148</v>
      </c>
      <c r="B3834">
        <v>1</v>
      </c>
    </row>
    <row r="3835" spans="1:2" x14ac:dyDescent="0.35">
      <c r="A3835">
        <v>148</v>
      </c>
      <c r="B3835">
        <v>1</v>
      </c>
    </row>
    <row r="3836" spans="1:2" x14ac:dyDescent="0.35">
      <c r="A3836">
        <v>148</v>
      </c>
      <c r="B3836">
        <v>1</v>
      </c>
    </row>
    <row r="3837" spans="1:2" x14ac:dyDescent="0.35">
      <c r="A3837">
        <v>148</v>
      </c>
      <c r="B3837">
        <v>1</v>
      </c>
    </row>
    <row r="3838" spans="1:2" x14ac:dyDescent="0.35">
      <c r="A3838">
        <v>148</v>
      </c>
      <c r="B3838">
        <v>1</v>
      </c>
    </row>
    <row r="3839" spans="1:2" x14ac:dyDescent="0.35">
      <c r="A3839">
        <v>148</v>
      </c>
      <c r="B3839">
        <v>1</v>
      </c>
    </row>
    <row r="3840" spans="1:2" x14ac:dyDescent="0.35">
      <c r="A3840">
        <v>148</v>
      </c>
      <c r="B3840">
        <v>1</v>
      </c>
    </row>
    <row r="3841" spans="1:2" x14ac:dyDescent="0.35">
      <c r="A3841">
        <v>148</v>
      </c>
      <c r="B3841">
        <v>1</v>
      </c>
    </row>
    <row r="3842" spans="1:2" x14ac:dyDescent="0.35">
      <c r="A3842">
        <v>148</v>
      </c>
      <c r="B3842">
        <v>1</v>
      </c>
    </row>
    <row r="3843" spans="1:2" x14ac:dyDescent="0.35">
      <c r="A3843">
        <v>148</v>
      </c>
      <c r="B3843">
        <v>1</v>
      </c>
    </row>
    <row r="3844" spans="1:2" x14ac:dyDescent="0.35">
      <c r="A3844">
        <v>148</v>
      </c>
      <c r="B3844">
        <v>1</v>
      </c>
    </row>
    <row r="3845" spans="1:2" x14ac:dyDescent="0.35">
      <c r="A3845">
        <v>148</v>
      </c>
      <c r="B3845">
        <v>1</v>
      </c>
    </row>
    <row r="3846" spans="1:2" x14ac:dyDescent="0.35">
      <c r="A3846">
        <v>148</v>
      </c>
      <c r="B3846">
        <v>1</v>
      </c>
    </row>
    <row r="3847" spans="1:2" x14ac:dyDescent="0.35">
      <c r="A3847">
        <v>148</v>
      </c>
      <c r="B3847">
        <v>1</v>
      </c>
    </row>
    <row r="3848" spans="1:2" x14ac:dyDescent="0.35">
      <c r="A3848">
        <v>148</v>
      </c>
      <c r="B3848">
        <v>1</v>
      </c>
    </row>
    <row r="3849" spans="1:2" x14ac:dyDescent="0.35">
      <c r="A3849">
        <v>148</v>
      </c>
      <c r="B3849">
        <v>1</v>
      </c>
    </row>
    <row r="3850" spans="1:2" x14ac:dyDescent="0.35">
      <c r="A3850">
        <v>148</v>
      </c>
      <c r="B3850">
        <v>1</v>
      </c>
    </row>
    <row r="3851" spans="1:2" x14ac:dyDescent="0.35">
      <c r="A3851">
        <v>148</v>
      </c>
      <c r="B3851">
        <v>1</v>
      </c>
    </row>
    <row r="3852" spans="1:2" x14ac:dyDescent="0.35">
      <c r="A3852">
        <v>148</v>
      </c>
      <c r="B3852">
        <v>1</v>
      </c>
    </row>
    <row r="3853" spans="1:2" x14ac:dyDescent="0.35">
      <c r="A3853">
        <v>148</v>
      </c>
      <c r="B3853">
        <v>1</v>
      </c>
    </row>
    <row r="3854" spans="1:2" x14ac:dyDescent="0.35">
      <c r="A3854">
        <v>148</v>
      </c>
      <c r="B3854">
        <v>1</v>
      </c>
    </row>
    <row r="3855" spans="1:2" x14ac:dyDescent="0.35">
      <c r="A3855">
        <v>148</v>
      </c>
      <c r="B3855">
        <v>1</v>
      </c>
    </row>
    <row r="3856" spans="1:2" x14ac:dyDescent="0.35">
      <c r="A3856">
        <v>148</v>
      </c>
      <c r="B3856">
        <v>1</v>
      </c>
    </row>
    <row r="3857" spans="1:2" x14ac:dyDescent="0.35">
      <c r="A3857">
        <v>148</v>
      </c>
      <c r="B3857">
        <v>1</v>
      </c>
    </row>
    <row r="3858" spans="1:2" x14ac:dyDescent="0.35">
      <c r="A3858">
        <v>148</v>
      </c>
      <c r="B3858">
        <v>1</v>
      </c>
    </row>
    <row r="3859" spans="1:2" x14ac:dyDescent="0.35">
      <c r="A3859">
        <v>148</v>
      </c>
      <c r="B3859">
        <v>1</v>
      </c>
    </row>
    <row r="3860" spans="1:2" x14ac:dyDescent="0.35">
      <c r="A3860">
        <v>148</v>
      </c>
      <c r="B3860">
        <v>1</v>
      </c>
    </row>
    <row r="3861" spans="1:2" x14ac:dyDescent="0.35">
      <c r="A3861">
        <v>148</v>
      </c>
      <c r="B3861">
        <v>1</v>
      </c>
    </row>
    <row r="3862" spans="1:2" x14ac:dyDescent="0.35">
      <c r="A3862">
        <v>148</v>
      </c>
      <c r="B3862">
        <v>1</v>
      </c>
    </row>
    <row r="3863" spans="1:2" x14ac:dyDescent="0.35">
      <c r="A3863">
        <v>148</v>
      </c>
      <c r="B3863">
        <v>1</v>
      </c>
    </row>
    <row r="3864" spans="1:2" x14ac:dyDescent="0.35">
      <c r="A3864">
        <v>149</v>
      </c>
      <c r="B3864">
        <v>1</v>
      </c>
    </row>
    <row r="3865" spans="1:2" x14ac:dyDescent="0.35">
      <c r="A3865">
        <v>149</v>
      </c>
      <c r="B3865">
        <v>1</v>
      </c>
    </row>
    <row r="3866" spans="1:2" x14ac:dyDescent="0.35">
      <c r="A3866">
        <v>149</v>
      </c>
      <c r="B3866">
        <v>1</v>
      </c>
    </row>
    <row r="3867" spans="1:2" x14ac:dyDescent="0.35">
      <c r="A3867">
        <v>149</v>
      </c>
      <c r="B3867">
        <v>1</v>
      </c>
    </row>
    <row r="3868" spans="1:2" x14ac:dyDescent="0.35">
      <c r="A3868">
        <v>149</v>
      </c>
      <c r="B3868">
        <v>1</v>
      </c>
    </row>
    <row r="3869" spans="1:2" x14ac:dyDescent="0.35">
      <c r="A3869">
        <v>149</v>
      </c>
      <c r="B3869">
        <v>1</v>
      </c>
    </row>
    <row r="3870" spans="1:2" x14ac:dyDescent="0.35">
      <c r="A3870">
        <v>149</v>
      </c>
      <c r="B3870">
        <v>1</v>
      </c>
    </row>
    <row r="3871" spans="1:2" x14ac:dyDescent="0.35">
      <c r="A3871">
        <v>149</v>
      </c>
      <c r="B3871">
        <v>1</v>
      </c>
    </row>
    <row r="3872" spans="1:2" x14ac:dyDescent="0.35">
      <c r="A3872">
        <v>149</v>
      </c>
      <c r="B3872">
        <v>1</v>
      </c>
    </row>
    <row r="3873" spans="1:2" x14ac:dyDescent="0.35">
      <c r="A3873">
        <v>149</v>
      </c>
      <c r="B3873">
        <v>1</v>
      </c>
    </row>
    <row r="3874" spans="1:2" x14ac:dyDescent="0.35">
      <c r="A3874">
        <v>149</v>
      </c>
      <c r="B3874">
        <v>1</v>
      </c>
    </row>
    <row r="3875" spans="1:2" x14ac:dyDescent="0.35">
      <c r="A3875">
        <v>149</v>
      </c>
      <c r="B3875">
        <v>1</v>
      </c>
    </row>
    <row r="3876" spans="1:2" x14ac:dyDescent="0.35">
      <c r="A3876">
        <v>149</v>
      </c>
      <c r="B3876">
        <v>1</v>
      </c>
    </row>
    <row r="3877" spans="1:2" x14ac:dyDescent="0.35">
      <c r="A3877">
        <v>149</v>
      </c>
      <c r="B3877">
        <v>1</v>
      </c>
    </row>
    <row r="3878" spans="1:2" x14ac:dyDescent="0.35">
      <c r="A3878">
        <v>149</v>
      </c>
      <c r="B3878">
        <v>1</v>
      </c>
    </row>
    <row r="3879" spans="1:2" x14ac:dyDescent="0.35">
      <c r="A3879">
        <v>149</v>
      </c>
      <c r="B3879">
        <v>1</v>
      </c>
    </row>
    <row r="3880" spans="1:2" x14ac:dyDescent="0.35">
      <c r="A3880">
        <v>149</v>
      </c>
      <c r="B3880">
        <v>1</v>
      </c>
    </row>
    <row r="3881" spans="1:2" x14ac:dyDescent="0.35">
      <c r="A3881">
        <v>149</v>
      </c>
      <c r="B3881">
        <v>1</v>
      </c>
    </row>
    <row r="3882" spans="1:2" x14ac:dyDescent="0.35">
      <c r="A3882">
        <v>149</v>
      </c>
      <c r="B3882">
        <v>1</v>
      </c>
    </row>
    <row r="3883" spans="1:2" x14ac:dyDescent="0.35">
      <c r="A3883">
        <v>149</v>
      </c>
      <c r="B3883">
        <v>1</v>
      </c>
    </row>
    <row r="3884" spans="1:2" x14ac:dyDescent="0.35">
      <c r="A3884">
        <v>149</v>
      </c>
      <c r="B3884">
        <v>1</v>
      </c>
    </row>
    <row r="3885" spans="1:2" x14ac:dyDescent="0.35">
      <c r="A3885">
        <v>149</v>
      </c>
      <c r="B3885">
        <v>1</v>
      </c>
    </row>
    <row r="3886" spans="1:2" x14ac:dyDescent="0.35">
      <c r="A3886">
        <v>149</v>
      </c>
      <c r="B3886">
        <v>1</v>
      </c>
    </row>
    <row r="3887" spans="1:2" x14ac:dyDescent="0.35">
      <c r="A3887">
        <v>149</v>
      </c>
      <c r="B3887">
        <v>1</v>
      </c>
    </row>
    <row r="3888" spans="1:2" x14ac:dyDescent="0.35">
      <c r="A3888">
        <v>149</v>
      </c>
      <c r="B3888">
        <v>1</v>
      </c>
    </row>
    <row r="3889" spans="1:2" x14ac:dyDescent="0.35">
      <c r="A3889">
        <v>149</v>
      </c>
      <c r="B3889">
        <v>1</v>
      </c>
    </row>
    <row r="3890" spans="1:2" x14ac:dyDescent="0.35">
      <c r="A3890">
        <v>150</v>
      </c>
      <c r="B3890">
        <v>1</v>
      </c>
    </row>
    <row r="3891" spans="1:2" x14ac:dyDescent="0.35">
      <c r="A3891">
        <v>150</v>
      </c>
      <c r="B3891">
        <v>1</v>
      </c>
    </row>
    <row r="3892" spans="1:2" x14ac:dyDescent="0.35">
      <c r="A3892">
        <v>150</v>
      </c>
      <c r="B3892">
        <v>1</v>
      </c>
    </row>
    <row r="3893" spans="1:2" x14ac:dyDescent="0.35">
      <c r="A3893">
        <v>150</v>
      </c>
      <c r="B3893">
        <v>1</v>
      </c>
    </row>
    <row r="3894" spans="1:2" x14ac:dyDescent="0.35">
      <c r="A3894">
        <v>150</v>
      </c>
      <c r="B3894">
        <v>1</v>
      </c>
    </row>
    <row r="3895" spans="1:2" x14ac:dyDescent="0.35">
      <c r="A3895">
        <v>150</v>
      </c>
      <c r="B3895">
        <v>1</v>
      </c>
    </row>
    <row r="3896" spans="1:2" x14ac:dyDescent="0.35">
      <c r="A3896">
        <v>150</v>
      </c>
      <c r="B3896">
        <v>1</v>
      </c>
    </row>
    <row r="3897" spans="1:2" x14ac:dyDescent="0.35">
      <c r="A3897">
        <v>150</v>
      </c>
      <c r="B3897">
        <v>1</v>
      </c>
    </row>
    <row r="3898" spans="1:2" x14ac:dyDescent="0.35">
      <c r="A3898">
        <v>150</v>
      </c>
      <c r="B3898">
        <v>1</v>
      </c>
    </row>
    <row r="3899" spans="1:2" x14ac:dyDescent="0.35">
      <c r="A3899">
        <v>150</v>
      </c>
      <c r="B3899">
        <v>1</v>
      </c>
    </row>
    <row r="3900" spans="1:2" x14ac:dyDescent="0.35">
      <c r="A3900">
        <v>150</v>
      </c>
      <c r="B3900">
        <v>1</v>
      </c>
    </row>
    <row r="3901" spans="1:2" x14ac:dyDescent="0.35">
      <c r="A3901">
        <v>150</v>
      </c>
      <c r="B3901">
        <v>1</v>
      </c>
    </row>
    <row r="3902" spans="1:2" x14ac:dyDescent="0.35">
      <c r="A3902">
        <v>150</v>
      </c>
      <c r="B3902">
        <v>1</v>
      </c>
    </row>
    <row r="3903" spans="1:2" x14ac:dyDescent="0.35">
      <c r="A3903">
        <v>150</v>
      </c>
      <c r="B3903">
        <v>1</v>
      </c>
    </row>
    <row r="3904" spans="1:2" x14ac:dyDescent="0.35">
      <c r="A3904">
        <v>150</v>
      </c>
      <c r="B3904">
        <v>1</v>
      </c>
    </row>
    <row r="3905" spans="1:2" x14ac:dyDescent="0.35">
      <c r="A3905">
        <v>150</v>
      </c>
      <c r="B3905">
        <v>1</v>
      </c>
    </row>
    <row r="3906" spans="1:2" x14ac:dyDescent="0.35">
      <c r="A3906">
        <v>150</v>
      </c>
      <c r="B3906">
        <v>1</v>
      </c>
    </row>
    <row r="3907" spans="1:2" x14ac:dyDescent="0.35">
      <c r="A3907">
        <v>150</v>
      </c>
      <c r="B3907">
        <v>1</v>
      </c>
    </row>
    <row r="3908" spans="1:2" x14ac:dyDescent="0.35">
      <c r="A3908">
        <v>150</v>
      </c>
      <c r="B3908">
        <v>1</v>
      </c>
    </row>
    <row r="3909" spans="1:2" x14ac:dyDescent="0.35">
      <c r="A3909">
        <v>150</v>
      </c>
      <c r="B3909">
        <v>1</v>
      </c>
    </row>
    <row r="3910" spans="1:2" x14ac:dyDescent="0.35">
      <c r="A3910">
        <v>150</v>
      </c>
      <c r="B3910">
        <v>1</v>
      </c>
    </row>
    <row r="3911" spans="1:2" x14ac:dyDescent="0.35">
      <c r="A3911">
        <v>150</v>
      </c>
      <c r="B3911">
        <v>1</v>
      </c>
    </row>
    <row r="3912" spans="1:2" x14ac:dyDescent="0.35">
      <c r="A3912">
        <v>150</v>
      </c>
      <c r="B3912">
        <v>1</v>
      </c>
    </row>
    <row r="3913" spans="1:2" x14ac:dyDescent="0.35">
      <c r="A3913">
        <v>150</v>
      </c>
      <c r="B3913">
        <v>1</v>
      </c>
    </row>
    <row r="3914" spans="1:2" x14ac:dyDescent="0.35">
      <c r="A3914">
        <v>150</v>
      </c>
      <c r="B3914">
        <v>1</v>
      </c>
    </row>
    <row r="3915" spans="1:2" x14ac:dyDescent="0.35">
      <c r="A3915">
        <v>150</v>
      </c>
      <c r="B3915">
        <v>1</v>
      </c>
    </row>
    <row r="3916" spans="1:2" x14ac:dyDescent="0.35">
      <c r="A3916">
        <v>151</v>
      </c>
      <c r="B3916">
        <v>1</v>
      </c>
    </row>
    <row r="3917" spans="1:2" x14ac:dyDescent="0.35">
      <c r="A3917">
        <v>151</v>
      </c>
      <c r="B3917">
        <v>1</v>
      </c>
    </row>
    <row r="3918" spans="1:2" x14ac:dyDescent="0.35">
      <c r="A3918">
        <v>151</v>
      </c>
      <c r="B3918">
        <v>1</v>
      </c>
    </row>
    <row r="3919" spans="1:2" x14ac:dyDescent="0.35">
      <c r="A3919">
        <v>151</v>
      </c>
      <c r="B3919">
        <v>1</v>
      </c>
    </row>
    <row r="3920" spans="1:2" x14ac:dyDescent="0.35">
      <c r="A3920">
        <v>151</v>
      </c>
      <c r="B3920">
        <v>1</v>
      </c>
    </row>
    <row r="3921" spans="1:2" x14ac:dyDescent="0.35">
      <c r="A3921">
        <v>151</v>
      </c>
      <c r="B3921">
        <v>1</v>
      </c>
    </row>
    <row r="3922" spans="1:2" x14ac:dyDescent="0.35">
      <c r="A3922">
        <v>151</v>
      </c>
      <c r="B3922">
        <v>1</v>
      </c>
    </row>
    <row r="3923" spans="1:2" x14ac:dyDescent="0.35">
      <c r="A3923">
        <v>151</v>
      </c>
      <c r="B3923">
        <v>1</v>
      </c>
    </row>
    <row r="3924" spans="1:2" x14ac:dyDescent="0.35">
      <c r="A3924">
        <v>151</v>
      </c>
      <c r="B3924">
        <v>1</v>
      </c>
    </row>
    <row r="3925" spans="1:2" x14ac:dyDescent="0.35">
      <c r="A3925">
        <v>151</v>
      </c>
      <c r="B3925">
        <v>1</v>
      </c>
    </row>
    <row r="3926" spans="1:2" x14ac:dyDescent="0.35">
      <c r="A3926">
        <v>151</v>
      </c>
      <c r="B3926">
        <v>1</v>
      </c>
    </row>
    <row r="3927" spans="1:2" x14ac:dyDescent="0.35">
      <c r="A3927">
        <v>151</v>
      </c>
      <c r="B3927">
        <v>1</v>
      </c>
    </row>
    <row r="3928" spans="1:2" x14ac:dyDescent="0.35">
      <c r="A3928">
        <v>151</v>
      </c>
      <c r="B3928">
        <v>1</v>
      </c>
    </row>
    <row r="3929" spans="1:2" x14ac:dyDescent="0.35">
      <c r="A3929">
        <v>151</v>
      </c>
      <c r="B3929">
        <v>1</v>
      </c>
    </row>
    <row r="3930" spans="1:2" x14ac:dyDescent="0.35">
      <c r="A3930">
        <v>151</v>
      </c>
      <c r="B3930">
        <v>1</v>
      </c>
    </row>
    <row r="3931" spans="1:2" x14ac:dyDescent="0.35">
      <c r="A3931">
        <v>151</v>
      </c>
      <c r="B3931">
        <v>1</v>
      </c>
    </row>
    <row r="3932" spans="1:2" x14ac:dyDescent="0.35">
      <c r="A3932">
        <v>151</v>
      </c>
      <c r="B3932">
        <v>1</v>
      </c>
    </row>
    <row r="3933" spans="1:2" x14ac:dyDescent="0.35">
      <c r="A3933">
        <v>151</v>
      </c>
      <c r="B3933">
        <v>1</v>
      </c>
    </row>
    <row r="3934" spans="1:2" x14ac:dyDescent="0.35">
      <c r="A3934">
        <v>151</v>
      </c>
      <c r="B3934">
        <v>1</v>
      </c>
    </row>
    <row r="3935" spans="1:2" x14ac:dyDescent="0.35">
      <c r="A3935">
        <v>151</v>
      </c>
      <c r="B3935">
        <v>1</v>
      </c>
    </row>
    <row r="3936" spans="1:2" x14ac:dyDescent="0.35">
      <c r="A3936">
        <v>151</v>
      </c>
      <c r="B3936">
        <v>1</v>
      </c>
    </row>
    <row r="3937" spans="1:2" x14ac:dyDescent="0.35">
      <c r="A3937">
        <v>151</v>
      </c>
      <c r="B3937">
        <v>1</v>
      </c>
    </row>
    <row r="3938" spans="1:2" x14ac:dyDescent="0.35">
      <c r="A3938">
        <v>151</v>
      </c>
      <c r="B3938">
        <v>1</v>
      </c>
    </row>
    <row r="3939" spans="1:2" x14ac:dyDescent="0.35">
      <c r="A3939">
        <v>152</v>
      </c>
      <c r="B3939">
        <v>1</v>
      </c>
    </row>
    <row r="3940" spans="1:2" x14ac:dyDescent="0.35">
      <c r="A3940">
        <v>152</v>
      </c>
      <c r="B3940">
        <v>1</v>
      </c>
    </row>
    <row r="3941" spans="1:2" x14ac:dyDescent="0.35">
      <c r="A3941">
        <v>152</v>
      </c>
      <c r="B3941">
        <v>1</v>
      </c>
    </row>
    <row r="3942" spans="1:2" x14ac:dyDescent="0.35">
      <c r="A3942">
        <v>152</v>
      </c>
      <c r="B3942">
        <v>1</v>
      </c>
    </row>
    <row r="3943" spans="1:2" x14ac:dyDescent="0.35">
      <c r="A3943">
        <v>152</v>
      </c>
      <c r="B3943">
        <v>1</v>
      </c>
    </row>
    <row r="3944" spans="1:2" x14ac:dyDescent="0.35">
      <c r="A3944">
        <v>152</v>
      </c>
      <c r="B3944">
        <v>1</v>
      </c>
    </row>
    <row r="3945" spans="1:2" x14ac:dyDescent="0.35">
      <c r="A3945">
        <v>152</v>
      </c>
      <c r="B3945">
        <v>1</v>
      </c>
    </row>
    <row r="3946" spans="1:2" x14ac:dyDescent="0.35">
      <c r="A3946">
        <v>152</v>
      </c>
      <c r="B3946">
        <v>1</v>
      </c>
    </row>
    <row r="3947" spans="1:2" x14ac:dyDescent="0.35">
      <c r="A3947">
        <v>152</v>
      </c>
      <c r="B3947">
        <v>1</v>
      </c>
    </row>
    <row r="3948" spans="1:2" x14ac:dyDescent="0.35">
      <c r="A3948">
        <v>152</v>
      </c>
      <c r="B3948">
        <v>1</v>
      </c>
    </row>
    <row r="3949" spans="1:2" x14ac:dyDescent="0.35">
      <c r="A3949">
        <v>152</v>
      </c>
      <c r="B3949">
        <v>1</v>
      </c>
    </row>
    <row r="3950" spans="1:2" x14ac:dyDescent="0.35">
      <c r="A3950">
        <v>152</v>
      </c>
      <c r="B3950">
        <v>1</v>
      </c>
    </row>
    <row r="3951" spans="1:2" x14ac:dyDescent="0.35">
      <c r="A3951">
        <v>152</v>
      </c>
      <c r="B3951">
        <v>1</v>
      </c>
    </row>
    <row r="3952" spans="1:2" x14ac:dyDescent="0.35">
      <c r="A3952">
        <v>152</v>
      </c>
      <c r="B3952">
        <v>1</v>
      </c>
    </row>
    <row r="3953" spans="1:2" x14ac:dyDescent="0.35">
      <c r="A3953">
        <v>152</v>
      </c>
      <c r="B3953">
        <v>1</v>
      </c>
    </row>
    <row r="3954" spans="1:2" x14ac:dyDescent="0.35">
      <c r="A3954">
        <v>152</v>
      </c>
      <c r="B3954">
        <v>1</v>
      </c>
    </row>
    <row r="3955" spans="1:2" x14ac:dyDescent="0.35">
      <c r="A3955">
        <v>152</v>
      </c>
      <c r="B3955">
        <v>1</v>
      </c>
    </row>
    <row r="3956" spans="1:2" x14ac:dyDescent="0.35">
      <c r="A3956">
        <v>152</v>
      </c>
      <c r="B3956">
        <v>1</v>
      </c>
    </row>
    <row r="3957" spans="1:2" x14ac:dyDescent="0.35">
      <c r="A3957">
        <v>152</v>
      </c>
      <c r="B3957">
        <v>1</v>
      </c>
    </row>
    <row r="3958" spans="1:2" x14ac:dyDescent="0.35">
      <c r="A3958">
        <v>152</v>
      </c>
      <c r="B3958">
        <v>1</v>
      </c>
    </row>
    <row r="3959" spans="1:2" x14ac:dyDescent="0.35">
      <c r="A3959">
        <v>152</v>
      </c>
      <c r="B3959">
        <v>1</v>
      </c>
    </row>
    <row r="3960" spans="1:2" x14ac:dyDescent="0.35">
      <c r="A3960">
        <v>152</v>
      </c>
      <c r="B3960">
        <v>1</v>
      </c>
    </row>
    <row r="3961" spans="1:2" x14ac:dyDescent="0.35">
      <c r="A3961">
        <v>152</v>
      </c>
      <c r="B3961">
        <v>1</v>
      </c>
    </row>
    <row r="3962" spans="1:2" x14ac:dyDescent="0.35">
      <c r="A3962">
        <v>152</v>
      </c>
      <c r="B3962">
        <v>1</v>
      </c>
    </row>
    <row r="3963" spans="1:2" x14ac:dyDescent="0.35">
      <c r="A3963">
        <v>152</v>
      </c>
      <c r="B3963">
        <v>1</v>
      </c>
    </row>
    <row r="3964" spans="1:2" x14ac:dyDescent="0.35">
      <c r="A3964">
        <v>152</v>
      </c>
      <c r="B3964">
        <v>1</v>
      </c>
    </row>
    <row r="3965" spans="1:2" x14ac:dyDescent="0.35">
      <c r="A3965">
        <v>152</v>
      </c>
      <c r="B3965">
        <v>1</v>
      </c>
    </row>
    <row r="3966" spans="1:2" x14ac:dyDescent="0.35">
      <c r="A3966">
        <v>152</v>
      </c>
      <c r="B3966">
        <v>1</v>
      </c>
    </row>
    <row r="3967" spans="1:2" x14ac:dyDescent="0.35">
      <c r="A3967">
        <v>152</v>
      </c>
      <c r="B3967">
        <v>1</v>
      </c>
    </row>
    <row r="3968" spans="1:2" x14ac:dyDescent="0.35">
      <c r="A3968">
        <v>152</v>
      </c>
      <c r="B3968">
        <v>1</v>
      </c>
    </row>
    <row r="3969" spans="1:2" x14ac:dyDescent="0.35">
      <c r="A3969">
        <v>152</v>
      </c>
      <c r="B3969">
        <v>1</v>
      </c>
    </row>
    <row r="3970" spans="1:2" x14ac:dyDescent="0.35">
      <c r="A3970">
        <v>153</v>
      </c>
      <c r="B3970">
        <v>1</v>
      </c>
    </row>
    <row r="3971" spans="1:2" x14ac:dyDescent="0.35">
      <c r="A3971">
        <v>153</v>
      </c>
      <c r="B3971">
        <v>1</v>
      </c>
    </row>
    <row r="3972" spans="1:2" x14ac:dyDescent="0.35">
      <c r="A3972">
        <v>153</v>
      </c>
      <c r="B3972">
        <v>1</v>
      </c>
    </row>
    <row r="3973" spans="1:2" x14ac:dyDescent="0.35">
      <c r="A3973">
        <v>153</v>
      </c>
      <c r="B3973">
        <v>1</v>
      </c>
    </row>
    <row r="3974" spans="1:2" x14ac:dyDescent="0.35">
      <c r="A3974">
        <v>153</v>
      </c>
      <c r="B3974">
        <v>1</v>
      </c>
    </row>
    <row r="3975" spans="1:2" x14ac:dyDescent="0.35">
      <c r="A3975">
        <v>153</v>
      </c>
      <c r="B3975">
        <v>1</v>
      </c>
    </row>
    <row r="3976" spans="1:2" x14ac:dyDescent="0.35">
      <c r="A3976">
        <v>153</v>
      </c>
      <c r="B3976">
        <v>1</v>
      </c>
    </row>
    <row r="3977" spans="1:2" x14ac:dyDescent="0.35">
      <c r="A3977">
        <v>153</v>
      </c>
      <c r="B3977">
        <v>1</v>
      </c>
    </row>
    <row r="3978" spans="1:2" x14ac:dyDescent="0.35">
      <c r="A3978">
        <v>153</v>
      </c>
      <c r="B3978">
        <v>1</v>
      </c>
    </row>
    <row r="3979" spans="1:2" x14ac:dyDescent="0.35">
      <c r="A3979">
        <v>153</v>
      </c>
      <c r="B3979">
        <v>1</v>
      </c>
    </row>
    <row r="3980" spans="1:2" x14ac:dyDescent="0.35">
      <c r="A3980">
        <v>153</v>
      </c>
      <c r="B3980">
        <v>1</v>
      </c>
    </row>
    <row r="3981" spans="1:2" x14ac:dyDescent="0.35">
      <c r="A3981">
        <v>153</v>
      </c>
      <c r="B3981">
        <v>1</v>
      </c>
    </row>
    <row r="3982" spans="1:2" x14ac:dyDescent="0.35">
      <c r="A3982">
        <v>153</v>
      </c>
      <c r="B3982">
        <v>1</v>
      </c>
    </row>
    <row r="3983" spans="1:2" x14ac:dyDescent="0.35">
      <c r="A3983">
        <v>153</v>
      </c>
      <c r="B3983">
        <v>1</v>
      </c>
    </row>
    <row r="3984" spans="1:2" x14ac:dyDescent="0.35">
      <c r="A3984">
        <v>153</v>
      </c>
      <c r="B3984">
        <v>1</v>
      </c>
    </row>
    <row r="3985" spans="1:2" x14ac:dyDescent="0.35">
      <c r="A3985">
        <v>153</v>
      </c>
      <c r="B3985">
        <v>1</v>
      </c>
    </row>
    <row r="3986" spans="1:2" x14ac:dyDescent="0.35">
      <c r="A3986">
        <v>153</v>
      </c>
      <c r="B3986">
        <v>1</v>
      </c>
    </row>
    <row r="3987" spans="1:2" x14ac:dyDescent="0.35">
      <c r="A3987">
        <v>153</v>
      </c>
      <c r="B3987">
        <v>1</v>
      </c>
    </row>
    <row r="3988" spans="1:2" x14ac:dyDescent="0.35">
      <c r="A3988">
        <v>153</v>
      </c>
      <c r="B3988">
        <v>1</v>
      </c>
    </row>
    <row r="3989" spans="1:2" x14ac:dyDescent="0.35">
      <c r="A3989">
        <v>153</v>
      </c>
      <c r="B3989">
        <v>1</v>
      </c>
    </row>
    <row r="3990" spans="1:2" x14ac:dyDescent="0.35">
      <c r="A3990">
        <v>153</v>
      </c>
      <c r="B3990">
        <v>1</v>
      </c>
    </row>
    <row r="3991" spans="1:2" x14ac:dyDescent="0.35">
      <c r="A3991">
        <v>153</v>
      </c>
      <c r="B3991">
        <v>1</v>
      </c>
    </row>
    <row r="3992" spans="1:2" x14ac:dyDescent="0.35">
      <c r="A3992">
        <v>153</v>
      </c>
      <c r="B3992">
        <v>1</v>
      </c>
    </row>
    <row r="3993" spans="1:2" x14ac:dyDescent="0.35">
      <c r="A3993">
        <v>153</v>
      </c>
      <c r="B3993">
        <v>1</v>
      </c>
    </row>
    <row r="3994" spans="1:2" x14ac:dyDescent="0.35">
      <c r="A3994">
        <v>154</v>
      </c>
      <c r="B3994">
        <v>1</v>
      </c>
    </row>
    <row r="3995" spans="1:2" x14ac:dyDescent="0.35">
      <c r="A3995">
        <v>154</v>
      </c>
      <c r="B3995">
        <v>1</v>
      </c>
    </row>
    <row r="3996" spans="1:2" x14ac:dyDescent="0.35">
      <c r="A3996">
        <v>154</v>
      </c>
      <c r="B3996">
        <v>1</v>
      </c>
    </row>
    <row r="3997" spans="1:2" x14ac:dyDescent="0.35">
      <c r="A3997">
        <v>154</v>
      </c>
      <c r="B3997">
        <v>1</v>
      </c>
    </row>
    <row r="3998" spans="1:2" x14ac:dyDescent="0.35">
      <c r="A3998">
        <v>154</v>
      </c>
      <c r="B3998">
        <v>1</v>
      </c>
    </row>
    <row r="3999" spans="1:2" x14ac:dyDescent="0.35">
      <c r="A3999">
        <v>154</v>
      </c>
      <c r="B3999">
        <v>1</v>
      </c>
    </row>
    <row r="4000" spans="1:2" x14ac:dyDescent="0.35">
      <c r="A4000">
        <v>154</v>
      </c>
      <c r="B4000">
        <v>1</v>
      </c>
    </row>
    <row r="4001" spans="1:2" x14ac:dyDescent="0.35">
      <c r="A4001">
        <v>154</v>
      </c>
      <c r="B4001">
        <v>1</v>
      </c>
    </row>
    <row r="4002" spans="1:2" x14ac:dyDescent="0.35">
      <c r="A4002">
        <v>154</v>
      </c>
      <c r="B4002">
        <v>1</v>
      </c>
    </row>
    <row r="4003" spans="1:2" x14ac:dyDescent="0.35">
      <c r="A4003">
        <v>154</v>
      </c>
      <c r="B4003">
        <v>1</v>
      </c>
    </row>
    <row r="4004" spans="1:2" x14ac:dyDescent="0.35">
      <c r="A4004">
        <v>154</v>
      </c>
      <c r="B4004">
        <v>1</v>
      </c>
    </row>
    <row r="4005" spans="1:2" x14ac:dyDescent="0.35">
      <c r="A4005">
        <v>154</v>
      </c>
      <c r="B4005">
        <v>1</v>
      </c>
    </row>
    <row r="4006" spans="1:2" x14ac:dyDescent="0.35">
      <c r="A4006">
        <v>154</v>
      </c>
      <c r="B4006">
        <v>1</v>
      </c>
    </row>
    <row r="4007" spans="1:2" x14ac:dyDescent="0.35">
      <c r="A4007">
        <v>154</v>
      </c>
      <c r="B4007">
        <v>1</v>
      </c>
    </row>
    <row r="4008" spans="1:2" x14ac:dyDescent="0.35">
      <c r="A4008">
        <v>154</v>
      </c>
      <c r="B4008">
        <v>1</v>
      </c>
    </row>
    <row r="4009" spans="1:2" x14ac:dyDescent="0.35">
      <c r="A4009">
        <v>154</v>
      </c>
      <c r="B4009">
        <v>1</v>
      </c>
    </row>
    <row r="4010" spans="1:2" x14ac:dyDescent="0.35">
      <c r="A4010">
        <v>154</v>
      </c>
      <c r="B4010">
        <v>1</v>
      </c>
    </row>
    <row r="4011" spans="1:2" x14ac:dyDescent="0.35">
      <c r="A4011">
        <v>154</v>
      </c>
      <c r="B4011">
        <v>1</v>
      </c>
    </row>
    <row r="4012" spans="1:2" x14ac:dyDescent="0.35">
      <c r="A4012">
        <v>154</v>
      </c>
      <c r="B4012">
        <v>1</v>
      </c>
    </row>
    <row r="4013" spans="1:2" x14ac:dyDescent="0.35">
      <c r="A4013">
        <v>154</v>
      </c>
      <c r="B4013">
        <v>1</v>
      </c>
    </row>
    <row r="4014" spans="1:2" x14ac:dyDescent="0.35">
      <c r="A4014">
        <v>154</v>
      </c>
      <c r="B4014">
        <v>1</v>
      </c>
    </row>
    <row r="4015" spans="1:2" x14ac:dyDescent="0.35">
      <c r="A4015">
        <v>154</v>
      </c>
      <c r="B4015">
        <v>1</v>
      </c>
    </row>
    <row r="4016" spans="1:2" x14ac:dyDescent="0.35">
      <c r="A4016">
        <v>154</v>
      </c>
      <c r="B4016">
        <v>1</v>
      </c>
    </row>
    <row r="4017" spans="1:2" x14ac:dyDescent="0.35">
      <c r="A4017">
        <v>154</v>
      </c>
      <c r="B4017">
        <v>1</v>
      </c>
    </row>
    <row r="4018" spans="1:2" x14ac:dyDescent="0.35">
      <c r="A4018">
        <v>154</v>
      </c>
      <c r="B4018">
        <v>1</v>
      </c>
    </row>
    <row r="4019" spans="1:2" x14ac:dyDescent="0.35">
      <c r="A4019">
        <v>154</v>
      </c>
      <c r="B4019">
        <v>1</v>
      </c>
    </row>
    <row r="4020" spans="1:2" x14ac:dyDescent="0.35">
      <c r="A4020">
        <v>154</v>
      </c>
      <c r="B4020">
        <v>1</v>
      </c>
    </row>
    <row r="4021" spans="1:2" x14ac:dyDescent="0.35">
      <c r="A4021">
        <v>154</v>
      </c>
      <c r="B4021">
        <v>1</v>
      </c>
    </row>
    <row r="4022" spans="1:2" x14ac:dyDescent="0.35">
      <c r="A4022">
        <v>154</v>
      </c>
      <c r="B4022">
        <v>1</v>
      </c>
    </row>
    <row r="4023" spans="1:2" x14ac:dyDescent="0.35">
      <c r="A4023">
        <v>154</v>
      </c>
      <c r="B4023">
        <v>1</v>
      </c>
    </row>
    <row r="4024" spans="1:2" x14ac:dyDescent="0.35">
      <c r="A4024">
        <v>155</v>
      </c>
      <c r="B4024">
        <v>1</v>
      </c>
    </row>
    <row r="4025" spans="1:2" x14ac:dyDescent="0.35">
      <c r="A4025">
        <v>155</v>
      </c>
      <c r="B4025">
        <v>1</v>
      </c>
    </row>
    <row r="4026" spans="1:2" x14ac:dyDescent="0.35">
      <c r="A4026">
        <v>155</v>
      </c>
      <c r="B4026">
        <v>1</v>
      </c>
    </row>
    <row r="4027" spans="1:2" x14ac:dyDescent="0.35">
      <c r="A4027">
        <v>155</v>
      </c>
      <c r="B4027">
        <v>1</v>
      </c>
    </row>
    <row r="4028" spans="1:2" x14ac:dyDescent="0.35">
      <c r="A4028">
        <v>155</v>
      </c>
      <c r="B4028">
        <v>1</v>
      </c>
    </row>
    <row r="4029" spans="1:2" x14ac:dyDescent="0.35">
      <c r="A4029">
        <v>155</v>
      </c>
      <c r="B4029">
        <v>1</v>
      </c>
    </row>
    <row r="4030" spans="1:2" x14ac:dyDescent="0.35">
      <c r="A4030">
        <v>155</v>
      </c>
      <c r="B4030">
        <v>1</v>
      </c>
    </row>
    <row r="4031" spans="1:2" x14ac:dyDescent="0.35">
      <c r="A4031">
        <v>155</v>
      </c>
      <c r="B4031">
        <v>1</v>
      </c>
    </row>
    <row r="4032" spans="1:2" x14ac:dyDescent="0.35">
      <c r="A4032">
        <v>155</v>
      </c>
      <c r="B4032">
        <v>1</v>
      </c>
    </row>
    <row r="4033" spans="1:2" x14ac:dyDescent="0.35">
      <c r="A4033">
        <v>155</v>
      </c>
      <c r="B4033">
        <v>1</v>
      </c>
    </row>
    <row r="4034" spans="1:2" x14ac:dyDescent="0.35">
      <c r="A4034">
        <v>155</v>
      </c>
      <c r="B4034">
        <v>1</v>
      </c>
    </row>
    <row r="4035" spans="1:2" x14ac:dyDescent="0.35">
      <c r="A4035">
        <v>155</v>
      </c>
      <c r="B4035">
        <v>1</v>
      </c>
    </row>
    <row r="4036" spans="1:2" x14ac:dyDescent="0.35">
      <c r="A4036">
        <v>155</v>
      </c>
      <c r="B4036">
        <v>1</v>
      </c>
    </row>
    <row r="4037" spans="1:2" x14ac:dyDescent="0.35">
      <c r="A4037">
        <v>155</v>
      </c>
      <c r="B4037">
        <v>1</v>
      </c>
    </row>
    <row r="4038" spans="1:2" x14ac:dyDescent="0.35">
      <c r="A4038">
        <v>155</v>
      </c>
      <c r="B4038">
        <v>1</v>
      </c>
    </row>
    <row r="4039" spans="1:2" x14ac:dyDescent="0.35">
      <c r="A4039">
        <v>155</v>
      </c>
      <c r="B4039">
        <v>1</v>
      </c>
    </row>
    <row r="4040" spans="1:2" x14ac:dyDescent="0.35">
      <c r="A4040">
        <v>155</v>
      </c>
      <c r="B4040">
        <v>1</v>
      </c>
    </row>
    <row r="4041" spans="1:2" x14ac:dyDescent="0.35">
      <c r="A4041">
        <v>155</v>
      </c>
      <c r="B4041">
        <v>1</v>
      </c>
    </row>
    <row r="4042" spans="1:2" x14ac:dyDescent="0.35">
      <c r="A4042">
        <v>155</v>
      </c>
      <c r="B4042">
        <v>1</v>
      </c>
    </row>
    <row r="4043" spans="1:2" x14ac:dyDescent="0.35">
      <c r="A4043">
        <v>155</v>
      </c>
      <c r="B4043">
        <v>1</v>
      </c>
    </row>
    <row r="4044" spans="1:2" x14ac:dyDescent="0.35">
      <c r="A4044">
        <v>155</v>
      </c>
      <c r="B4044">
        <v>1</v>
      </c>
    </row>
    <row r="4045" spans="1:2" x14ac:dyDescent="0.35">
      <c r="A4045">
        <v>155</v>
      </c>
      <c r="B4045">
        <v>1</v>
      </c>
    </row>
    <row r="4046" spans="1:2" x14ac:dyDescent="0.35">
      <c r="A4046">
        <v>155</v>
      </c>
      <c r="B4046">
        <v>1</v>
      </c>
    </row>
    <row r="4047" spans="1:2" x14ac:dyDescent="0.35">
      <c r="A4047">
        <v>156</v>
      </c>
      <c r="B4047">
        <v>1</v>
      </c>
    </row>
    <row r="4048" spans="1:2" x14ac:dyDescent="0.35">
      <c r="A4048">
        <v>156</v>
      </c>
      <c r="B4048">
        <v>1</v>
      </c>
    </row>
    <row r="4049" spans="1:2" x14ac:dyDescent="0.35">
      <c r="A4049">
        <v>156</v>
      </c>
      <c r="B4049">
        <v>1</v>
      </c>
    </row>
    <row r="4050" spans="1:2" x14ac:dyDescent="0.35">
      <c r="A4050">
        <v>156</v>
      </c>
      <c r="B4050">
        <v>1</v>
      </c>
    </row>
    <row r="4051" spans="1:2" x14ac:dyDescent="0.35">
      <c r="A4051">
        <v>156</v>
      </c>
      <c r="B4051">
        <v>1</v>
      </c>
    </row>
    <row r="4052" spans="1:2" x14ac:dyDescent="0.35">
      <c r="A4052">
        <v>156</v>
      </c>
      <c r="B4052">
        <v>1</v>
      </c>
    </row>
    <row r="4053" spans="1:2" x14ac:dyDescent="0.35">
      <c r="A4053">
        <v>156</v>
      </c>
      <c r="B4053">
        <v>1</v>
      </c>
    </row>
    <row r="4054" spans="1:2" x14ac:dyDescent="0.35">
      <c r="A4054">
        <v>156</v>
      </c>
      <c r="B4054">
        <v>1</v>
      </c>
    </row>
    <row r="4055" spans="1:2" x14ac:dyDescent="0.35">
      <c r="A4055">
        <v>156</v>
      </c>
      <c r="B4055">
        <v>1</v>
      </c>
    </row>
    <row r="4056" spans="1:2" x14ac:dyDescent="0.35">
      <c r="A4056">
        <v>156</v>
      </c>
      <c r="B4056">
        <v>1</v>
      </c>
    </row>
    <row r="4057" spans="1:2" x14ac:dyDescent="0.35">
      <c r="A4057">
        <v>156</v>
      </c>
      <c r="B4057">
        <v>1</v>
      </c>
    </row>
    <row r="4058" spans="1:2" x14ac:dyDescent="0.35">
      <c r="A4058">
        <v>156</v>
      </c>
      <c r="B4058">
        <v>1</v>
      </c>
    </row>
    <row r="4059" spans="1:2" x14ac:dyDescent="0.35">
      <c r="A4059">
        <v>156</v>
      </c>
      <c r="B4059">
        <v>1</v>
      </c>
    </row>
    <row r="4060" spans="1:2" x14ac:dyDescent="0.35">
      <c r="A4060">
        <v>156</v>
      </c>
      <c r="B4060">
        <v>1</v>
      </c>
    </row>
    <row r="4061" spans="1:2" x14ac:dyDescent="0.35">
      <c r="A4061">
        <v>156</v>
      </c>
      <c r="B4061">
        <v>1</v>
      </c>
    </row>
    <row r="4062" spans="1:2" x14ac:dyDescent="0.35">
      <c r="A4062">
        <v>156</v>
      </c>
      <c r="B4062">
        <v>1</v>
      </c>
    </row>
    <row r="4063" spans="1:2" x14ac:dyDescent="0.35">
      <c r="A4063">
        <v>156</v>
      </c>
      <c r="B4063">
        <v>1</v>
      </c>
    </row>
    <row r="4064" spans="1:2" x14ac:dyDescent="0.35">
      <c r="A4064">
        <v>156</v>
      </c>
      <c r="B4064">
        <v>1</v>
      </c>
    </row>
    <row r="4065" spans="1:2" x14ac:dyDescent="0.35">
      <c r="A4065">
        <v>156</v>
      </c>
      <c r="B4065">
        <v>1</v>
      </c>
    </row>
    <row r="4066" spans="1:2" x14ac:dyDescent="0.35">
      <c r="A4066">
        <v>156</v>
      </c>
      <c r="B4066">
        <v>1</v>
      </c>
    </row>
    <row r="4067" spans="1:2" x14ac:dyDescent="0.35">
      <c r="A4067">
        <v>156</v>
      </c>
      <c r="B4067">
        <v>1</v>
      </c>
    </row>
    <row r="4068" spans="1:2" x14ac:dyDescent="0.35">
      <c r="A4068">
        <v>156</v>
      </c>
      <c r="B4068">
        <v>1</v>
      </c>
    </row>
    <row r="4069" spans="1:2" x14ac:dyDescent="0.35">
      <c r="A4069">
        <v>156</v>
      </c>
      <c r="B4069">
        <v>1</v>
      </c>
    </row>
    <row r="4070" spans="1:2" x14ac:dyDescent="0.35">
      <c r="A4070">
        <v>156</v>
      </c>
      <c r="B4070">
        <v>1</v>
      </c>
    </row>
    <row r="4071" spans="1:2" x14ac:dyDescent="0.35">
      <c r="A4071">
        <v>157</v>
      </c>
      <c r="B4071">
        <v>1</v>
      </c>
    </row>
    <row r="4072" spans="1:2" x14ac:dyDescent="0.35">
      <c r="A4072">
        <v>157</v>
      </c>
      <c r="B4072">
        <v>1</v>
      </c>
    </row>
    <row r="4073" spans="1:2" x14ac:dyDescent="0.35">
      <c r="A4073">
        <v>157</v>
      </c>
      <c r="B4073">
        <v>1</v>
      </c>
    </row>
    <row r="4074" spans="1:2" x14ac:dyDescent="0.35">
      <c r="A4074">
        <v>157</v>
      </c>
      <c r="B4074">
        <v>1</v>
      </c>
    </row>
    <row r="4075" spans="1:2" x14ac:dyDescent="0.35">
      <c r="A4075">
        <v>157</v>
      </c>
      <c r="B4075">
        <v>1</v>
      </c>
    </row>
    <row r="4076" spans="1:2" x14ac:dyDescent="0.35">
      <c r="A4076">
        <v>157</v>
      </c>
      <c r="B4076">
        <v>1</v>
      </c>
    </row>
    <row r="4077" spans="1:2" x14ac:dyDescent="0.35">
      <c r="A4077">
        <v>157</v>
      </c>
      <c r="B4077">
        <v>1</v>
      </c>
    </row>
    <row r="4078" spans="1:2" x14ac:dyDescent="0.35">
      <c r="A4078">
        <v>157</v>
      </c>
      <c r="B4078">
        <v>1</v>
      </c>
    </row>
    <row r="4079" spans="1:2" x14ac:dyDescent="0.35">
      <c r="A4079">
        <v>157</v>
      </c>
      <c r="B4079">
        <v>1</v>
      </c>
    </row>
    <row r="4080" spans="1:2" x14ac:dyDescent="0.35">
      <c r="A4080">
        <v>157</v>
      </c>
      <c r="B4080">
        <v>1</v>
      </c>
    </row>
    <row r="4081" spans="1:2" x14ac:dyDescent="0.35">
      <c r="A4081">
        <v>157</v>
      </c>
      <c r="B4081">
        <v>1</v>
      </c>
    </row>
    <row r="4082" spans="1:2" x14ac:dyDescent="0.35">
      <c r="A4082">
        <v>157</v>
      </c>
      <c r="B4082">
        <v>1</v>
      </c>
    </row>
    <row r="4083" spans="1:2" x14ac:dyDescent="0.35">
      <c r="A4083">
        <v>157</v>
      </c>
      <c r="B4083">
        <v>1</v>
      </c>
    </row>
    <row r="4084" spans="1:2" x14ac:dyDescent="0.35">
      <c r="A4084">
        <v>157</v>
      </c>
      <c r="B4084">
        <v>1</v>
      </c>
    </row>
    <row r="4085" spans="1:2" x14ac:dyDescent="0.35">
      <c r="A4085">
        <v>157</v>
      </c>
      <c r="B4085">
        <v>1</v>
      </c>
    </row>
    <row r="4086" spans="1:2" x14ac:dyDescent="0.35">
      <c r="A4086">
        <v>157</v>
      </c>
      <c r="B4086">
        <v>1</v>
      </c>
    </row>
    <row r="4087" spans="1:2" x14ac:dyDescent="0.35">
      <c r="A4087">
        <v>157</v>
      </c>
      <c r="B4087">
        <v>1</v>
      </c>
    </row>
    <row r="4088" spans="1:2" x14ac:dyDescent="0.35">
      <c r="A4088">
        <v>157</v>
      </c>
      <c r="B4088">
        <v>1</v>
      </c>
    </row>
    <row r="4089" spans="1:2" x14ac:dyDescent="0.35">
      <c r="A4089">
        <v>157</v>
      </c>
      <c r="B4089">
        <v>1</v>
      </c>
    </row>
    <row r="4090" spans="1:2" x14ac:dyDescent="0.35">
      <c r="A4090">
        <v>157</v>
      </c>
      <c r="B4090">
        <v>1</v>
      </c>
    </row>
    <row r="4091" spans="1:2" x14ac:dyDescent="0.35">
      <c r="A4091">
        <v>157</v>
      </c>
      <c r="B4091">
        <v>1</v>
      </c>
    </row>
    <row r="4092" spans="1:2" x14ac:dyDescent="0.35">
      <c r="A4092">
        <v>157</v>
      </c>
      <c r="B4092">
        <v>1</v>
      </c>
    </row>
    <row r="4093" spans="1:2" x14ac:dyDescent="0.35">
      <c r="A4093">
        <v>157</v>
      </c>
      <c r="B4093">
        <v>1</v>
      </c>
    </row>
    <row r="4094" spans="1:2" x14ac:dyDescent="0.35">
      <c r="A4094">
        <v>157</v>
      </c>
      <c r="B4094">
        <v>1</v>
      </c>
    </row>
    <row r="4095" spans="1:2" x14ac:dyDescent="0.35">
      <c r="A4095">
        <v>157</v>
      </c>
      <c r="B4095">
        <v>1</v>
      </c>
    </row>
    <row r="4096" spans="1:2" x14ac:dyDescent="0.35">
      <c r="A4096">
        <v>157</v>
      </c>
      <c r="B4096">
        <v>1</v>
      </c>
    </row>
    <row r="4097" spans="1:2" x14ac:dyDescent="0.35">
      <c r="A4097">
        <v>157</v>
      </c>
      <c r="B4097">
        <v>1</v>
      </c>
    </row>
    <row r="4098" spans="1:2" x14ac:dyDescent="0.35">
      <c r="A4098">
        <v>158</v>
      </c>
      <c r="B4098">
        <v>1</v>
      </c>
    </row>
    <row r="4099" spans="1:2" x14ac:dyDescent="0.35">
      <c r="A4099">
        <v>158</v>
      </c>
      <c r="B4099">
        <v>1</v>
      </c>
    </row>
    <row r="4100" spans="1:2" x14ac:dyDescent="0.35">
      <c r="A4100">
        <v>158</v>
      </c>
      <c r="B4100">
        <v>1</v>
      </c>
    </row>
    <row r="4101" spans="1:2" x14ac:dyDescent="0.35">
      <c r="A4101">
        <v>158</v>
      </c>
      <c r="B4101">
        <v>1</v>
      </c>
    </row>
    <row r="4102" spans="1:2" x14ac:dyDescent="0.35">
      <c r="A4102">
        <v>158</v>
      </c>
      <c r="B4102">
        <v>1</v>
      </c>
    </row>
    <row r="4103" spans="1:2" x14ac:dyDescent="0.35">
      <c r="A4103">
        <v>158</v>
      </c>
      <c r="B4103">
        <v>1</v>
      </c>
    </row>
    <row r="4104" spans="1:2" x14ac:dyDescent="0.35">
      <c r="A4104">
        <v>158</v>
      </c>
      <c r="B4104">
        <v>1</v>
      </c>
    </row>
    <row r="4105" spans="1:2" x14ac:dyDescent="0.35">
      <c r="A4105">
        <v>158</v>
      </c>
      <c r="B4105">
        <v>1</v>
      </c>
    </row>
    <row r="4106" spans="1:2" x14ac:dyDescent="0.35">
      <c r="A4106">
        <v>158</v>
      </c>
      <c r="B4106">
        <v>1</v>
      </c>
    </row>
    <row r="4107" spans="1:2" x14ac:dyDescent="0.35">
      <c r="A4107">
        <v>158</v>
      </c>
      <c r="B4107">
        <v>1</v>
      </c>
    </row>
    <row r="4108" spans="1:2" x14ac:dyDescent="0.35">
      <c r="A4108">
        <v>158</v>
      </c>
      <c r="B4108">
        <v>1</v>
      </c>
    </row>
    <row r="4109" spans="1:2" x14ac:dyDescent="0.35">
      <c r="A4109">
        <v>158</v>
      </c>
      <c r="B4109">
        <v>1</v>
      </c>
    </row>
    <row r="4110" spans="1:2" x14ac:dyDescent="0.35">
      <c r="A4110">
        <v>158</v>
      </c>
      <c r="B4110">
        <v>1</v>
      </c>
    </row>
    <row r="4111" spans="1:2" x14ac:dyDescent="0.35">
      <c r="A4111">
        <v>158</v>
      </c>
      <c r="B4111">
        <v>1</v>
      </c>
    </row>
    <row r="4112" spans="1:2" x14ac:dyDescent="0.35">
      <c r="A4112">
        <v>158</v>
      </c>
      <c r="B4112">
        <v>1</v>
      </c>
    </row>
    <row r="4113" spans="1:2" x14ac:dyDescent="0.35">
      <c r="A4113">
        <v>158</v>
      </c>
      <c r="B4113">
        <v>1</v>
      </c>
    </row>
    <row r="4114" spans="1:2" x14ac:dyDescent="0.35">
      <c r="A4114">
        <v>158</v>
      </c>
      <c r="B4114">
        <v>1</v>
      </c>
    </row>
    <row r="4115" spans="1:2" x14ac:dyDescent="0.35">
      <c r="A4115">
        <v>158</v>
      </c>
      <c r="B4115">
        <v>1</v>
      </c>
    </row>
    <row r="4116" spans="1:2" x14ac:dyDescent="0.35">
      <c r="A4116">
        <v>158</v>
      </c>
      <c r="B4116">
        <v>1</v>
      </c>
    </row>
    <row r="4117" spans="1:2" x14ac:dyDescent="0.35">
      <c r="A4117">
        <v>158</v>
      </c>
      <c r="B4117">
        <v>1</v>
      </c>
    </row>
    <row r="4118" spans="1:2" x14ac:dyDescent="0.35">
      <c r="A4118">
        <v>158</v>
      </c>
      <c r="B4118">
        <v>1</v>
      </c>
    </row>
    <row r="4119" spans="1:2" x14ac:dyDescent="0.35">
      <c r="A4119">
        <v>158</v>
      </c>
      <c r="B4119">
        <v>1</v>
      </c>
    </row>
    <row r="4120" spans="1:2" x14ac:dyDescent="0.35">
      <c r="A4120">
        <v>158</v>
      </c>
      <c r="B4120">
        <v>1</v>
      </c>
    </row>
    <row r="4121" spans="1:2" x14ac:dyDescent="0.35">
      <c r="A4121">
        <v>158</v>
      </c>
      <c r="B4121">
        <v>1</v>
      </c>
    </row>
    <row r="4122" spans="1:2" x14ac:dyDescent="0.35">
      <c r="A4122">
        <v>158</v>
      </c>
      <c r="B4122">
        <v>1</v>
      </c>
    </row>
    <row r="4123" spans="1:2" x14ac:dyDescent="0.35">
      <c r="A4123">
        <v>158</v>
      </c>
      <c r="B4123">
        <v>1</v>
      </c>
    </row>
    <row r="4124" spans="1:2" x14ac:dyDescent="0.35">
      <c r="A4124">
        <v>159</v>
      </c>
      <c r="B4124">
        <v>1</v>
      </c>
    </row>
    <row r="4125" spans="1:2" x14ac:dyDescent="0.35">
      <c r="A4125">
        <v>159</v>
      </c>
      <c r="B4125">
        <v>1</v>
      </c>
    </row>
    <row r="4126" spans="1:2" x14ac:dyDescent="0.35">
      <c r="A4126">
        <v>159</v>
      </c>
      <c r="B4126">
        <v>1</v>
      </c>
    </row>
    <row r="4127" spans="1:2" x14ac:dyDescent="0.35">
      <c r="A4127">
        <v>159</v>
      </c>
      <c r="B4127">
        <v>1</v>
      </c>
    </row>
    <row r="4128" spans="1:2" x14ac:dyDescent="0.35">
      <c r="A4128">
        <v>159</v>
      </c>
      <c r="B4128">
        <v>1</v>
      </c>
    </row>
    <row r="4129" spans="1:2" x14ac:dyDescent="0.35">
      <c r="A4129">
        <v>159</v>
      </c>
      <c r="B4129">
        <v>1</v>
      </c>
    </row>
    <row r="4130" spans="1:2" x14ac:dyDescent="0.35">
      <c r="A4130">
        <v>159</v>
      </c>
      <c r="B4130">
        <v>1</v>
      </c>
    </row>
    <row r="4131" spans="1:2" x14ac:dyDescent="0.35">
      <c r="A4131">
        <v>159</v>
      </c>
      <c r="B4131">
        <v>1</v>
      </c>
    </row>
    <row r="4132" spans="1:2" x14ac:dyDescent="0.35">
      <c r="A4132">
        <v>159</v>
      </c>
      <c r="B4132">
        <v>1</v>
      </c>
    </row>
    <row r="4133" spans="1:2" x14ac:dyDescent="0.35">
      <c r="A4133">
        <v>159</v>
      </c>
      <c r="B4133">
        <v>1</v>
      </c>
    </row>
    <row r="4134" spans="1:2" x14ac:dyDescent="0.35">
      <c r="A4134">
        <v>159</v>
      </c>
      <c r="B4134">
        <v>1</v>
      </c>
    </row>
    <row r="4135" spans="1:2" x14ac:dyDescent="0.35">
      <c r="A4135">
        <v>159</v>
      </c>
      <c r="B4135">
        <v>1</v>
      </c>
    </row>
    <row r="4136" spans="1:2" x14ac:dyDescent="0.35">
      <c r="A4136">
        <v>159</v>
      </c>
      <c r="B4136">
        <v>1</v>
      </c>
    </row>
    <row r="4137" spans="1:2" x14ac:dyDescent="0.35">
      <c r="A4137">
        <v>159</v>
      </c>
      <c r="B4137">
        <v>1</v>
      </c>
    </row>
    <row r="4138" spans="1:2" x14ac:dyDescent="0.35">
      <c r="A4138">
        <v>159</v>
      </c>
      <c r="B4138">
        <v>1</v>
      </c>
    </row>
    <row r="4139" spans="1:2" x14ac:dyDescent="0.35">
      <c r="A4139">
        <v>159</v>
      </c>
      <c r="B4139">
        <v>1</v>
      </c>
    </row>
    <row r="4140" spans="1:2" x14ac:dyDescent="0.35">
      <c r="A4140">
        <v>159</v>
      </c>
      <c r="B4140">
        <v>1</v>
      </c>
    </row>
    <row r="4141" spans="1:2" x14ac:dyDescent="0.35">
      <c r="A4141">
        <v>159</v>
      </c>
      <c r="B4141">
        <v>1</v>
      </c>
    </row>
    <row r="4142" spans="1:2" x14ac:dyDescent="0.35">
      <c r="A4142">
        <v>159</v>
      </c>
      <c r="B4142">
        <v>1</v>
      </c>
    </row>
    <row r="4143" spans="1:2" x14ac:dyDescent="0.35">
      <c r="A4143">
        <v>159</v>
      </c>
      <c r="B4143">
        <v>1</v>
      </c>
    </row>
    <row r="4144" spans="1:2" x14ac:dyDescent="0.35">
      <c r="A4144">
        <v>159</v>
      </c>
      <c r="B4144">
        <v>1</v>
      </c>
    </row>
    <row r="4145" spans="1:2" x14ac:dyDescent="0.35">
      <c r="A4145">
        <v>160</v>
      </c>
      <c r="B4145">
        <v>1</v>
      </c>
    </row>
    <row r="4146" spans="1:2" x14ac:dyDescent="0.35">
      <c r="A4146">
        <v>160</v>
      </c>
      <c r="B4146">
        <v>1</v>
      </c>
    </row>
    <row r="4147" spans="1:2" x14ac:dyDescent="0.35">
      <c r="A4147">
        <v>160</v>
      </c>
      <c r="B4147">
        <v>1</v>
      </c>
    </row>
    <row r="4148" spans="1:2" x14ac:dyDescent="0.35">
      <c r="A4148">
        <v>160</v>
      </c>
      <c r="B4148">
        <v>1</v>
      </c>
    </row>
    <row r="4149" spans="1:2" x14ac:dyDescent="0.35">
      <c r="A4149">
        <v>160</v>
      </c>
      <c r="B4149">
        <v>1</v>
      </c>
    </row>
    <row r="4150" spans="1:2" x14ac:dyDescent="0.35">
      <c r="A4150">
        <v>160</v>
      </c>
      <c r="B4150">
        <v>1</v>
      </c>
    </row>
    <row r="4151" spans="1:2" x14ac:dyDescent="0.35">
      <c r="A4151">
        <v>160</v>
      </c>
      <c r="B4151">
        <v>1</v>
      </c>
    </row>
    <row r="4152" spans="1:2" x14ac:dyDescent="0.35">
      <c r="A4152">
        <v>160</v>
      </c>
      <c r="B4152">
        <v>1</v>
      </c>
    </row>
    <row r="4153" spans="1:2" x14ac:dyDescent="0.35">
      <c r="A4153">
        <v>160</v>
      </c>
      <c r="B4153">
        <v>1</v>
      </c>
    </row>
    <row r="4154" spans="1:2" x14ac:dyDescent="0.35">
      <c r="A4154">
        <v>160</v>
      </c>
      <c r="B4154">
        <v>1</v>
      </c>
    </row>
    <row r="4155" spans="1:2" x14ac:dyDescent="0.35">
      <c r="A4155">
        <v>160</v>
      </c>
      <c r="B4155">
        <v>1</v>
      </c>
    </row>
    <row r="4156" spans="1:2" x14ac:dyDescent="0.35">
      <c r="A4156">
        <v>160</v>
      </c>
      <c r="B4156">
        <v>1</v>
      </c>
    </row>
    <row r="4157" spans="1:2" x14ac:dyDescent="0.35">
      <c r="A4157">
        <v>160</v>
      </c>
      <c r="B4157">
        <v>1</v>
      </c>
    </row>
    <row r="4158" spans="1:2" x14ac:dyDescent="0.35">
      <c r="A4158">
        <v>160</v>
      </c>
      <c r="B4158">
        <v>1</v>
      </c>
    </row>
    <row r="4159" spans="1:2" x14ac:dyDescent="0.35">
      <c r="A4159">
        <v>160</v>
      </c>
      <c r="B4159">
        <v>1</v>
      </c>
    </row>
    <row r="4160" spans="1:2" x14ac:dyDescent="0.35">
      <c r="A4160">
        <v>160</v>
      </c>
      <c r="B4160">
        <v>1</v>
      </c>
    </row>
    <row r="4161" spans="1:2" x14ac:dyDescent="0.35">
      <c r="A4161">
        <v>160</v>
      </c>
      <c r="B4161">
        <v>1</v>
      </c>
    </row>
    <row r="4162" spans="1:2" x14ac:dyDescent="0.35">
      <c r="A4162">
        <v>160</v>
      </c>
      <c r="B4162">
        <v>1</v>
      </c>
    </row>
    <row r="4163" spans="1:2" x14ac:dyDescent="0.35">
      <c r="A4163">
        <v>160</v>
      </c>
      <c r="B4163">
        <v>1</v>
      </c>
    </row>
    <row r="4164" spans="1:2" x14ac:dyDescent="0.35">
      <c r="A4164">
        <v>160</v>
      </c>
      <c r="B4164">
        <v>1</v>
      </c>
    </row>
    <row r="4165" spans="1:2" x14ac:dyDescent="0.35">
      <c r="A4165">
        <v>160</v>
      </c>
      <c r="B4165">
        <v>1</v>
      </c>
    </row>
    <row r="4166" spans="1:2" x14ac:dyDescent="0.35">
      <c r="A4166">
        <v>160</v>
      </c>
      <c r="B4166">
        <v>1</v>
      </c>
    </row>
    <row r="4167" spans="1:2" x14ac:dyDescent="0.35">
      <c r="A4167">
        <v>160</v>
      </c>
      <c r="B4167">
        <v>1</v>
      </c>
    </row>
    <row r="4168" spans="1:2" x14ac:dyDescent="0.35">
      <c r="A4168">
        <v>161</v>
      </c>
      <c r="B4168">
        <v>1</v>
      </c>
    </row>
    <row r="4169" spans="1:2" x14ac:dyDescent="0.35">
      <c r="A4169">
        <v>161</v>
      </c>
      <c r="B4169">
        <v>1</v>
      </c>
    </row>
    <row r="4170" spans="1:2" x14ac:dyDescent="0.35">
      <c r="A4170">
        <v>161</v>
      </c>
      <c r="B4170">
        <v>1</v>
      </c>
    </row>
    <row r="4171" spans="1:2" x14ac:dyDescent="0.35">
      <c r="A4171">
        <v>161</v>
      </c>
      <c r="B4171">
        <v>1</v>
      </c>
    </row>
    <row r="4172" spans="1:2" x14ac:dyDescent="0.35">
      <c r="A4172">
        <v>161</v>
      </c>
      <c r="B4172">
        <v>1</v>
      </c>
    </row>
    <row r="4173" spans="1:2" x14ac:dyDescent="0.35">
      <c r="A4173">
        <v>161</v>
      </c>
      <c r="B4173">
        <v>1</v>
      </c>
    </row>
    <row r="4174" spans="1:2" x14ac:dyDescent="0.35">
      <c r="A4174">
        <v>161</v>
      </c>
      <c r="B4174">
        <v>1</v>
      </c>
    </row>
    <row r="4175" spans="1:2" x14ac:dyDescent="0.35">
      <c r="A4175">
        <v>161</v>
      </c>
      <c r="B4175">
        <v>1</v>
      </c>
    </row>
    <row r="4176" spans="1:2" x14ac:dyDescent="0.35">
      <c r="A4176">
        <v>161</v>
      </c>
      <c r="B4176">
        <v>1</v>
      </c>
    </row>
    <row r="4177" spans="1:2" x14ac:dyDescent="0.35">
      <c r="A4177">
        <v>161</v>
      </c>
      <c r="B4177">
        <v>1</v>
      </c>
    </row>
    <row r="4178" spans="1:2" x14ac:dyDescent="0.35">
      <c r="A4178">
        <v>161</v>
      </c>
      <c r="B4178">
        <v>1</v>
      </c>
    </row>
    <row r="4179" spans="1:2" x14ac:dyDescent="0.35">
      <c r="A4179">
        <v>161</v>
      </c>
      <c r="B4179">
        <v>1</v>
      </c>
    </row>
    <row r="4180" spans="1:2" x14ac:dyDescent="0.35">
      <c r="A4180">
        <v>161</v>
      </c>
      <c r="B4180">
        <v>1</v>
      </c>
    </row>
    <row r="4181" spans="1:2" x14ac:dyDescent="0.35">
      <c r="A4181">
        <v>161</v>
      </c>
      <c r="B4181">
        <v>1</v>
      </c>
    </row>
    <row r="4182" spans="1:2" x14ac:dyDescent="0.35">
      <c r="A4182">
        <v>161</v>
      </c>
      <c r="B4182">
        <v>1</v>
      </c>
    </row>
    <row r="4183" spans="1:2" x14ac:dyDescent="0.35">
      <c r="A4183">
        <v>161</v>
      </c>
      <c r="B4183">
        <v>1</v>
      </c>
    </row>
    <row r="4184" spans="1:2" x14ac:dyDescent="0.35">
      <c r="A4184">
        <v>161</v>
      </c>
      <c r="B4184">
        <v>1</v>
      </c>
    </row>
    <row r="4185" spans="1:2" x14ac:dyDescent="0.35">
      <c r="A4185">
        <v>161</v>
      </c>
      <c r="B4185">
        <v>1</v>
      </c>
    </row>
    <row r="4186" spans="1:2" x14ac:dyDescent="0.35">
      <c r="A4186">
        <v>161</v>
      </c>
      <c r="B4186">
        <v>1</v>
      </c>
    </row>
    <row r="4187" spans="1:2" x14ac:dyDescent="0.35">
      <c r="A4187">
        <v>161</v>
      </c>
      <c r="B4187">
        <v>1</v>
      </c>
    </row>
    <row r="4188" spans="1:2" x14ac:dyDescent="0.35">
      <c r="A4188">
        <v>161</v>
      </c>
      <c r="B4188">
        <v>1</v>
      </c>
    </row>
    <row r="4189" spans="1:2" x14ac:dyDescent="0.35">
      <c r="A4189">
        <v>161</v>
      </c>
      <c r="B4189">
        <v>1</v>
      </c>
    </row>
    <row r="4190" spans="1:2" x14ac:dyDescent="0.35">
      <c r="A4190">
        <v>161</v>
      </c>
      <c r="B4190">
        <v>1</v>
      </c>
    </row>
    <row r="4191" spans="1:2" x14ac:dyDescent="0.35">
      <c r="A4191">
        <v>161</v>
      </c>
      <c r="B4191">
        <v>1</v>
      </c>
    </row>
    <row r="4192" spans="1:2" x14ac:dyDescent="0.35">
      <c r="A4192">
        <v>161</v>
      </c>
      <c r="B4192">
        <v>1</v>
      </c>
    </row>
    <row r="4193" spans="1:2" x14ac:dyDescent="0.35">
      <c r="A4193">
        <v>161</v>
      </c>
      <c r="B4193">
        <v>1</v>
      </c>
    </row>
    <row r="4194" spans="1:2" x14ac:dyDescent="0.35">
      <c r="A4194">
        <v>161</v>
      </c>
      <c r="B4194">
        <v>1</v>
      </c>
    </row>
    <row r="4195" spans="1:2" x14ac:dyDescent="0.35">
      <c r="A4195">
        <v>161</v>
      </c>
      <c r="B4195">
        <v>1</v>
      </c>
    </row>
    <row r="4196" spans="1:2" x14ac:dyDescent="0.35">
      <c r="A4196">
        <v>161</v>
      </c>
      <c r="B4196">
        <v>1</v>
      </c>
    </row>
    <row r="4197" spans="1:2" x14ac:dyDescent="0.35">
      <c r="A4197">
        <v>161</v>
      </c>
      <c r="B4197">
        <v>1</v>
      </c>
    </row>
    <row r="4198" spans="1:2" x14ac:dyDescent="0.35">
      <c r="A4198">
        <v>161</v>
      </c>
      <c r="B4198">
        <v>1</v>
      </c>
    </row>
    <row r="4199" spans="1:2" x14ac:dyDescent="0.35">
      <c r="A4199">
        <v>162</v>
      </c>
      <c r="B4199">
        <v>1</v>
      </c>
    </row>
    <row r="4200" spans="1:2" x14ac:dyDescent="0.35">
      <c r="A4200">
        <v>162</v>
      </c>
      <c r="B4200">
        <v>1</v>
      </c>
    </row>
    <row r="4201" spans="1:2" x14ac:dyDescent="0.35">
      <c r="A4201">
        <v>162</v>
      </c>
      <c r="B4201">
        <v>1</v>
      </c>
    </row>
    <row r="4202" spans="1:2" x14ac:dyDescent="0.35">
      <c r="A4202">
        <v>162</v>
      </c>
      <c r="B4202">
        <v>1</v>
      </c>
    </row>
    <row r="4203" spans="1:2" x14ac:dyDescent="0.35">
      <c r="A4203">
        <v>162</v>
      </c>
      <c r="B4203">
        <v>1</v>
      </c>
    </row>
    <row r="4204" spans="1:2" x14ac:dyDescent="0.35">
      <c r="A4204">
        <v>162</v>
      </c>
      <c r="B4204">
        <v>1</v>
      </c>
    </row>
    <row r="4205" spans="1:2" x14ac:dyDescent="0.35">
      <c r="A4205">
        <v>162</v>
      </c>
      <c r="B4205">
        <v>1</v>
      </c>
    </row>
    <row r="4206" spans="1:2" x14ac:dyDescent="0.35">
      <c r="A4206">
        <v>162</v>
      </c>
      <c r="B4206">
        <v>1</v>
      </c>
    </row>
    <row r="4207" spans="1:2" x14ac:dyDescent="0.35">
      <c r="A4207">
        <v>162</v>
      </c>
      <c r="B4207">
        <v>1</v>
      </c>
    </row>
    <row r="4208" spans="1:2" x14ac:dyDescent="0.35">
      <c r="A4208">
        <v>162</v>
      </c>
      <c r="B4208">
        <v>1</v>
      </c>
    </row>
    <row r="4209" spans="1:2" x14ac:dyDescent="0.35">
      <c r="A4209">
        <v>162</v>
      </c>
      <c r="B4209">
        <v>1</v>
      </c>
    </row>
    <row r="4210" spans="1:2" x14ac:dyDescent="0.35">
      <c r="A4210">
        <v>163</v>
      </c>
      <c r="B4210">
        <v>1</v>
      </c>
    </row>
    <row r="4211" spans="1:2" x14ac:dyDescent="0.35">
      <c r="A4211">
        <v>163</v>
      </c>
      <c r="B4211">
        <v>1</v>
      </c>
    </row>
    <row r="4212" spans="1:2" x14ac:dyDescent="0.35">
      <c r="A4212">
        <v>163</v>
      </c>
      <c r="B4212">
        <v>1</v>
      </c>
    </row>
    <row r="4213" spans="1:2" x14ac:dyDescent="0.35">
      <c r="A4213">
        <v>163</v>
      </c>
      <c r="B4213">
        <v>1</v>
      </c>
    </row>
    <row r="4214" spans="1:2" x14ac:dyDescent="0.35">
      <c r="A4214">
        <v>163</v>
      </c>
      <c r="B4214">
        <v>1</v>
      </c>
    </row>
    <row r="4215" spans="1:2" x14ac:dyDescent="0.35">
      <c r="A4215">
        <v>163</v>
      </c>
      <c r="B4215">
        <v>1</v>
      </c>
    </row>
    <row r="4216" spans="1:2" x14ac:dyDescent="0.35">
      <c r="A4216">
        <v>163</v>
      </c>
      <c r="B4216">
        <v>1</v>
      </c>
    </row>
    <row r="4217" spans="1:2" x14ac:dyDescent="0.35">
      <c r="A4217">
        <v>163</v>
      </c>
      <c r="B4217">
        <v>1</v>
      </c>
    </row>
    <row r="4218" spans="1:2" x14ac:dyDescent="0.35">
      <c r="A4218">
        <v>163</v>
      </c>
      <c r="B4218">
        <v>1</v>
      </c>
    </row>
    <row r="4219" spans="1:2" x14ac:dyDescent="0.35">
      <c r="A4219">
        <v>163</v>
      </c>
      <c r="B4219">
        <v>1</v>
      </c>
    </row>
    <row r="4220" spans="1:2" x14ac:dyDescent="0.35">
      <c r="A4220">
        <v>163</v>
      </c>
      <c r="B4220">
        <v>1</v>
      </c>
    </row>
    <row r="4221" spans="1:2" x14ac:dyDescent="0.35">
      <c r="A4221">
        <v>163</v>
      </c>
      <c r="B4221">
        <v>1</v>
      </c>
    </row>
    <row r="4222" spans="1:2" x14ac:dyDescent="0.35">
      <c r="A4222">
        <v>163</v>
      </c>
      <c r="B4222">
        <v>1</v>
      </c>
    </row>
    <row r="4223" spans="1:2" x14ac:dyDescent="0.35">
      <c r="A4223">
        <v>163</v>
      </c>
      <c r="B4223">
        <v>1</v>
      </c>
    </row>
    <row r="4224" spans="1:2" x14ac:dyDescent="0.35">
      <c r="A4224">
        <v>163</v>
      </c>
      <c r="B4224">
        <v>1</v>
      </c>
    </row>
    <row r="4225" spans="1:2" x14ac:dyDescent="0.35">
      <c r="A4225">
        <v>163</v>
      </c>
      <c r="B4225">
        <v>1</v>
      </c>
    </row>
    <row r="4226" spans="1:2" x14ac:dyDescent="0.35">
      <c r="A4226">
        <v>163</v>
      </c>
      <c r="B4226">
        <v>1</v>
      </c>
    </row>
    <row r="4227" spans="1:2" x14ac:dyDescent="0.35">
      <c r="A4227">
        <v>163</v>
      </c>
      <c r="B4227">
        <v>1</v>
      </c>
    </row>
    <row r="4228" spans="1:2" x14ac:dyDescent="0.35">
      <c r="A4228">
        <v>163</v>
      </c>
      <c r="B4228">
        <v>1</v>
      </c>
    </row>
    <row r="4229" spans="1:2" x14ac:dyDescent="0.35">
      <c r="A4229">
        <v>163</v>
      </c>
      <c r="B4229">
        <v>1</v>
      </c>
    </row>
    <row r="4230" spans="1:2" x14ac:dyDescent="0.35">
      <c r="A4230">
        <v>163</v>
      </c>
      <c r="B4230">
        <v>1</v>
      </c>
    </row>
    <row r="4231" spans="1:2" x14ac:dyDescent="0.35">
      <c r="A4231">
        <v>163</v>
      </c>
      <c r="B4231">
        <v>1</v>
      </c>
    </row>
    <row r="4232" spans="1:2" x14ac:dyDescent="0.35">
      <c r="A4232">
        <v>163</v>
      </c>
      <c r="B4232">
        <v>1</v>
      </c>
    </row>
    <row r="4233" spans="1:2" x14ac:dyDescent="0.35">
      <c r="A4233">
        <v>163</v>
      </c>
      <c r="B4233">
        <v>1</v>
      </c>
    </row>
    <row r="4234" spans="1:2" x14ac:dyDescent="0.35">
      <c r="A4234">
        <v>163</v>
      </c>
      <c r="B4234">
        <v>1</v>
      </c>
    </row>
    <row r="4235" spans="1:2" x14ac:dyDescent="0.35">
      <c r="A4235">
        <v>163</v>
      </c>
      <c r="B4235">
        <v>1</v>
      </c>
    </row>
    <row r="4236" spans="1:2" x14ac:dyDescent="0.35">
      <c r="A4236">
        <v>163</v>
      </c>
      <c r="B4236">
        <v>1</v>
      </c>
    </row>
    <row r="4237" spans="1:2" x14ac:dyDescent="0.35">
      <c r="A4237">
        <v>164</v>
      </c>
      <c r="B4237">
        <v>1</v>
      </c>
    </row>
    <row r="4238" spans="1:2" x14ac:dyDescent="0.35">
      <c r="A4238">
        <v>164</v>
      </c>
      <c r="B4238">
        <v>1</v>
      </c>
    </row>
    <row r="4239" spans="1:2" x14ac:dyDescent="0.35">
      <c r="A4239">
        <v>164</v>
      </c>
      <c r="B4239">
        <v>1</v>
      </c>
    </row>
    <row r="4240" spans="1:2" x14ac:dyDescent="0.35">
      <c r="A4240">
        <v>164</v>
      </c>
      <c r="B4240">
        <v>1</v>
      </c>
    </row>
    <row r="4241" spans="1:2" x14ac:dyDescent="0.35">
      <c r="A4241">
        <v>164</v>
      </c>
      <c r="B4241">
        <v>1</v>
      </c>
    </row>
    <row r="4242" spans="1:2" x14ac:dyDescent="0.35">
      <c r="A4242">
        <v>164</v>
      </c>
      <c r="B4242">
        <v>1</v>
      </c>
    </row>
    <row r="4243" spans="1:2" x14ac:dyDescent="0.35">
      <c r="A4243">
        <v>164</v>
      </c>
      <c r="B4243">
        <v>1</v>
      </c>
    </row>
    <row r="4244" spans="1:2" x14ac:dyDescent="0.35">
      <c r="A4244">
        <v>164</v>
      </c>
      <c r="B4244">
        <v>1</v>
      </c>
    </row>
    <row r="4245" spans="1:2" x14ac:dyDescent="0.35">
      <c r="A4245">
        <v>164</v>
      </c>
      <c r="B4245">
        <v>1</v>
      </c>
    </row>
    <row r="4246" spans="1:2" x14ac:dyDescent="0.35">
      <c r="A4246">
        <v>164</v>
      </c>
      <c r="B4246">
        <v>1</v>
      </c>
    </row>
    <row r="4247" spans="1:2" x14ac:dyDescent="0.35">
      <c r="A4247">
        <v>164</v>
      </c>
      <c r="B4247">
        <v>1</v>
      </c>
    </row>
    <row r="4248" spans="1:2" x14ac:dyDescent="0.35">
      <c r="A4248">
        <v>164</v>
      </c>
      <c r="B4248">
        <v>1</v>
      </c>
    </row>
    <row r="4249" spans="1:2" x14ac:dyDescent="0.35">
      <c r="A4249">
        <v>164</v>
      </c>
      <c r="B4249">
        <v>1</v>
      </c>
    </row>
    <row r="4250" spans="1:2" x14ac:dyDescent="0.35">
      <c r="A4250">
        <v>164</v>
      </c>
      <c r="B4250">
        <v>1</v>
      </c>
    </row>
    <row r="4251" spans="1:2" x14ac:dyDescent="0.35">
      <c r="A4251">
        <v>164</v>
      </c>
      <c r="B4251">
        <v>1</v>
      </c>
    </row>
    <row r="4252" spans="1:2" x14ac:dyDescent="0.35">
      <c r="A4252">
        <v>164</v>
      </c>
      <c r="B4252">
        <v>1</v>
      </c>
    </row>
    <row r="4253" spans="1:2" x14ac:dyDescent="0.35">
      <c r="A4253">
        <v>164</v>
      </c>
      <c r="B4253">
        <v>1</v>
      </c>
    </row>
    <row r="4254" spans="1:2" x14ac:dyDescent="0.35">
      <c r="A4254">
        <v>164</v>
      </c>
      <c r="B4254">
        <v>1</v>
      </c>
    </row>
    <row r="4255" spans="1:2" x14ac:dyDescent="0.35">
      <c r="A4255">
        <v>164</v>
      </c>
      <c r="B4255">
        <v>1</v>
      </c>
    </row>
    <row r="4256" spans="1:2" x14ac:dyDescent="0.35">
      <c r="A4256">
        <v>164</v>
      </c>
      <c r="B4256">
        <v>1</v>
      </c>
    </row>
    <row r="4257" spans="1:2" x14ac:dyDescent="0.35">
      <c r="A4257">
        <v>165</v>
      </c>
      <c r="B4257">
        <v>1</v>
      </c>
    </row>
    <row r="4258" spans="1:2" x14ac:dyDescent="0.35">
      <c r="A4258">
        <v>165</v>
      </c>
      <c r="B4258">
        <v>1</v>
      </c>
    </row>
    <row r="4259" spans="1:2" x14ac:dyDescent="0.35">
      <c r="A4259">
        <v>165</v>
      </c>
      <c r="B4259">
        <v>1</v>
      </c>
    </row>
    <row r="4260" spans="1:2" x14ac:dyDescent="0.35">
      <c r="A4260">
        <v>165</v>
      </c>
      <c r="B4260">
        <v>1</v>
      </c>
    </row>
    <row r="4261" spans="1:2" x14ac:dyDescent="0.35">
      <c r="A4261">
        <v>165</v>
      </c>
      <c r="B4261">
        <v>1</v>
      </c>
    </row>
    <row r="4262" spans="1:2" x14ac:dyDescent="0.35">
      <c r="A4262">
        <v>165</v>
      </c>
      <c r="B4262">
        <v>1</v>
      </c>
    </row>
    <row r="4263" spans="1:2" x14ac:dyDescent="0.35">
      <c r="A4263">
        <v>165</v>
      </c>
      <c r="B4263">
        <v>1</v>
      </c>
    </row>
    <row r="4264" spans="1:2" x14ac:dyDescent="0.35">
      <c r="A4264">
        <v>165</v>
      </c>
      <c r="B4264">
        <v>1</v>
      </c>
    </row>
    <row r="4265" spans="1:2" x14ac:dyDescent="0.35">
      <c r="A4265">
        <v>165</v>
      </c>
      <c r="B4265">
        <v>1</v>
      </c>
    </row>
    <row r="4266" spans="1:2" x14ac:dyDescent="0.35">
      <c r="A4266">
        <v>165</v>
      </c>
      <c r="B4266">
        <v>1</v>
      </c>
    </row>
    <row r="4267" spans="1:2" x14ac:dyDescent="0.35">
      <c r="A4267">
        <v>165</v>
      </c>
      <c r="B4267">
        <v>1</v>
      </c>
    </row>
    <row r="4268" spans="1:2" x14ac:dyDescent="0.35">
      <c r="A4268">
        <v>165</v>
      </c>
      <c r="B4268">
        <v>1</v>
      </c>
    </row>
    <row r="4269" spans="1:2" x14ac:dyDescent="0.35">
      <c r="A4269">
        <v>165</v>
      </c>
      <c r="B4269">
        <v>1</v>
      </c>
    </row>
    <row r="4270" spans="1:2" x14ac:dyDescent="0.35">
      <c r="A4270">
        <v>165</v>
      </c>
      <c r="B4270">
        <v>1</v>
      </c>
    </row>
    <row r="4271" spans="1:2" x14ac:dyDescent="0.35">
      <c r="A4271">
        <v>165</v>
      </c>
      <c r="B4271">
        <v>1</v>
      </c>
    </row>
    <row r="4272" spans="1:2" x14ac:dyDescent="0.35">
      <c r="A4272">
        <v>165</v>
      </c>
      <c r="B4272">
        <v>1</v>
      </c>
    </row>
    <row r="4273" spans="1:2" x14ac:dyDescent="0.35">
      <c r="A4273">
        <v>165</v>
      </c>
      <c r="B4273">
        <v>1</v>
      </c>
    </row>
    <row r="4274" spans="1:2" x14ac:dyDescent="0.35">
      <c r="A4274">
        <v>165</v>
      </c>
      <c r="B4274">
        <v>1</v>
      </c>
    </row>
    <row r="4275" spans="1:2" x14ac:dyDescent="0.35">
      <c r="A4275">
        <v>165</v>
      </c>
      <c r="B4275">
        <v>1</v>
      </c>
    </row>
    <row r="4276" spans="1:2" x14ac:dyDescent="0.35">
      <c r="A4276">
        <v>165</v>
      </c>
      <c r="B4276">
        <v>1</v>
      </c>
    </row>
    <row r="4277" spans="1:2" x14ac:dyDescent="0.35">
      <c r="A4277">
        <v>165</v>
      </c>
      <c r="B4277">
        <v>1</v>
      </c>
    </row>
    <row r="4278" spans="1:2" x14ac:dyDescent="0.35">
      <c r="A4278">
        <v>165</v>
      </c>
      <c r="B4278">
        <v>1</v>
      </c>
    </row>
    <row r="4279" spans="1:2" x14ac:dyDescent="0.35">
      <c r="A4279">
        <v>165</v>
      </c>
      <c r="B4279">
        <v>1</v>
      </c>
    </row>
    <row r="4280" spans="1:2" x14ac:dyDescent="0.35">
      <c r="A4280">
        <v>165</v>
      </c>
      <c r="B4280">
        <v>1</v>
      </c>
    </row>
    <row r="4281" spans="1:2" x14ac:dyDescent="0.35">
      <c r="A4281">
        <v>165</v>
      </c>
      <c r="B4281">
        <v>1</v>
      </c>
    </row>
    <row r="4282" spans="1:2" x14ac:dyDescent="0.35">
      <c r="A4282">
        <v>166</v>
      </c>
      <c r="B4282">
        <v>1</v>
      </c>
    </row>
    <row r="4283" spans="1:2" x14ac:dyDescent="0.35">
      <c r="A4283">
        <v>166</v>
      </c>
      <c r="B4283">
        <v>1</v>
      </c>
    </row>
    <row r="4284" spans="1:2" x14ac:dyDescent="0.35">
      <c r="A4284">
        <v>166</v>
      </c>
      <c r="B4284">
        <v>1</v>
      </c>
    </row>
    <row r="4285" spans="1:2" x14ac:dyDescent="0.35">
      <c r="A4285">
        <v>166</v>
      </c>
      <c r="B4285">
        <v>1</v>
      </c>
    </row>
    <row r="4286" spans="1:2" x14ac:dyDescent="0.35">
      <c r="A4286">
        <v>166</v>
      </c>
      <c r="B4286">
        <v>1</v>
      </c>
    </row>
    <row r="4287" spans="1:2" x14ac:dyDescent="0.35">
      <c r="A4287">
        <v>166</v>
      </c>
      <c r="B4287">
        <v>1</v>
      </c>
    </row>
    <row r="4288" spans="1:2" x14ac:dyDescent="0.35">
      <c r="A4288">
        <v>166</v>
      </c>
      <c r="B4288">
        <v>1</v>
      </c>
    </row>
    <row r="4289" spans="1:2" x14ac:dyDescent="0.35">
      <c r="A4289">
        <v>166</v>
      </c>
      <c r="B4289">
        <v>1</v>
      </c>
    </row>
    <row r="4290" spans="1:2" x14ac:dyDescent="0.35">
      <c r="A4290">
        <v>166</v>
      </c>
      <c r="B4290">
        <v>1</v>
      </c>
    </row>
    <row r="4291" spans="1:2" x14ac:dyDescent="0.35">
      <c r="A4291">
        <v>166</v>
      </c>
      <c r="B4291">
        <v>1</v>
      </c>
    </row>
    <row r="4292" spans="1:2" x14ac:dyDescent="0.35">
      <c r="A4292">
        <v>166</v>
      </c>
      <c r="B4292">
        <v>1</v>
      </c>
    </row>
    <row r="4293" spans="1:2" x14ac:dyDescent="0.35">
      <c r="A4293">
        <v>166</v>
      </c>
      <c r="B4293">
        <v>1</v>
      </c>
    </row>
    <row r="4294" spans="1:2" x14ac:dyDescent="0.35">
      <c r="A4294">
        <v>166</v>
      </c>
      <c r="B4294">
        <v>1</v>
      </c>
    </row>
    <row r="4295" spans="1:2" x14ac:dyDescent="0.35">
      <c r="A4295">
        <v>166</v>
      </c>
      <c r="B4295">
        <v>1</v>
      </c>
    </row>
    <row r="4296" spans="1:2" x14ac:dyDescent="0.35">
      <c r="A4296">
        <v>166</v>
      </c>
      <c r="B4296">
        <v>1</v>
      </c>
    </row>
    <row r="4297" spans="1:2" x14ac:dyDescent="0.35">
      <c r="A4297">
        <v>166</v>
      </c>
      <c r="B4297">
        <v>1</v>
      </c>
    </row>
    <row r="4298" spans="1:2" x14ac:dyDescent="0.35">
      <c r="A4298">
        <v>166</v>
      </c>
      <c r="B4298">
        <v>1</v>
      </c>
    </row>
    <row r="4299" spans="1:2" x14ac:dyDescent="0.35">
      <c r="A4299">
        <v>166</v>
      </c>
      <c r="B4299">
        <v>1</v>
      </c>
    </row>
    <row r="4300" spans="1:2" x14ac:dyDescent="0.35">
      <c r="A4300">
        <v>166</v>
      </c>
      <c r="B4300">
        <v>1</v>
      </c>
    </row>
    <row r="4301" spans="1:2" x14ac:dyDescent="0.35">
      <c r="A4301">
        <v>166</v>
      </c>
      <c r="B4301">
        <v>1</v>
      </c>
    </row>
    <row r="4302" spans="1:2" x14ac:dyDescent="0.35">
      <c r="A4302">
        <v>166</v>
      </c>
      <c r="B4302">
        <v>1</v>
      </c>
    </row>
    <row r="4303" spans="1:2" x14ac:dyDescent="0.35">
      <c r="A4303">
        <v>166</v>
      </c>
      <c r="B4303">
        <v>1</v>
      </c>
    </row>
    <row r="4304" spans="1:2" x14ac:dyDescent="0.35">
      <c r="A4304">
        <v>166</v>
      </c>
      <c r="B4304">
        <v>1</v>
      </c>
    </row>
    <row r="4305" spans="1:2" x14ac:dyDescent="0.35">
      <c r="A4305">
        <v>166</v>
      </c>
      <c r="B4305">
        <v>1</v>
      </c>
    </row>
    <row r="4306" spans="1:2" x14ac:dyDescent="0.35">
      <c r="A4306">
        <v>166</v>
      </c>
      <c r="B4306">
        <v>1</v>
      </c>
    </row>
    <row r="4307" spans="1:2" x14ac:dyDescent="0.35">
      <c r="A4307">
        <v>166</v>
      </c>
      <c r="B4307">
        <v>1</v>
      </c>
    </row>
    <row r="4308" spans="1:2" x14ac:dyDescent="0.35">
      <c r="A4308">
        <v>166</v>
      </c>
      <c r="B4308">
        <v>1</v>
      </c>
    </row>
    <row r="4309" spans="1:2" x14ac:dyDescent="0.35">
      <c r="A4309">
        <v>167</v>
      </c>
      <c r="B4309">
        <v>1</v>
      </c>
    </row>
    <row r="4310" spans="1:2" x14ac:dyDescent="0.35">
      <c r="A4310">
        <v>167</v>
      </c>
      <c r="B4310">
        <v>1</v>
      </c>
    </row>
    <row r="4311" spans="1:2" x14ac:dyDescent="0.35">
      <c r="A4311">
        <v>167</v>
      </c>
      <c r="B4311">
        <v>1</v>
      </c>
    </row>
    <row r="4312" spans="1:2" x14ac:dyDescent="0.35">
      <c r="A4312">
        <v>167</v>
      </c>
      <c r="B4312">
        <v>1</v>
      </c>
    </row>
    <row r="4313" spans="1:2" x14ac:dyDescent="0.35">
      <c r="A4313">
        <v>167</v>
      </c>
      <c r="B4313">
        <v>1</v>
      </c>
    </row>
    <row r="4314" spans="1:2" x14ac:dyDescent="0.35">
      <c r="A4314">
        <v>167</v>
      </c>
      <c r="B4314">
        <v>1</v>
      </c>
    </row>
    <row r="4315" spans="1:2" x14ac:dyDescent="0.35">
      <c r="A4315">
        <v>167</v>
      </c>
      <c r="B4315">
        <v>1</v>
      </c>
    </row>
    <row r="4316" spans="1:2" x14ac:dyDescent="0.35">
      <c r="A4316">
        <v>167</v>
      </c>
      <c r="B4316">
        <v>1</v>
      </c>
    </row>
    <row r="4317" spans="1:2" x14ac:dyDescent="0.35">
      <c r="A4317">
        <v>167</v>
      </c>
      <c r="B4317">
        <v>1</v>
      </c>
    </row>
    <row r="4318" spans="1:2" x14ac:dyDescent="0.35">
      <c r="A4318">
        <v>167</v>
      </c>
      <c r="B4318">
        <v>1</v>
      </c>
    </row>
    <row r="4319" spans="1:2" x14ac:dyDescent="0.35">
      <c r="A4319">
        <v>167</v>
      </c>
      <c r="B4319">
        <v>1</v>
      </c>
    </row>
    <row r="4320" spans="1:2" x14ac:dyDescent="0.35">
      <c r="A4320">
        <v>167</v>
      </c>
      <c r="B4320">
        <v>1</v>
      </c>
    </row>
    <row r="4321" spans="1:2" x14ac:dyDescent="0.35">
      <c r="A4321">
        <v>167</v>
      </c>
      <c r="B4321">
        <v>1</v>
      </c>
    </row>
    <row r="4322" spans="1:2" x14ac:dyDescent="0.35">
      <c r="A4322">
        <v>167</v>
      </c>
      <c r="B4322">
        <v>1</v>
      </c>
    </row>
    <row r="4323" spans="1:2" x14ac:dyDescent="0.35">
      <c r="A4323">
        <v>167</v>
      </c>
      <c r="B4323">
        <v>1</v>
      </c>
    </row>
    <row r="4324" spans="1:2" x14ac:dyDescent="0.35">
      <c r="A4324">
        <v>167</v>
      </c>
      <c r="B4324">
        <v>1</v>
      </c>
    </row>
    <row r="4325" spans="1:2" x14ac:dyDescent="0.35">
      <c r="A4325">
        <v>167</v>
      </c>
      <c r="B4325">
        <v>1</v>
      </c>
    </row>
    <row r="4326" spans="1:2" x14ac:dyDescent="0.35">
      <c r="A4326">
        <v>167</v>
      </c>
      <c r="B4326">
        <v>1</v>
      </c>
    </row>
    <row r="4327" spans="1:2" x14ac:dyDescent="0.35">
      <c r="A4327">
        <v>167</v>
      </c>
      <c r="B4327">
        <v>1</v>
      </c>
    </row>
    <row r="4328" spans="1:2" x14ac:dyDescent="0.35">
      <c r="A4328">
        <v>167</v>
      </c>
      <c r="B4328">
        <v>1</v>
      </c>
    </row>
    <row r="4329" spans="1:2" x14ac:dyDescent="0.35">
      <c r="A4329">
        <v>167</v>
      </c>
      <c r="B4329">
        <v>1</v>
      </c>
    </row>
    <row r="4330" spans="1:2" x14ac:dyDescent="0.35">
      <c r="A4330">
        <v>167</v>
      </c>
      <c r="B4330">
        <v>1</v>
      </c>
    </row>
    <row r="4331" spans="1:2" x14ac:dyDescent="0.35">
      <c r="A4331">
        <v>167</v>
      </c>
      <c r="B4331">
        <v>1</v>
      </c>
    </row>
    <row r="4332" spans="1:2" x14ac:dyDescent="0.35">
      <c r="A4332">
        <v>167</v>
      </c>
      <c r="B4332">
        <v>1</v>
      </c>
    </row>
    <row r="4333" spans="1:2" x14ac:dyDescent="0.35">
      <c r="A4333">
        <v>167</v>
      </c>
      <c r="B4333">
        <v>1</v>
      </c>
    </row>
    <row r="4334" spans="1:2" x14ac:dyDescent="0.35">
      <c r="A4334">
        <v>167</v>
      </c>
      <c r="B4334">
        <v>1</v>
      </c>
    </row>
    <row r="4335" spans="1:2" x14ac:dyDescent="0.35">
      <c r="A4335">
        <v>167</v>
      </c>
      <c r="B4335">
        <v>1</v>
      </c>
    </row>
    <row r="4336" spans="1:2" x14ac:dyDescent="0.35">
      <c r="A4336">
        <v>167</v>
      </c>
      <c r="B4336">
        <v>1</v>
      </c>
    </row>
    <row r="4337" spans="1:2" x14ac:dyDescent="0.35">
      <c r="A4337">
        <v>167</v>
      </c>
      <c r="B4337">
        <v>1</v>
      </c>
    </row>
    <row r="4338" spans="1:2" x14ac:dyDescent="0.35">
      <c r="A4338">
        <v>168</v>
      </c>
      <c r="B4338">
        <v>1</v>
      </c>
    </row>
    <row r="4339" spans="1:2" x14ac:dyDescent="0.35">
      <c r="A4339">
        <v>168</v>
      </c>
      <c r="B4339">
        <v>1</v>
      </c>
    </row>
    <row r="4340" spans="1:2" x14ac:dyDescent="0.35">
      <c r="A4340">
        <v>168</v>
      </c>
      <c r="B4340">
        <v>1</v>
      </c>
    </row>
    <row r="4341" spans="1:2" x14ac:dyDescent="0.35">
      <c r="A4341">
        <v>168</v>
      </c>
      <c r="B4341">
        <v>1</v>
      </c>
    </row>
    <row r="4342" spans="1:2" x14ac:dyDescent="0.35">
      <c r="A4342">
        <v>168</v>
      </c>
      <c r="B4342">
        <v>1</v>
      </c>
    </row>
    <row r="4343" spans="1:2" x14ac:dyDescent="0.35">
      <c r="A4343">
        <v>168</v>
      </c>
      <c r="B4343">
        <v>1</v>
      </c>
    </row>
    <row r="4344" spans="1:2" x14ac:dyDescent="0.35">
      <c r="A4344">
        <v>168</v>
      </c>
      <c r="B4344">
        <v>1</v>
      </c>
    </row>
    <row r="4345" spans="1:2" x14ac:dyDescent="0.35">
      <c r="A4345">
        <v>168</v>
      </c>
      <c r="B4345">
        <v>1</v>
      </c>
    </row>
    <row r="4346" spans="1:2" x14ac:dyDescent="0.35">
      <c r="A4346">
        <v>168</v>
      </c>
      <c r="B4346">
        <v>1</v>
      </c>
    </row>
    <row r="4347" spans="1:2" x14ac:dyDescent="0.35">
      <c r="A4347">
        <v>168</v>
      </c>
      <c r="B4347">
        <v>1</v>
      </c>
    </row>
    <row r="4348" spans="1:2" x14ac:dyDescent="0.35">
      <c r="A4348">
        <v>168</v>
      </c>
      <c r="B4348">
        <v>1</v>
      </c>
    </row>
    <row r="4349" spans="1:2" x14ac:dyDescent="0.35">
      <c r="A4349">
        <v>168</v>
      </c>
      <c r="B4349">
        <v>1</v>
      </c>
    </row>
    <row r="4350" spans="1:2" x14ac:dyDescent="0.35">
      <c r="A4350">
        <v>168</v>
      </c>
      <c r="B4350">
        <v>1</v>
      </c>
    </row>
    <row r="4351" spans="1:2" x14ac:dyDescent="0.35">
      <c r="A4351">
        <v>168</v>
      </c>
      <c r="B4351">
        <v>1</v>
      </c>
    </row>
    <row r="4352" spans="1:2" x14ac:dyDescent="0.35">
      <c r="A4352">
        <v>168</v>
      </c>
      <c r="B4352">
        <v>1</v>
      </c>
    </row>
    <row r="4353" spans="1:2" x14ac:dyDescent="0.35">
      <c r="A4353">
        <v>168</v>
      </c>
      <c r="B4353">
        <v>1</v>
      </c>
    </row>
    <row r="4354" spans="1:2" x14ac:dyDescent="0.35">
      <c r="A4354">
        <v>168</v>
      </c>
      <c r="B4354">
        <v>1</v>
      </c>
    </row>
    <row r="4355" spans="1:2" x14ac:dyDescent="0.35">
      <c r="A4355">
        <v>169</v>
      </c>
      <c r="B4355">
        <v>1</v>
      </c>
    </row>
    <row r="4356" spans="1:2" x14ac:dyDescent="0.35">
      <c r="A4356">
        <v>169</v>
      </c>
      <c r="B4356">
        <v>1</v>
      </c>
    </row>
    <row r="4357" spans="1:2" x14ac:dyDescent="0.35">
      <c r="A4357">
        <v>169</v>
      </c>
      <c r="B4357">
        <v>1</v>
      </c>
    </row>
    <row r="4358" spans="1:2" x14ac:dyDescent="0.35">
      <c r="A4358">
        <v>169</v>
      </c>
      <c r="B4358">
        <v>1</v>
      </c>
    </row>
    <row r="4359" spans="1:2" x14ac:dyDescent="0.35">
      <c r="A4359">
        <v>169</v>
      </c>
      <c r="B4359">
        <v>1</v>
      </c>
    </row>
    <row r="4360" spans="1:2" x14ac:dyDescent="0.35">
      <c r="A4360">
        <v>169</v>
      </c>
      <c r="B4360">
        <v>1</v>
      </c>
    </row>
    <row r="4361" spans="1:2" x14ac:dyDescent="0.35">
      <c r="A4361">
        <v>169</v>
      </c>
      <c r="B4361">
        <v>1</v>
      </c>
    </row>
    <row r="4362" spans="1:2" x14ac:dyDescent="0.35">
      <c r="A4362">
        <v>169</v>
      </c>
      <c r="B4362">
        <v>1</v>
      </c>
    </row>
    <row r="4363" spans="1:2" x14ac:dyDescent="0.35">
      <c r="A4363">
        <v>169</v>
      </c>
      <c r="B4363">
        <v>1</v>
      </c>
    </row>
    <row r="4364" spans="1:2" x14ac:dyDescent="0.35">
      <c r="A4364">
        <v>169</v>
      </c>
      <c r="B4364">
        <v>1</v>
      </c>
    </row>
    <row r="4365" spans="1:2" x14ac:dyDescent="0.35">
      <c r="A4365">
        <v>169</v>
      </c>
      <c r="B4365">
        <v>1</v>
      </c>
    </row>
    <row r="4366" spans="1:2" x14ac:dyDescent="0.35">
      <c r="A4366">
        <v>169</v>
      </c>
      <c r="B4366">
        <v>1</v>
      </c>
    </row>
    <row r="4367" spans="1:2" x14ac:dyDescent="0.35">
      <c r="A4367">
        <v>169</v>
      </c>
      <c r="B4367">
        <v>1</v>
      </c>
    </row>
    <row r="4368" spans="1:2" x14ac:dyDescent="0.35">
      <c r="A4368">
        <v>169</v>
      </c>
      <c r="B4368">
        <v>1</v>
      </c>
    </row>
    <row r="4369" spans="1:2" x14ac:dyDescent="0.35">
      <c r="A4369">
        <v>169</v>
      </c>
      <c r="B4369">
        <v>1</v>
      </c>
    </row>
    <row r="4370" spans="1:2" x14ac:dyDescent="0.35">
      <c r="A4370">
        <v>169</v>
      </c>
      <c r="B4370">
        <v>1</v>
      </c>
    </row>
    <row r="4371" spans="1:2" x14ac:dyDescent="0.35">
      <c r="A4371">
        <v>169</v>
      </c>
      <c r="B4371">
        <v>1</v>
      </c>
    </row>
    <row r="4372" spans="1:2" x14ac:dyDescent="0.35">
      <c r="A4372">
        <v>169</v>
      </c>
      <c r="B4372">
        <v>1</v>
      </c>
    </row>
    <row r="4373" spans="1:2" x14ac:dyDescent="0.35">
      <c r="A4373">
        <v>169</v>
      </c>
      <c r="B4373">
        <v>1</v>
      </c>
    </row>
    <row r="4374" spans="1:2" x14ac:dyDescent="0.35">
      <c r="A4374">
        <v>169</v>
      </c>
      <c r="B4374">
        <v>1</v>
      </c>
    </row>
    <row r="4375" spans="1:2" x14ac:dyDescent="0.35">
      <c r="A4375">
        <v>170</v>
      </c>
      <c r="B4375">
        <v>1</v>
      </c>
    </row>
    <row r="4376" spans="1:2" x14ac:dyDescent="0.35">
      <c r="A4376">
        <v>170</v>
      </c>
      <c r="B4376">
        <v>1</v>
      </c>
    </row>
    <row r="4377" spans="1:2" x14ac:dyDescent="0.35">
      <c r="A4377">
        <v>170</v>
      </c>
      <c r="B4377">
        <v>1</v>
      </c>
    </row>
    <row r="4378" spans="1:2" x14ac:dyDescent="0.35">
      <c r="A4378">
        <v>170</v>
      </c>
      <c r="B4378">
        <v>1</v>
      </c>
    </row>
    <row r="4379" spans="1:2" x14ac:dyDescent="0.35">
      <c r="A4379">
        <v>170</v>
      </c>
      <c r="B4379">
        <v>1</v>
      </c>
    </row>
    <row r="4380" spans="1:2" x14ac:dyDescent="0.35">
      <c r="A4380">
        <v>170</v>
      </c>
      <c r="B4380">
        <v>1</v>
      </c>
    </row>
    <row r="4381" spans="1:2" x14ac:dyDescent="0.35">
      <c r="A4381">
        <v>170</v>
      </c>
      <c r="B4381">
        <v>1</v>
      </c>
    </row>
    <row r="4382" spans="1:2" x14ac:dyDescent="0.35">
      <c r="A4382">
        <v>170</v>
      </c>
      <c r="B4382">
        <v>1</v>
      </c>
    </row>
    <row r="4383" spans="1:2" x14ac:dyDescent="0.35">
      <c r="A4383">
        <v>170</v>
      </c>
      <c r="B4383">
        <v>1</v>
      </c>
    </row>
    <row r="4384" spans="1:2" x14ac:dyDescent="0.35">
      <c r="A4384">
        <v>170</v>
      </c>
      <c r="B4384">
        <v>1</v>
      </c>
    </row>
    <row r="4385" spans="1:2" x14ac:dyDescent="0.35">
      <c r="A4385">
        <v>170</v>
      </c>
      <c r="B4385">
        <v>1</v>
      </c>
    </row>
    <row r="4386" spans="1:2" x14ac:dyDescent="0.35">
      <c r="A4386">
        <v>170</v>
      </c>
      <c r="B4386">
        <v>1</v>
      </c>
    </row>
    <row r="4387" spans="1:2" x14ac:dyDescent="0.35">
      <c r="A4387">
        <v>170</v>
      </c>
      <c r="B4387">
        <v>1</v>
      </c>
    </row>
    <row r="4388" spans="1:2" x14ac:dyDescent="0.35">
      <c r="A4388">
        <v>170</v>
      </c>
      <c r="B4388">
        <v>1</v>
      </c>
    </row>
    <row r="4389" spans="1:2" x14ac:dyDescent="0.35">
      <c r="A4389">
        <v>170</v>
      </c>
      <c r="B4389">
        <v>1</v>
      </c>
    </row>
    <row r="4390" spans="1:2" x14ac:dyDescent="0.35">
      <c r="A4390">
        <v>170</v>
      </c>
      <c r="B4390">
        <v>1</v>
      </c>
    </row>
    <row r="4391" spans="1:2" x14ac:dyDescent="0.35">
      <c r="A4391">
        <v>170</v>
      </c>
      <c r="B4391">
        <v>1</v>
      </c>
    </row>
    <row r="4392" spans="1:2" x14ac:dyDescent="0.35">
      <c r="A4392">
        <v>171</v>
      </c>
      <c r="B4392">
        <v>1</v>
      </c>
    </row>
    <row r="4393" spans="1:2" x14ac:dyDescent="0.35">
      <c r="A4393">
        <v>171</v>
      </c>
      <c r="B4393">
        <v>1</v>
      </c>
    </row>
    <row r="4394" spans="1:2" x14ac:dyDescent="0.35">
      <c r="A4394">
        <v>171</v>
      </c>
      <c r="B4394">
        <v>1</v>
      </c>
    </row>
    <row r="4395" spans="1:2" x14ac:dyDescent="0.35">
      <c r="A4395">
        <v>171</v>
      </c>
      <c r="B4395">
        <v>1</v>
      </c>
    </row>
    <row r="4396" spans="1:2" x14ac:dyDescent="0.35">
      <c r="A4396">
        <v>171</v>
      </c>
      <c r="B4396">
        <v>1</v>
      </c>
    </row>
    <row r="4397" spans="1:2" x14ac:dyDescent="0.35">
      <c r="A4397">
        <v>171</v>
      </c>
      <c r="B4397">
        <v>1</v>
      </c>
    </row>
    <row r="4398" spans="1:2" x14ac:dyDescent="0.35">
      <c r="A4398">
        <v>171</v>
      </c>
      <c r="B4398">
        <v>1</v>
      </c>
    </row>
    <row r="4399" spans="1:2" x14ac:dyDescent="0.35">
      <c r="A4399">
        <v>171</v>
      </c>
      <c r="B4399">
        <v>1</v>
      </c>
    </row>
    <row r="4400" spans="1:2" x14ac:dyDescent="0.35">
      <c r="A4400">
        <v>171</v>
      </c>
      <c r="B4400">
        <v>1</v>
      </c>
    </row>
    <row r="4401" spans="1:2" x14ac:dyDescent="0.35">
      <c r="A4401">
        <v>171</v>
      </c>
      <c r="B4401">
        <v>1</v>
      </c>
    </row>
    <row r="4402" spans="1:2" x14ac:dyDescent="0.35">
      <c r="A4402">
        <v>171</v>
      </c>
      <c r="B4402">
        <v>1</v>
      </c>
    </row>
    <row r="4403" spans="1:2" x14ac:dyDescent="0.35">
      <c r="A4403">
        <v>171</v>
      </c>
      <c r="B4403">
        <v>1</v>
      </c>
    </row>
    <row r="4404" spans="1:2" x14ac:dyDescent="0.35">
      <c r="A4404">
        <v>171</v>
      </c>
      <c r="B4404">
        <v>1</v>
      </c>
    </row>
    <row r="4405" spans="1:2" x14ac:dyDescent="0.35">
      <c r="A4405">
        <v>171</v>
      </c>
      <c r="B4405">
        <v>1</v>
      </c>
    </row>
    <row r="4406" spans="1:2" x14ac:dyDescent="0.35">
      <c r="A4406">
        <v>171</v>
      </c>
      <c r="B4406">
        <v>1</v>
      </c>
    </row>
    <row r="4407" spans="1:2" x14ac:dyDescent="0.35">
      <c r="A4407">
        <v>171</v>
      </c>
      <c r="B4407">
        <v>1</v>
      </c>
    </row>
    <row r="4408" spans="1:2" x14ac:dyDescent="0.35">
      <c r="A4408">
        <v>171</v>
      </c>
      <c r="B4408">
        <v>1</v>
      </c>
    </row>
    <row r="4409" spans="1:2" x14ac:dyDescent="0.35">
      <c r="A4409">
        <v>171</v>
      </c>
      <c r="B4409">
        <v>1</v>
      </c>
    </row>
    <row r="4410" spans="1:2" x14ac:dyDescent="0.35">
      <c r="A4410">
        <v>171</v>
      </c>
      <c r="B4410">
        <v>1</v>
      </c>
    </row>
    <row r="4411" spans="1:2" x14ac:dyDescent="0.35">
      <c r="A4411">
        <v>171</v>
      </c>
      <c r="B4411">
        <v>1</v>
      </c>
    </row>
    <row r="4412" spans="1:2" x14ac:dyDescent="0.35">
      <c r="A4412">
        <v>171</v>
      </c>
      <c r="B4412">
        <v>1</v>
      </c>
    </row>
    <row r="4413" spans="1:2" x14ac:dyDescent="0.35">
      <c r="A4413">
        <v>171</v>
      </c>
      <c r="B4413">
        <v>1</v>
      </c>
    </row>
    <row r="4414" spans="1:2" x14ac:dyDescent="0.35">
      <c r="A4414">
        <v>171</v>
      </c>
      <c r="B4414">
        <v>1</v>
      </c>
    </row>
    <row r="4415" spans="1:2" x14ac:dyDescent="0.35">
      <c r="A4415">
        <v>171</v>
      </c>
      <c r="B4415">
        <v>1</v>
      </c>
    </row>
    <row r="4416" spans="1:2" x14ac:dyDescent="0.35">
      <c r="A4416">
        <v>171</v>
      </c>
      <c r="B4416">
        <v>1</v>
      </c>
    </row>
    <row r="4417" spans="1:2" x14ac:dyDescent="0.35">
      <c r="A4417">
        <v>171</v>
      </c>
      <c r="B4417">
        <v>1</v>
      </c>
    </row>
    <row r="4418" spans="1:2" x14ac:dyDescent="0.35">
      <c r="A4418">
        <v>172</v>
      </c>
      <c r="B4418">
        <v>1</v>
      </c>
    </row>
    <row r="4419" spans="1:2" x14ac:dyDescent="0.35">
      <c r="A4419">
        <v>172</v>
      </c>
      <c r="B4419">
        <v>1</v>
      </c>
    </row>
    <row r="4420" spans="1:2" x14ac:dyDescent="0.35">
      <c r="A4420">
        <v>172</v>
      </c>
      <c r="B4420">
        <v>1</v>
      </c>
    </row>
    <row r="4421" spans="1:2" x14ac:dyDescent="0.35">
      <c r="A4421">
        <v>172</v>
      </c>
      <c r="B4421">
        <v>1</v>
      </c>
    </row>
    <row r="4422" spans="1:2" x14ac:dyDescent="0.35">
      <c r="A4422">
        <v>172</v>
      </c>
      <c r="B4422">
        <v>1</v>
      </c>
    </row>
    <row r="4423" spans="1:2" x14ac:dyDescent="0.35">
      <c r="A4423">
        <v>172</v>
      </c>
      <c r="B4423">
        <v>1</v>
      </c>
    </row>
    <row r="4424" spans="1:2" x14ac:dyDescent="0.35">
      <c r="A4424">
        <v>172</v>
      </c>
      <c r="B4424">
        <v>1</v>
      </c>
    </row>
    <row r="4425" spans="1:2" x14ac:dyDescent="0.35">
      <c r="A4425">
        <v>172</v>
      </c>
      <c r="B4425">
        <v>1</v>
      </c>
    </row>
    <row r="4426" spans="1:2" x14ac:dyDescent="0.35">
      <c r="A4426">
        <v>172</v>
      </c>
      <c r="B4426">
        <v>1</v>
      </c>
    </row>
    <row r="4427" spans="1:2" x14ac:dyDescent="0.35">
      <c r="A4427">
        <v>172</v>
      </c>
      <c r="B4427">
        <v>1</v>
      </c>
    </row>
    <row r="4428" spans="1:2" x14ac:dyDescent="0.35">
      <c r="A4428">
        <v>172</v>
      </c>
      <c r="B4428">
        <v>1</v>
      </c>
    </row>
    <row r="4429" spans="1:2" x14ac:dyDescent="0.35">
      <c r="A4429">
        <v>173</v>
      </c>
      <c r="B4429">
        <v>1</v>
      </c>
    </row>
    <row r="4430" spans="1:2" x14ac:dyDescent="0.35">
      <c r="A4430">
        <v>173</v>
      </c>
      <c r="B4430">
        <v>1</v>
      </c>
    </row>
    <row r="4431" spans="1:2" x14ac:dyDescent="0.35">
      <c r="A4431">
        <v>173</v>
      </c>
      <c r="B4431">
        <v>1</v>
      </c>
    </row>
    <row r="4432" spans="1:2" x14ac:dyDescent="0.35">
      <c r="A4432">
        <v>173</v>
      </c>
      <c r="B4432">
        <v>1</v>
      </c>
    </row>
    <row r="4433" spans="1:2" x14ac:dyDescent="0.35">
      <c r="A4433">
        <v>173</v>
      </c>
      <c r="B4433">
        <v>1</v>
      </c>
    </row>
    <row r="4434" spans="1:2" x14ac:dyDescent="0.35">
      <c r="A4434">
        <v>173</v>
      </c>
      <c r="B4434">
        <v>1</v>
      </c>
    </row>
    <row r="4435" spans="1:2" x14ac:dyDescent="0.35">
      <c r="A4435">
        <v>173</v>
      </c>
      <c r="B4435">
        <v>1</v>
      </c>
    </row>
    <row r="4436" spans="1:2" x14ac:dyDescent="0.35">
      <c r="A4436">
        <v>173</v>
      </c>
      <c r="B4436">
        <v>1</v>
      </c>
    </row>
    <row r="4437" spans="1:2" x14ac:dyDescent="0.35">
      <c r="A4437">
        <v>173</v>
      </c>
      <c r="B4437">
        <v>1</v>
      </c>
    </row>
    <row r="4438" spans="1:2" x14ac:dyDescent="0.35">
      <c r="A4438">
        <v>173</v>
      </c>
      <c r="B4438">
        <v>1</v>
      </c>
    </row>
    <row r="4439" spans="1:2" x14ac:dyDescent="0.35">
      <c r="A4439">
        <v>173</v>
      </c>
      <c r="B4439">
        <v>1</v>
      </c>
    </row>
    <row r="4440" spans="1:2" x14ac:dyDescent="0.35">
      <c r="A4440">
        <v>173</v>
      </c>
      <c r="B4440">
        <v>1</v>
      </c>
    </row>
    <row r="4441" spans="1:2" x14ac:dyDescent="0.35">
      <c r="A4441">
        <v>173</v>
      </c>
      <c r="B4441">
        <v>1</v>
      </c>
    </row>
    <row r="4442" spans="1:2" x14ac:dyDescent="0.35">
      <c r="A4442">
        <v>173</v>
      </c>
      <c r="B4442">
        <v>1</v>
      </c>
    </row>
    <row r="4443" spans="1:2" x14ac:dyDescent="0.35">
      <c r="A4443">
        <v>173</v>
      </c>
      <c r="B4443">
        <v>1</v>
      </c>
    </row>
    <row r="4444" spans="1:2" x14ac:dyDescent="0.35">
      <c r="A4444">
        <v>173</v>
      </c>
      <c r="B4444">
        <v>1</v>
      </c>
    </row>
    <row r="4445" spans="1:2" x14ac:dyDescent="0.35">
      <c r="A4445">
        <v>174</v>
      </c>
      <c r="B4445">
        <v>1</v>
      </c>
    </row>
    <row r="4446" spans="1:2" x14ac:dyDescent="0.35">
      <c r="A4446">
        <v>174</v>
      </c>
      <c r="B4446">
        <v>1</v>
      </c>
    </row>
    <row r="4447" spans="1:2" x14ac:dyDescent="0.35">
      <c r="A4447">
        <v>174</v>
      </c>
      <c r="B4447">
        <v>1</v>
      </c>
    </row>
    <row r="4448" spans="1:2" x14ac:dyDescent="0.35">
      <c r="A4448">
        <v>174</v>
      </c>
      <c r="B4448">
        <v>1</v>
      </c>
    </row>
    <row r="4449" spans="1:2" x14ac:dyDescent="0.35">
      <c r="A4449">
        <v>174</v>
      </c>
      <c r="B4449">
        <v>1</v>
      </c>
    </row>
    <row r="4450" spans="1:2" x14ac:dyDescent="0.35">
      <c r="A4450">
        <v>174</v>
      </c>
      <c r="B4450">
        <v>1</v>
      </c>
    </row>
    <row r="4451" spans="1:2" x14ac:dyDescent="0.35">
      <c r="A4451">
        <v>174</v>
      </c>
      <c r="B4451">
        <v>1</v>
      </c>
    </row>
    <row r="4452" spans="1:2" x14ac:dyDescent="0.35">
      <c r="A4452">
        <v>174</v>
      </c>
      <c r="B4452">
        <v>1</v>
      </c>
    </row>
    <row r="4453" spans="1:2" x14ac:dyDescent="0.35">
      <c r="A4453">
        <v>174</v>
      </c>
      <c r="B4453">
        <v>1</v>
      </c>
    </row>
    <row r="4454" spans="1:2" x14ac:dyDescent="0.35">
      <c r="A4454">
        <v>174</v>
      </c>
      <c r="B4454">
        <v>1</v>
      </c>
    </row>
    <row r="4455" spans="1:2" x14ac:dyDescent="0.35">
      <c r="A4455">
        <v>174</v>
      </c>
      <c r="B4455">
        <v>1</v>
      </c>
    </row>
    <row r="4456" spans="1:2" x14ac:dyDescent="0.35">
      <c r="A4456">
        <v>174</v>
      </c>
      <c r="B4456">
        <v>1</v>
      </c>
    </row>
    <row r="4457" spans="1:2" x14ac:dyDescent="0.35">
      <c r="A4457">
        <v>174</v>
      </c>
      <c r="B4457">
        <v>1</v>
      </c>
    </row>
    <row r="4458" spans="1:2" x14ac:dyDescent="0.35">
      <c r="A4458">
        <v>174</v>
      </c>
      <c r="B4458">
        <v>1</v>
      </c>
    </row>
    <row r="4459" spans="1:2" x14ac:dyDescent="0.35">
      <c r="A4459">
        <v>174</v>
      </c>
      <c r="B4459">
        <v>1</v>
      </c>
    </row>
    <row r="4460" spans="1:2" x14ac:dyDescent="0.35">
      <c r="A4460">
        <v>174</v>
      </c>
      <c r="B4460">
        <v>1</v>
      </c>
    </row>
    <row r="4461" spans="1:2" x14ac:dyDescent="0.35">
      <c r="A4461">
        <v>174</v>
      </c>
      <c r="B4461">
        <v>1</v>
      </c>
    </row>
    <row r="4462" spans="1:2" x14ac:dyDescent="0.35">
      <c r="A4462">
        <v>174</v>
      </c>
      <c r="B4462">
        <v>1</v>
      </c>
    </row>
    <row r="4463" spans="1:2" x14ac:dyDescent="0.35">
      <c r="A4463">
        <v>174</v>
      </c>
      <c r="B4463">
        <v>1</v>
      </c>
    </row>
    <row r="4464" spans="1:2" x14ac:dyDescent="0.35">
      <c r="A4464">
        <v>175</v>
      </c>
      <c r="B4464">
        <v>1</v>
      </c>
    </row>
    <row r="4465" spans="1:2" x14ac:dyDescent="0.35">
      <c r="A4465">
        <v>175</v>
      </c>
      <c r="B4465">
        <v>1</v>
      </c>
    </row>
    <row r="4466" spans="1:2" x14ac:dyDescent="0.35">
      <c r="A4466">
        <v>175</v>
      </c>
      <c r="B4466">
        <v>1</v>
      </c>
    </row>
    <row r="4467" spans="1:2" x14ac:dyDescent="0.35">
      <c r="A4467">
        <v>175</v>
      </c>
      <c r="B4467">
        <v>1</v>
      </c>
    </row>
    <row r="4468" spans="1:2" x14ac:dyDescent="0.35">
      <c r="A4468">
        <v>175</v>
      </c>
      <c r="B4468">
        <v>1</v>
      </c>
    </row>
    <row r="4469" spans="1:2" x14ac:dyDescent="0.35">
      <c r="A4469">
        <v>175</v>
      </c>
      <c r="B4469">
        <v>1</v>
      </c>
    </row>
    <row r="4470" spans="1:2" x14ac:dyDescent="0.35">
      <c r="A4470">
        <v>175</v>
      </c>
      <c r="B4470">
        <v>1</v>
      </c>
    </row>
    <row r="4471" spans="1:2" x14ac:dyDescent="0.35">
      <c r="A4471">
        <v>175</v>
      </c>
      <c r="B4471">
        <v>1</v>
      </c>
    </row>
    <row r="4472" spans="1:2" x14ac:dyDescent="0.35">
      <c r="A4472">
        <v>175</v>
      </c>
      <c r="B4472">
        <v>1</v>
      </c>
    </row>
    <row r="4473" spans="1:2" x14ac:dyDescent="0.35">
      <c r="A4473">
        <v>175</v>
      </c>
      <c r="B4473">
        <v>1</v>
      </c>
    </row>
    <row r="4474" spans="1:2" x14ac:dyDescent="0.35">
      <c r="A4474">
        <v>175</v>
      </c>
      <c r="B4474">
        <v>1</v>
      </c>
    </row>
    <row r="4475" spans="1:2" x14ac:dyDescent="0.35">
      <c r="A4475">
        <v>175</v>
      </c>
      <c r="B4475">
        <v>1</v>
      </c>
    </row>
    <row r="4476" spans="1:2" x14ac:dyDescent="0.35">
      <c r="A4476">
        <v>175</v>
      </c>
      <c r="B4476">
        <v>1</v>
      </c>
    </row>
    <row r="4477" spans="1:2" x14ac:dyDescent="0.35">
      <c r="A4477">
        <v>175</v>
      </c>
      <c r="B4477">
        <v>1</v>
      </c>
    </row>
    <row r="4478" spans="1:2" x14ac:dyDescent="0.35">
      <c r="A4478">
        <v>175</v>
      </c>
      <c r="B4478">
        <v>1</v>
      </c>
    </row>
    <row r="4479" spans="1:2" x14ac:dyDescent="0.35">
      <c r="A4479">
        <v>175</v>
      </c>
      <c r="B4479">
        <v>1</v>
      </c>
    </row>
    <row r="4480" spans="1:2" x14ac:dyDescent="0.35">
      <c r="A4480">
        <v>175</v>
      </c>
      <c r="B4480">
        <v>1</v>
      </c>
    </row>
    <row r="4481" spans="1:2" x14ac:dyDescent="0.35">
      <c r="A4481">
        <v>175</v>
      </c>
      <c r="B4481">
        <v>1</v>
      </c>
    </row>
    <row r="4482" spans="1:2" x14ac:dyDescent="0.35">
      <c r="A4482">
        <v>175</v>
      </c>
      <c r="B4482">
        <v>1</v>
      </c>
    </row>
    <row r="4483" spans="1:2" x14ac:dyDescent="0.35">
      <c r="A4483">
        <v>175</v>
      </c>
      <c r="B4483">
        <v>1</v>
      </c>
    </row>
    <row r="4484" spans="1:2" x14ac:dyDescent="0.35">
      <c r="A4484">
        <v>175</v>
      </c>
      <c r="B4484">
        <v>1</v>
      </c>
    </row>
    <row r="4485" spans="1:2" x14ac:dyDescent="0.35">
      <c r="A4485">
        <v>175</v>
      </c>
      <c r="B4485">
        <v>1</v>
      </c>
    </row>
    <row r="4486" spans="1:2" x14ac:dyDescent="0.35">
      <c r="A4486">
        <v>175</v>
      </c>
      <c r="B4486">
        <v>1</v>
      </c>
    </row>
    <row r="4487" spans="1:2" x14ac:dyDescent="0.35">
      <c r="A4487">
        <v>175</v>
      </c>
      <c r="B4487">
        <v>1</v>
      </c>
    </row>
    <row r="4488" spans="1:2" x14ac:dyDescent="0.35">
      <c r="A4488">
        <v>175</v>
      </c>
      <c r="B4488">
        <v>1</v>
      </c>
    </row>
    <row r="4489" spans="1:2" x14ac:dyDescent="0.35">
      <c r="A4489">
        <v>176</v>
      </c>
      <c r="B4489">
        <v>1</v>
      </c>
    </row>
    <row r="4490" spans="1:2" x14ac:dyDescent="0.35">
      <c r="A4490">
        <v>176</v>
      </c>
      <c r="B4490">
        <v>1</v>
      </c>
    </row>
    <row r="4491" spans="1:2" x14ac:dyDescent="0.35">
      <c r="A4491">
        <v>176</v>
      </c>
      <c r="B4491">
        <v>1</v>
      </c>
    </row>
    <row r="4492" spans="1:2" x14ac:dyDescent="0.35">
      <c r="A4492">
        <v>176</v>
      </c>
      <c r="B4492">
        <v>1</v>
      </c>
    </row>
    <row r="4493" spans="1:2" x14ac:dyDescent="0.35">
      <c r="A4493">
        <v>176</v>
      </c>
      <c r="B4493">
        <v>1</v>
      </c>
    </row>
    <row r="4494" spans="1:2" x14ac:dyDescent="0.35">
      <c r="A4494">
        <v>176</v>
      </c>
      <c r="B4494">
        <v>1</v>
      </c>
    </row>
    <row r="4495" spans="1:2" x14ac:dyDescent="0.35">
      <c r="A4495">
        <v>176</v>
      </c>
      <c r="B4495">
        <v>1</v>
      </c>
    </row>
    <row r="4496" spans="1:2" x14ac:dyDescent="0.35">
      <c r="A4496">
        <v>176</v>
      </c>
      <c r="B4496">
        <v>1</v>
      </c>
    </row>
    <row r="4497" spans="1:2" x14ac:dyDescent="0.35">
      <c r="A4497">
        <v>176</v>
      </c>
      <c r="B4497">
        <v>1</v>
      </c>
    </row>
    <row r="4498" spans="1:2" x14ac:dyDescent="0.35">
      <c r="A4498">
        <v>176</v>
      </c>
      <c r="B4498">
        <v>1</v>
      </c>
    </row>
    <row r="4499" spans="1:2" x14ac:dyDescent="0.35">
      <c r="A4499">
        <v>176</v>
      </c>
      <c r="B4499">
        <v>1</v>
      </c>
    </row>
    <row r="4500" spans="1:2" x14ac:dyDescent="0.35">
      <c r="A4500">
        <v>176</v>
      </c>
      <c r="B4500">
        <v>1</v>
      </c>
    </row>
    <row r="4501" spans="1:2" x14ac:dyDescent="0.35">
      <c r="A4501">
        <v>176</v>
      </c>
      <c r="B4501">
        <v>1</v>
      </c>
    </row>
    <row r="4502" spans="1:2" x14ac:dyDescent="0.35">
      <c r="A4502">
        <v>176</v>
      </c>
      <c r="B4502">
        <v>1</v>
      </c>
    </row>
    <row r="4503" spans="1:2" x14ac:dyDescent="0.35">
      <c r="A4503">
        <v>176</v>
      </c>
      <c r="B4503">
        <v>1</v>
      </c>
    </row>
    <row r="4504" spans="1:2" x14ac:dyDescent="0.35">
      <c r="A4504">
        <v>176</v>
      </c>
      <c r="B4504">
        <v>1</v>
      </c>
    </row>
    <row r="4505" spans="1:2" x14ac:dyDescent="0.35">
      <c r="A4505">
        <v>176</v>
      </c>
      <c r="B4505">
        <v>1</v>
      </c>
    </row>
    <row r="4506" spans="1:2" x14ac:dyDescent="0.35">
      <c r="A4506">
        <v>176</v>
      </c>
      <c r="B4506">
        <v>1</v>
      </c>
    </row>
    <row r="4507" spans="1:2" x14ac:dyDescent="0.35">
      <c r="A4507">
        <v>176</v>
      </c>
      <c r="B4507">
        <v>1</v>
      </c>
    </row>
    <row r="4508" spans="1:2" x14ac:dyDescent="0.35">
      <c r="A4508">
        <v>176</v>
      </c>
      <c r="B4508">
        <v>1</v>
      </c>
    </row>
    <row r="4509" spans="1:2" x14ac:dyDescent="0.35">
      <c r="A4509">
        <v>177</v>
      </c>
      <c r="B4509">
        <v>1</v>
      </c>
    </row>
    <row r="4510" spans="1:2" x14ac:dyDescent="0.35">
      <c r="A4510">
        <v>177</v>
      </c>
      <c r="B4510">
        <v>1</v>
      </c>
    </row>
    <row r="4511" spans="1:2" x14ac:dyDescent="0.35">
      <c r="A4511">
        <v>177</v>
      </c>
      <c r="B4511">
        <v>1</v>
      </c>
    </row>
    <row r="4512" spans="1:2" x14ac:dyDescent="0.35">
      <c r="A4512">
        <v>177</v>
      </c>
      <c r="B4512">
        <v>1</v>
      </c>
    </row>
    <row r="4513" spans="1:2" x14ac:dyDescent="0.35">
      <c r="A4513">
        <v>177</v>
      </c>
      <c r="B4513">
        <v>1</v>
      </c>
    </row>
    <row r="4514" spans="1:2" x14ac:dyDescent="0.35">
      <c r="A4514">
        <v>177</v>
      </c>
      <c r="B4514">
        <v>1</v>
      </c>
    </row>
    <row r="4515" spans="1:2" x14ac:dyDescent="0.35">
      <c r="A4515">
        <v>177</v>
      </c>
      <c r="B4515">
        <v>1</v>
      </c>
    </row>
    <row r="4516" spans="1:2" x14ac:dyDescent="0.35">
      <c r="A4516">
        <v>177</v>
      </c>
      <c r="B4516">
        <v>1</v>
      </c>
    </row>
    <row r="4517" spans="1:2" x14ac:dyDescent="0.35">
      <c r="A4517">
        <v>177</v>
      </c>
      <c r="B4517">
        <v>1</v>
      </c>
    </row>
    <row r="4518" spans="1:2" x14ac:dyDescent="0.35">
      <c r="A4518">
        <v>177</v>
      </c>
      <c r="B4518">
        <v>1</v>
      </c>
    </row>
    <row r="4519" spans="1:2" x14ac:dyDescent="0.35">
      <c r="A4519">
        <v>177</v>
      </c>
      <c r="B4519">
        <v>1</v>
      </c>
    </row>
    <row r="4520" spans="1:2" x14ac:dyDescent="0.35">
      <c r="A4520">
        <v>177</v>
      </c>
      <c r="B4520">
        <v>1</v>
      </c>
    </row>
    <row r="4521" spans="1:2" x14ac:dyDescent="0.35">
      <c r="A4521">
        <v>177</v>
      </c>
      <c r="B4521">
        <v>1</v>
      </c>
    </row>
    <row r="4522" spans="1:2" x14ac:dyDescent="0.35">
      <c r="A4522">
        <v>177</v>
      </c>
      <c r="B4522">
        <v>1</v>
      </c>
    </row>
    <row r="4523" spans="1:2" x14ac:dyDescent="0.35">
      <c r="A4523">
        <v>177</v>
      </c>
      <c r="B4523">
        <v>1</v>
      </c>
    </row>
    <row r="4524" spans="1:2" x14ac:dyDescent="0.35">
      <c r="A4524">
        <v>177</v>
      </c>
      <c r="B4524">
        <v>1</v>
      </c>
    </row>
    <row r="4525" spans="1:2" x14ac:dyDescent="0.35">
      <c r="A4525">
        <v>177</v>
      </c>
      <c r="B4525">
        <v>1</v>
      </c>
    </row>
    <row r="4526" spans="1:2" x14ac:dyDescent="0.35">
      <c r="A4526">
        <v>177</v>
      </c>
      <c r="B4526">
        <v>1</v>
      </c>
    </row>
    <row r="4527" spans="1:2" x14ac:dyDescent="0.35">
      <c r="A4527">
        <v>177</v>
      </c>
      <c r="B4527">
        <v>1</v>
      </c>
    </row>
    <row r="4528" spans="1:2" x14ac:dyDescent="0.35">
      <c r="A4528">
        <v>178</v>
      </c>
      <c r="B4528">
        <v>1</v>
      </c>
    </row>
    <row r="4529" spans="1:2" x14ac:dyDescent="0.35">
      <c r="A4529">
        <v>178</v>
      </c>
      <c r="B4529">
        <v>1</v>
      </c>
    </row>
    <row r="4530" spans="1:2" x14ac:dyDescent="0.35">
      <c r="A4530">
        <v>178</v>
      </c>
      <c r="B4530">
        <v>1</v>
      </c>
    </row>
    <row r="4531" spans="1:2" x14ac:dyDescent="0.35">
      <c r="A4531">
        <v>178</v>
      </c>
      <c r="B4531">
        <v>1</v>
      </c>
    </row>
    <row r="4532" spans="1:2" x14ac:dyDescent="0.35">
      <c r="A4532">
        <v>178</v>
      </c>
      <c r="B4532">
        <v>1</v>
      </c>
    </row>
    <row r="4533" spans="1:2" x14ac:dyDescent="0.35">
      <c r="A4533">
        <v>178</v>
      </c>
      <c r="B4533">
        <v>1</v>
      </c>
    </row>
    <row r="4534" spans="1:2" x14ac:dyDescent="0.35">
      <c r="A4534">
        <v>178</v>
      </c>
      <c r="B4534">
        <v>1</v>
      </c>
    </row>
    <row r="4535" spans="1:2" x14ac:dyDescent="0.35">
      <c r="A4535">
        <v>178</v>
      </c>
      <c r="B4535">
        <v>1</v>
      </c>
    </row>
    <row r="4536" spans="1:2" x14ac:dyDescent="0.35">
      <c r="A4536">
        <v>178</v>
      </c>
      <c r="B4536">
        <v>1</v>
      </c>
    </row>
    <row r="4537" spans="1:2" x14ac:dyDescent="0.35">
      <c r="A4537">
        <v>178</v>
      </c>
      <c r="B4537">
        <v>1</v>
      </c>
    </row>
    <row r="4538" spans="1:2" x14ac:dyDescent="0.35">
      <c r="A4538">
        <v>178</v>
      </c>
      <c r="B4538">
        <v>1</v>
      </c>
    </row>
    <row r="4539" spans="1:2" x14ac:dyDescent="0.35">
      <c r="A4539">
        <v>178</v>
      </c>
      <c r="B4539">
        <v>1</v>
      </c>
    </row>
    <row r="4540" spans="1:2" x14ac:dyDescent="0.35">
      <c r="A4540">
        <v>178</v>
      </c>
      <c r="B4540">
        <v>1</v>
      </c>
    </row>
    <row r="4541" spans="1:2" x14ac:dyDescent="0.35">
      <c r="A4541">
        <v>178</v>
      </c>
      <c r="B4541">
        <v>1</v>
      </c>
    </row>
    <row r="4542" spans="1:2" x14ac:dyDescent="0.35">
      <c r="A4542">
        <v>178</v>
      </c>
      <c r="B4542">
        <v>1</v>
      </c>
    </row>
    <row r="4543" spans="1:2" x14ac:dyDescent="0.35">
      <c r="A4543">
        <v>178</v>
      </c>
      <c r="B4543">
        <v>1</v>
      </c>
    </row>
    <row r="4544" spans="1:2" x14ac:dyDescent="0.35">
      <c r="A4544">
        <v>178</v>
      </c>
      <c r="B4544">
        <v>1</v>
      </c>
    </row>
    <row r="4545" spans="1:2" x14ac:dyDescent="0.35">
      <c r="A4545">
        <v>178</v>
      </c>
      <c r="B4545">
        <v>1</v>
      </c>
    </row>
    <row r="4546" spans="1:2" x14ac:dyDescent="0.35">
      <c r="A4546">
        <v>178</v>
      </c>
      <c r="B4546">
        <v>1</v>
      </c>
    </row>
    <row r="4547" spans="1:2" x14ac:dyDescent="0.35">
      <c r="A4547">
        <v>179</v>
      </c>
      <c r="B4547">
        <v>1</v>
      </c>
    </row>
    <row r="4548" spans="1:2" x14ac:dyDescent="0.35">
      <c r="A4548">
        <v>179</v>
      </c>
      <c r="B4548">
        <v>1</v>
      </c>
    </row>
    <row r="4549" spans="1:2" x14ac:dyDescent="0.35">
      <c r="A4549">
        <v>179</v>
      </c>
      <c r="B4549">
        <v>1</v>
      </c>
    </row>
    <row r="4550" spans="1:2" x14ac:dyDescent="0.35">
      <c r="A4550">
        <v>179</v>
      </c>
      <c r="B4550">
        <v>1</v>
      </c>
    </row>
    <row r="4551" spans="1:2" x14ac:dyDescent="0.35">
      <c r="A4551">
        <v>179</v>
      </c>
      <c r="B4551">
        <v>1</v>
      </c>
    </row>
    <row r="4552" spans="1:2" x14ac:dyDescent="0.35">
      <c r="A4552">
        <v>179</v>
      </c>
      <c r="B4552">
        <v>1</v>
      </c>
    </row>
    <row r="4553" spans="1:2" x14ac:dyDescent="0.35">
      <c r="A4553">
        <v>179</v>
      </c>
      <c r="B4553">
        <v>1</v>
      </c>
    </row>
    <row r="4554" spans="1:2" x14ac:dyDescent="0.35">
      <c r="A4554">
        <v>179</v>
      </c>
      <c r="B4554">
        <v>1</v>
      </c>
    </row>
    <row r="4555" spans="1:2" x14ac:dyDescent="0.35">
      <c r="A4555">
        <v>180</v>
      </c>
      <c r="B4555">
        <v>1</v>
      </c>
    </row>
    <row r="4556" spans="1:2" x14ac:dyDescent="0.35">
      <c r="A4556">
        <v>180</v>
      </c>
      <c r="B4556">
        <v>1</v>
      </c>
    </row>
    <row r="4557" spans="1:2" x14ac:dyDescent="0.35">
      <c r="A4557">
        <v>180</v>
      </c>
      <c r="B4557">
        <v>1</v>
      </c>
    </row>
    <row r="4558" spans="1:2" x14ac:dyDescent="0.35">
      <c r="A4558">
        <v>180</v>
      </c>
      <c r="B4558">
        <v>1</v>
      </c>
    </row>
    <row r="4559" spans="1:2" x14ac:dyDescent="0.35">
      <c r="A4559">
        <v>180</v>
      </c>
      <c r="B4559">
        <v>1</v>
      </c>
    </row>
    <row r="4560" spans="1:2" x14ac:dyDescent="0.35">
      <c r="A4560">
        <v>180</v>
      </c>
      <c r="B4560">
        <v>1</v>
      </c>
    </row>
    <row r="4561" spans="1:2" x14ac:dyDescent="0.35">
      <c r="A4561">
        <v>180</v>
      </c>
      <c r="B4561">
        <v>1</v>
      </c>
    </row>
    <row r="4562" spans="1:2" x14ac:dyDescent="0.35">
      <c r="A4562">
        <v>180</v>
      </c>
      <c r="B4562">
        <v>1</v>
      </c>
    </row>
    <row r="4563" spans="1:2" x14ac:dyDescent="0.35">
      <c r="A4563">
        <v>180</v>
      </c>
      <c r="B4563">
        <v>1</v>
      </c>
    </row>
    <row r="4564" spans="1:2" x14ac:dyDescent="0.35">
      <c r="A4564">
        <v>180</v>
      </c>
      <c r="B4564">
        <v>1</v>
      </c>
    </row>
    <row r="4565" spans="1:2" x14ac:dyDescent="0.35">
      <c r="A4565">
        <v>180</v>
      </c>
      <c r="B4565">
        <v>1</v>
      </c>
    </row>
    <row r="4566" spans="1:2" x14ac:dyDescent="0.35">
      <c r="A4566">
        <v>180</v>
      </c>
      <c r="B4566">
        <v>1</v>
      </c>
    </row>
    <row r="4567" spans="1:2" x14ac:dyDescent="0.35">
      <c r="A4567">
        <v>180</v>
      </c>
      <c r="B4567">
        <v>1</v>
      </c>
    </row>
    <row r="4568" spans="1:2" x14ac:dyDescent="0.35">
      <c r="A4568">
        <v>180</v>
      </c>
      <c r="B4568">
        <v>1</v>
      </c>
    </row>
    <row r="4569" spans="1:2" x14ac:dyDescent="0.35">
      <c r="A4569">
        <v>180</v>
      </c>
      <c r="B4569">
        <v>1</v>
      </c>
    </row>
    <row r="4570" spans="1:2" x14ac:dyDescent="0.35">
      <c r="A4570">
        <v>180</v>
      </c>
      <c r="B4570">
        <v>1</v>
      </c>
    </row>
    <row r="4571" spans="1:2" x14ac:dyDescent="0.35">
      <c r="A4571">
        <v>180</v>
      </c>
      <c r="B4571">
        <v>1</v>
      </c>
    </row>
    <row r="4572" spans="1:2" x14ac:dyDescent="0.35">
      <c r="A4572">
        <v>180</v>
      </c>
      <c r="B4572">
        <v>1</v>
      </c>
    </row>
    <row r="4573" spans="1:2" x14ac:dyDescent="0.35">
      <c r="A4573">
        <v>180</v>
      </c>
      <c r="B4573">
        <v>1</v>
      </c>
    </row>
    <row r="4574" spans="1:2" x14ac:dyDescent="0.35">
      <c r="A4574">
        <v>180</v>
      </c>
      <c r="B4574">
        <v>1</v>
      </c>
    </row>
    <row r="4575" spans="1:2" x14ac:dyDescent="0.35">
      <c r="A4575">
        <v>180</v>
      </c>
      <c r="B4575">
        <v>1</v>
      </c>
    </row>
    <row r="4576" spans="1:2" x14ac:dyDescent="0.35">
      <c r="A4576">
        <v>180</v>
      </c>
      <c r="B4576">
        <v>1</v>
      </c>
    </row>
    <row r="4577" spans="1:2" x14ac:dyDescent="0.35">
      <c r="A4577">
        <v>181</v>
      </c>
      <c r="B4577">
        <v>1</v>
      </c>
    </row>
    <row r="4578" spans="1:2" x14ac:dyDescent="0.35">
      <c r="A4578">
        <v>181</v>
      </c>
      <c r="B4578">
        <v>1</v>
      </c>
    </row>
    <row r="4579" spans="1:2" x14ac:dyDescent="0.35">
      <c r="A4579">
        <v>181</v>
      </c>
      <c r="B4579">
        <v>1</v>
      </c>
    </row>
    <row r="4580" spans="1:2" x14ac:dyDescent="0.35">
      <c r="A4580">
        <v>181</v>
      </c>
      <c r="B4580">
        <v>1</v>
      </c>
    </row>
    <row r="4581" spans="1:2" x14ac:dyDescent="0.35">
      <c r="A4581">
        <v>181</v>
      </c>
      <c r="B4581">
        <v>1</v>
      </c>
    </row>
    <row r="4582" spans="1:2" x14ac:dyDescent="0.35">
      <c r="A4582">
        <v>181</v>
      </c>
      <c r="B4582">
        <v>1</v>
      </c>
    </row>
    <row r="4583" spans="1:2" x14ac:dyDescent="0.35">
      <c r="A4583">
        <v>181</v>
      </c>
      <c r="B4583">
        <v>1</v>
      </c>
    </row>
    <row r="4584" spans="1:2" x14ac:dyDescent="0.35">
      <c r="A4584">
        <v>181</v>
      </c>
      <c r="B4584">
        <v>1</v>
      </c>
    </row>
    <row r="4585" spans="1:2" x14ac:dyDescent="0.35">
      <c r="A4585">
        <v>181</v>
      </c>
      <c r="B4585">
        <v>1</v>
      </c>
    </row>
    <row r="4586" spans="1:2" x14ac:dyDescent="0.35">
      <c r="A4586">
        <v>181</v>
      </c>
      <c r="B4586">
        <v>1</v>
      </c>
    </row>
    <row r="4587" spans="1:2" x14ac:dyDescent="0.35">
      <c r="A4587">
        <v>181</v>
      </c>
      <c r="B4587">
        <v>1</v>
      </c>
    </row>
    <row r="4588" spans="1:2" x14ac:dyDescent="0.35">
      <c r="A4588">
        <v>181</v>
      </c>
      <c r="B4588">
        <v>1</v>
      </c>
    </row>
    <row r="4589" spans="1:2" x14ac:dyDescent="0.35">
      <c r="A4589">
        <v>181</v>
      </c>
      <c r="B4589">
        <v>1</v>
      </c>
    </row>
    <row r="4590" spans="1:2" x14ac:dyDescent="0.35">
      <c r="A4590">
        <v>181</v>
      </c>
      <c r="B4590">
        <v>1</v>
      </c>
    </row>
    <row r="4591" spans="1:2" x14ac:dyDescent="0.35">
      <c r="A4591">
        <v>181</v>
      </c>
      <c r="B4591">
        <v>1</v>
      </c>
    </row>
    <row r="4592" spans="1:2" x14ac:dyDescent="0.35">
      <c r="A4592">
        <v>181</v>
      </c>
      <c r="B4592">
        <v>1</v>
      </c>
    </row>
    <row r="4593" spans="1:2" x14ac:dyDescent="0.35">
      <c r="A4593">
        <v>181</v>
      </c>
      <c r="B4593">
        <v>1</v>
      </c>
    </row>
    <row r="4594" spans="1:2" x14ac:dyDescent="0.35">
      <c r="A4594">
        <v>181</v>
      </c>
      <c r="B4594">
        <v>1</v>
      </c>
    </row>
    <row r="4595" spans="1:2" x14ac:dyDescent="0.35">
      <c r="A4595">
        <v>182</v>
      </c>
      <c r="B4595">
        <v>1</v>
      </c>
    </row>
    <row r="4596" spans="1:2" x14ac:dyDescent="0.35">
      <c r="A4596">
        <v>182</v>
      </c>
      <c r="B4596">
        <v>1</v>
      </c>
    </row>
    <row r="4597" spans="1:2" x14ac:dyDescent="0.35">
      <c r="A4597">
        <v>182</v>
      </c>
      <c r="B4597">
        <v>1</v>
      </c>
    </row>
    <row r="4598" spans="1:2" x14ac:dyDescent="0.35">
      <c r="A4598">
        <v>182</v>
      </c>
      <c r="B4598">
        <v>1</v>
      </c>
    </row>
    <row r="4599" spans="1:2" x14ac:dyDescent="0.35">
      <c r="A4599">
        <v>182</v>
      </c>
      <c r="B4599">
        <v>1</v>
      </c>
    </row>
    <row r="4600" spans="1:2" x14ac:dyDescent="0.35">
      <c r="A4600">
        <v>182</v>
      </c>
      <c r="B4600">
        <v>1</v>
      </c>
    </row>
    <row r="4601" spans="1:2" x14ac:dyDescent="0.35">
      <c r="A4601">
        <v>182</v>
      </c>
      <c r="B4601">
        <v>1</v>
      </c>
    </row>
    <row r="4602" spans="1:2" x14ac:dyDescent="0.35">
      <c r="A4602">
        <v>182</v>
      </c>
      <c r="B4602">
        <v>1</v>
      </c>
    </row>
    <row r="4603" spans="1:2" x14ac:dyDescent="0.35">
      <c r="A4603">
        <v>182</v>
      </c>
      <c r="B4603">
        <v>1</v>
      </c>
    </row>
    <row r="4604" spans="1:2" x14ac:dyDescent="0.35">
      <c r="A4604">
        <v>182</v>
      </c>
      <c r="B4604">
        <v>1</v>
      </c>
    </row>
    <row r="4605" spans="1:2" x14ac:dyDescent="0.35">
      <c r="A4605">
        <v>182</v>
      </c>
      <c r="B4605">
        <v>1</v>
      </c>
    </row>
    <row r="4606" spans="1:2" x14ac:dyDescent="0.35">
      <c r="A4606">
        <v>182</v>
      </c>
      <c r="B4606">
        <v>1</v>
      </c>
    </row>
    <row r="4607" spans="1:2" x14ac:dyDescent="0.35">
      <c r="A4607">
        <v>182</v>
      </c>
      <c r="B4607">
        <v>1</v>
      </c>
    </row>
    <row r="4608" spans="1:2" x14ac:dyDescent="0.35">
      <c r="A4608">
        <v>182</v>
      </c>
      <c r="B4608">
        <v>1</v>
      </c>
    </row>
    <row r="4609" spans="1:2" x14ac:dyDescent="0.35">
      <c r="A4609">
        <v>182</v>
      </c>
      <c r="B4609">
        <v>1</v>
      </c>
    </row>
    <row r="4610" spans="1:2" x14ac:dyDescent="0.35">
      <c r="A4610">
        <v>182</v>
      </c>
      <c r="B4610">
        <v>1</v>
      </c>
    </row>
    <row r="4611" spans="1:2" x14ac:dyDescent="0.35">
      <c r="A4611">
        <v>182</v>
      </c>
      <c r="B4611">
        <v>1</v>
      </c>
    </row>
    <row r="4612" spans="1:2" x14ac:dyDescent="0.35">
      <c r="A4612">
        <v>182</v>
      </c>
      <c r="B4612">
        <v>1</v>
      </c>
    </row>
    <row r="4613" spans="1:2" x14ac:dyDescent="0.35">
      <c r="A4613">
        <v>182</v>
      </c>
      <c r="B4613">
        <v>1</v>
      </c>
    </row>
    <row r="4614" spans="1:2" x14ac:dyDescent="0.35">
      <c r="A4614">
        <v>183</v>
      </c>
      <c r="B4614">
        <v>1</v>
      </c>
    </row>
    <row r="4615" spans="1:2" x14ac:dyDescent="0.35">
      <c r="A4615">
        <v>183</v>
      </c>
      <c r="B4615">
        <v>1</v>
      </c>
    </row>
    <row r="4616" spans="1:2" x14ac:dyDescent="0.35">
      <c r="A4616">
        <v>183</v>
      </c>
      <c r="B4616">
        <v>1</v>
      </c>
    </row>
    <row r="4617" spans="1:2" x14ac:dyDescent="0.35">
      <c r="A4617">
        <v>183</v>
      </c>
      <c r="B4617">
        <v>1</v>
      </c>
    </row>
    <row r="4618" spans="1:2" x14ac:dyDescent="0.35">
      <c r="A4618">
        <v>183</v>
      </c>
      <c r="B4618">
        <v>1</v>
      </c>
    </row>
    <row r="4619" spans="1:2" x14ac:dyDescent="0.35">
      <c r="A4619">
        <v>183</v>
      </c>
      <c r="B4619">
        <v>1</v>
      </c>
    </row>
    <row r="4620" spans="1:2" x14ac:dyDescent="0.35">
      <c r="A4620">
        <v>183</v>
      </c>
      <c r="B4620">
        <v>1</v>
      </c>
    </row>
    <row r="4621" spans="1:2" x14ac:dyDescent="0.35">
      <c r="A4621">
        <v>183</v>
      </c>
      <c r="B4621">
        <v>1</v>
      </c>
    </row>
    <row r="4622" spans="1:2" x14ac:dyDescent="0.35">
      <c r="A4622">
        <v>183</v>
      </c>
      <c r="B4622">
        <v>1</v>
      </c>
    </row>
    <row r="4623" spans="1:2" x14ac:dyDescent="0.35">
      <c r="A4623">
        <v>183</v>
      </c>
      <c r="B4623">
        <v>1</v>
      </c>
    </row>
    <row r="4624" spans="1:2" x14ac:dyDescent="0.35">
      <c r="A4624">
        <v>183</v>
      </c>
      <c r="B4624">
        <v>1</v>
      </c>
    </row>
    <row r="4625" spans="1:2" x14ac:dyDescent="0.35">
      <c r="A4625">
        <v>183</v>
      </c>
      <c r="B4625">
        <v>1</v>
      </c>
    </row>
    <row r="4626" spans="1:2" x14ac:dyDescent="0.35">
      <c r="A4626">
        <v>183</v>
      </c>
      <c r="B4626">
        <v>1</v>
      </c>
    </row>
    <row r="4627" spans="1:2" x14ac:dyDescent="0.35">
      <c r="A4627">
        <v>183</v>
      </c>
      <c r="B4627">
        <v>1</v>
      </c>
    </row>
    <row r="4628" spans="1:2" x14ac:dyDescent="0.35">
      <c r="A4628">
        <v>183</v>
      </c>
      <c r="B4628">
        <v>1</v>
      </c>
    </row>
    <row r="4629" spans="1:2" x14ac:dyDescent="0.35">
      <c r="A4629">
        <v>183</v>
      </c>
      <c r="B4629">
        <v>1</v>
      </c>
    </row>
    <row r="4630" spans="1:2" x14ac:dyDescent="0.35">
      <c r="A4630">
        <v>183</v>
      </c>
      <c r="B4630">
        <v>1</v>
      </c>
    </row>
    <row r="4631" spans="1:2" x14ac:dyDescent="0.35">
      <c r="A4631">
        <v>183</v>
      </c>
      <c r="B4631">
        <v>1</v>
      </c>
    </row>
    <row r="4632" spans="1:2" x14ac:dyDescent="0.35">
      <c r="A4632">
        <v>183</v>
      </c>
      <c r="B4632">
        <v>1</v>
      </c>
    </row>
    <row r="4633" spans="1:2" x14ac:dyDescent="0.35">
      <c r="A4633">
        <v>184</v>
      </c>
      <c r="B4633">
        <v>1</v>
      </c>
    </row>
    <row r="4634" spans="1:2" x14ac:dyDescent="0.35">
      <c r="A4634">
        <v>184</v>
      </c>
      <c r="B4634">
        <v>1</v>
      </c>
    </row>
    <row r="4635" spans="1:2" x14ac:dyDescent="0.35">
      <c r="A4635">
        <v>184</v>
      </c>
      <c r="B4635">
        <v>1</v>
      </c>
    </row>
    <row r="4636" spans="1:2" x14ac:dyDescent="0.35">
      <c r="A4636">
        <v>184</v>
      </c>
      <c r="B4636">
        <v>1</v>
      </c>
    </row>
    <row r="4637" spans="1:2" x14ac:dyDescent="0.35">
      <c r="A4637">
        <v>184</v>
      </c>
      <c r="B4637">
        <v>1</v>
      </c>
    </row>
    <row r="4638" spans="1:2" x14ac:dyDescent="0.35">
      <c r="A4638">
        <v>184</v>
      </c>
      <c r="B4638">
        <v>1</v>
      </c>
    </row>
    <row r="4639" spans="1:2" x14ac:dyDescent="0.35">
      <c r="A4639">
        <v>184</v>
      </c>
      <c r="B4639">
        <v>1</v>
      </c>
    </row>
    <row r="4640" spans="1:2" x14ac:dyDescent="0.35">
      <c r="A4640">
        <v>184</v>
      </c>
      <c r="B4640">
        <v>1</v>
      </c>
    </row>
    <row r="4641" spans="1:2" x14ac:dyDescent="0.35">
      <c r="A4641">
        <v>184</v>
      </c>
      <c r="B4641">
        <v>1</v>
      </c>
    </row>
    <row r="4642" spans="1:2" x14ac:dyDescent="0.35">
      <c r="A4642">
        <v>184</v>
      </c>
      <c r="B4642">
        <v>1</v>
      </c>
    </row>
    <row r="4643" spans="1:2" x14ac:dyDescent="0.35">
      <c r="A4643">
        <v>184</v>
      </c>
      <c r="B4643">
        <v>1</v>
      </c>
    </row>
    <row r="4644" spans="1:2" x14ac:dyDescent="0.35">
      <c r="A4644">
        <v>184</v>
      </c>
      <c r="B4644">
        <v>1</v>
      </c>
    </row>
    <row r="4645" spans="1:2" x14ac:dyDescent="0.35">
      <c r="A4645">
        <v>184</v>
      </c>
      <c r="B4645">
        <v>1</v>
      </c>
    </row>
    <row r="4646" spans="1:2" x14ac:dyDescent="0.35">
      <c r="A4646">
        <v>184</v>
      </c>
      <c r="B4646">
        <v>1</v>
      </c>
    </row>
    <row r="4647" spans="1:2" x14ac:dyDescent="0.35">
      <c r="A4647">
        <v>184</v>
      </c>
      <c r="B4647">
        <v>1</v>
      </c>
    </row>
    <row r="4648" spans="1:2" x14ac:dyDescent="0.35">
      <c r="A4648">
        <v>184</v>
      </c>
      <c r="B4648">
        <v>1</v>
      </c>
    </row>
    <row r="4649" spans="1:2" x14ac:dyDescent="0.35">
      <c r="A4649">
        <v>184</v>
      </c>
      <c r="B4649">
        <v>1</v>
      </c>
    </row>
    <row r="4650" spans="1:2" x14ac:dyDescent="0.35">
      <c r="A4650">
        <v>184</v>
      </c>
      <c r="B4650">
        <v>1</v>
      </c>
    </row>
    <row r="4651" spans="1:2" x14ac:dyDescent="0.35">
      <c r="A4651">
        <v>184</v>
      </c>
      <c r="B4651">
        <v>1</v>
      </c>
    </row>
    <row r="4652" spans="1:2" x14ac:dyDescent="0.35">
      <c r="A4652">
        <v>184</v>
      </c>
      <c r="B4652">
        <v>1</v>
      </c>
    </row>
    <row r="4653" spans="1:2" x14ac:dyDescent="0.35">
      <c r="A4653">
        <v>185</v>
      </c>
      <c r="B4653">
        <v>1</v>
      </c>
    </row>
    <row r="4654" spans="1:2" x14ac:dyDescent="0.35">
      <c r="A4654">
        <v>185</v>
      </c>
      <c r="B4654">
        <v>1</v>
      </c>
    </row>
    <row r="4655" spans="1:2" x14ac:dyDescent="0.35">
      <c r="A4655">
        <v>185</v>
      </c>
      <c r="B4655">
        <v>1</v>
      </c>
    </row>
    <row r="4656" spans="1:2" x14ac:dyDescent="0.35">
      <c r="A4656">
        <v>185</v>
      </c>
      <c r="B4656">
        <v>1</v>
      </c>
    </row>
    <row r="4657" spans="1:2" x14ac:dyDescent="0.35">
      <c r="A4657">
        <v>185</v>
      </c>
      <c r="B4657">
        <v>1</v>
      </c>
    </row>
    <row r="4658" spans="1:2" x14ac:dyDescent="0.35">
      <c r="A4658">
        <v>185</v>
      </c>
      <c r="B4658">
        <v>1</v>
      </c>
    </row>
    <row r="4659" spans="1:2" x14ac:dyDescent="0.35">
      <c r="A4659">
        <v>185</v>
      </c>
      <c r="B4659">
        <v>1</v>
      </c>
    </row>
    <row r="4660" spans="1:2" x14ac:dyDescent="0.35">
      <c r="A4660">
        <v>185</v>
      </c>
      <c r="B4660">
        <v>1</v>
      </c>
    </row>
    <row r="4661" spans="1:2" x14ac:dyDescent="0.35">
      <c r="A4661">
        <v>185</v>
      </c>
      <c r="B4661">
        <v>1</v>
      </c>
    </row>
    <row r="4662" spans="1:2" x14ac:dyDescent="0.35">
      <c r="A4662">
        <v>185</v>
      </c>
      <c r="B4662">
        <v>1</v>
      </c>
    </row>
    <row r="4663" spans="1:2" x14ac:dyDescent="0.35">
      <c r="A4663">
        <v>185</v>
      </c>
      <c r="B4663">
        <v>1</v>
      </c>
    </row>
    <row r="4664" spans="1:2" x14ac:dyDescent="0.35">
      <c r="A4664">
        <v>186</v>
      </c>
      <c r="B4664">
        <v>1</v>
      </c>
    </row>
    <row r="4665" spans="1:2" x14ac:dyDescent="0.35">
      <c r="A4665">
        <v>186</v>
      </c>
      <c r="B4665">
        <v>1</v>
      </c>
    </row>
    <row r="4666" spans="1:2" x14ac:dyDescent="0.35">
      <c r="A4666">
        <v>186</v>
      </c>
      <c r="B4666">
        <v>1</v>
      </c>
    </row>
    <row r="4667" spans="1:2" x14ac:dyDescent="0.35">
      <c r="A4667">
        <v>186</v>
      </c>
      <c r="B4667">
        <v>1</v>
      </c>
    </row>
    <row r="4668" spans="1:2" x14ac:dyDescent="0.35">
      <c r="A4668">
        <v>186</v>
      </c>
      <c r="B4668">
        <v>1</v>
      </c>
    </row>
    <row r="4669" spans="1:2" x14ac:dyDescent="0.35">
      <c r="A4669">
        <v>186</v>
      </c>
      <c r="B4669">
        <v>1</v>
      </c>
    </row>
    <row r="4670" spans="1:2" x14ac:dyDescent="0.35">
      <c r="A4670">
        <v>186</v>
      </c>
      <c r="B4670">
        <v>1</v>
      </c>
    </row>
    <row r="4671" spans="1:2" x14ac:dyDescent="0.35">
      <c r="A4671">
        <v>186</v>
      </c>
      <c r="B4671">
        <v>1</v>
      </c>
    </row>
    <row r="4672" spans="1:2" x14ac:dyDescent="0.35">
      <c r="A4672">
        <v>186</v>
      </c>
      <c r="B4672">
        <v>1</v>
      </c>
    </row>
    <row r="4673" spans="1:2" x14ac:dyDescent="0.35">
      <c r="A4673">
        <v>186</v>
      </c>
      <c r="B4673">
        <v>1</v>
      </c>
    </row>
    <row r="4674" spans="1:2" x14ac:dyDescent="0.35">
      <c r="A4674">
        <v>186</v>
      </c>
      <c r="B4674">
        <v>1</v>
      </c>
    </row>
    <row r="4675" spans="1:2" x14ac:dyDescent="0.35">
      <c r="A4675">
        <v>186</v>
      </c>
      <c r="B4675">
        <v>1</v>
      </c>
    </row>
    <row r="4676" spans="1:2" x14ac:dyDescent="0.35">
      <c r="A4676">
        <v>186</v>
      </c>
      <c r="B4676">
        <v>1</v>
      </c>
    </row>
    <row r="4677" spans="1:2" x14ac:dyDescent="0.35">
      <c r="A4677">
        <v>186</v>
      </c>
      <c r="B4677">
        <v>1</v>
      </c>
    </row>
    <row r="4678" spans="1:2" x14ac:dyDescent="0.35">
      <c r="A4678">
        <v>186</v>
      </c>
      <c r="B4678">
        <v>1</v>
      </c>
    </row>
    <row r="4679" spans="1:2" x14ac:dyDescent="0.35">
      <c r="A4679">
        <v>186</v>
      </c>
      <c r="B4679">
        <v>1</v>
      </c>
    </row>
    <row r="4680" spans="1:2" x14ac:dyDescent="0.35">
      <c r="A4680">
        <v>186</v>
      </c>
      <c r="B4680">
        <v>1</v>
      </c>
    </row>
    <row r="4681" spans="1:2" x14ac:dyDescent="0.35">
      <c r="A4681">
        <v>186</v>
      </c>
      <c r="B4681">
        <v>1</v>
      </c>
    </row>
    <row r="4682" spans="1:2" x14ac:dyDescent="0.35">
      <c r="A4682">
        <v>186</v>
      </c>
      <c r="B4682">
        <v>1</v>
      </c>
    </row>
    <row r="4683" spans="1:2" x14ac:dyDescent="0.35">
      <c r="A4683">
        <v>186</v>
      </c>
      <c r="B4683">
        <v>1</v>
      </c>
    </row>
    <row r="4684" spans="1:2" x14ac:dyDescent="0.35">
      <c r="A4684">
        <v>186</v>
      </c>
      <c r="B4684">
        <v>1</v>
      </c>
    </row>
    <row r="4685" spans="1:2" x14ac:dyDescent="0.35">
      <c r="A4685">
        <v>187</v>
      </c>
      <c r="B4685">
        <v>1</v>
      </c>
    </row>
    <row r="4686" spans="1:2" x14ac:dyDescent="0.35">
      <c r="A4686">
        <v>187</v>
      </c>
      <c r="B4686">
        <v>1</v>
      </c>
    </row>
    <row r="4687" spans="1:2" x14ac:dyDescent="0.35">
      <c r="A4687">
        <v>187</v>
      </c>
      <c r="B4687">
        <v>1</v>
      </c>
    </row>
    <row r="4688" spans="1:2" x14ac:dyDescent="0.35">
      <c r="A4688">
        <v>187</v>
      </c>
      <c r="B4688">
        <v>1</v>
      </c>
    </row>
    <row r="4689" spans="1:2" x14ac:dyDescent="0.35">
      <c r="A4689">
        <v>187</v>
      </c>
      <c r="B4689">
        <v>1</v>
      </c>
    </row>
    <row r="4690" spans="1:2" x14ac:dyDescent="0.35">
      <c r="A4690">
        <v>187</v>
      </c>
      <c r="B4690">
        <v>1</v>
      </c>
    </row>
    <row r="4691" spans="1:2" x14ac:dyDescent="0.35">
      <c r="A4691">
        <v>187</v>
      </c>
      <c r="B4691">
        <v>1</v>
      </c>
    </row>
    <row r="4692" spans="1:2" x14ac:dyDescent="0.35">
      <c r="A4692">
        <v>187</v>
      </c>
      <c r="B4692">
        <v>1</v>
      </c>
    </row>
    <row r="4693" spans="1:2" x14ac:dyDescent="0.35">
      <c r="A4693">
        <v>187</v>
      </c>
      <c r="B4693">
        <v>1</v>
      </c>
    </row>
    <row r="4694" spans="1:2" x14ac:dyDescent="0.35">
      <c r="A4694">
        <v>187</v>
      </c>
      <c r="B4694">
        <v>1</v>
      </c>
    </row>
    <row r="4695" spans="1:2" x14ac:dyDescent="0.35">
      <c r="A4695">
        <v>187</v>
      </c>
      <c r="B4695">
        <v>1</v>
      </c>
    </row>
    <row r="4696" spans="1:2" x14ac:dyDescent="0.35">
      <c r="A4696">
        <v>187</v>
      </c>
      <c r="B4696">
        <v>1</v>
      </c>
    </row>
    <row r="4697" spans="1:2" x14ac:dyDescent="0.35">
      <c r="A4697">
        <v>187</v>
      </c>
      <c r="B4697">
        <v>1</v>
      </c>
    </row>
    <row r="4698" spans="1:2" x14ac:dyDescent="0.35">
      <c r="A4698">
        <v>187</v>
      </c>
      <c r="B4698">
        <v>1</v>
      </c>
    </row>
    <row r="4699" spans="1:2" x14ac:dyDescent="0.35">
      <c r="A4699">
        <v>187</v>
      </c>
      <c r="B4699">
        <v>1</v>
      </c>
    </row>
    <row r="4700" spans="1:2" x14ac:dyDescent="0.35">
      <c r="A4700">
        <v>187</v>
      </c>
      <c r="B4700">
        <v>1</v>
      </c>
    </row>
    <row r="4701" spans="1:2" x14ac:dyDescent="0.35">
      <c r="A4701">
        <v>187</v>
      </c>
      <c r="B4701">
        <v>1</v>
      </c>
    </row>
    <row r="4702" spans="1:2" x14ac:dyDescent="0.35">
      <c r="A4702">
        <v>187</v>
      </c>
      <c r="B4702">
        <v>1</v>
      </c>
    </row>
    <row r="4703" spans="1:2" x14ac:dyDescent="0.35">
      <c r="A4703">
        <v>187</v>
      </c>
      <c r="B4703">
        <v>1</v>
      </c>
    </row>
    <row r="4704" spans="1:2" x14ac:dyDescent="0.35">
      <c r="A4704">
        <v>188</v>
      </c>
      <c r="B4704">
        <v>1</v>
      </c>
    </row>
    <row r="4705" spans="1:2" x14ac:dyDescent="0.35">
      <c r="A4705">
        <v>188</v>
      </c>
      <c r="B4705">
        <v>1</v>
      </c>
    </row>
    <row r="4706" spans="1:2" x14ac:dyDescent="0.35">
      <c r="A4706">
        <v>188</v>
      </c>
      <c r="B4706">
        <v>1</v>
      </c>
    </row>
    <row r="4707" spans="1:2" x14ac:dyDescent="0.35">
      <c r="A4707">
        <v>188</v>
      </c>
      <c r="B4707">
        <v>1</v>
      </c>
    </row>
    <row r="4708" spans="1:2" x14ac:dyDescent="0.35">
      <c r="A4708">
        <v>188</v>
      </c>
      <c r="B4708">
        <v>1</v>
      </c>
    </row>
    <row r="4709" spans="1:2" x14ac:dyDescent="0.35">
      <c r="A4709">
        <v>188</v>
      </c>
      <c r="B4709">
        <v>1</v>
      </c>
    </row>
    <row r="4710" spans="1:2" x14ac:dyDescent="0.35">
      <c r="A4710">
        <v>188</v>
      </c>
      <c r="B4710">
        <v>1</v>
      </c>
    </row>
    <row r="4711" spans="1:2" x14ac:dyDescent="0.35">
      <c r="A4711">
        <v>188</v>
      </c>
      <c r="B4711">
        <v>1</v>
      </c>
    </row>
    <row r="4712" spans="1:2" x14ac:dyDescent="0.35">
      <c r="A4712">
        <v>188</v>
      </c>
      <c r="B4712">
        <v>1</v>
      </c>
    </row>
    <row r="4713" spans="1:2" x14ac:dyDescent="0.35">
      <c r="A4713">
        <v>188</v>
      </c>
      <c r="B4713">
        <v>1</v>
      </c>
    </row>
    <row r="4714" spans="1:2" x14ac:dyDescent="0.35">
      <c r="A4714">
        <v>188</v>
      </c>
      <c r="B4714">
        <v>1</v>
      </c>
    </row>
    <row r="4715" spans="1:2" x14ac:dyDescent="0.35">
      <c r="A4715">
        <v>188</v>
      </c>
      <c r="B4715">
        <v>1</v>
      </c>
    </row>
    <row r="4716" spans="1:2" x14ac:dyDescent="0.35">
      <c r="A4716">
        <v>188</v>
      </c>
      <c r="B4716">
        <v>1</v>
      </c>
    </row>
    <row r="4717" spans="1:2" x14ac:dyDescent="0.35">
      <c r="A4717">
        <v>188</v>
      </c>
      <c r="B4717">
        <v>1</v>
      </c>
    </row>
    <row r="4718" spans="1:2" x14ac:dyDescent="0.35">
      <c r="A4718">
        <v>188</v>
      </c>
      <c r="B4718">
        <v>1</v>
      </c>
    </row>
    <row r="4719" spans="1:2" x14ac:dyDescent="0.35">
      <c r="A4719">
        <v>189</v>
      </c>
      <c r="B4719">
        <v>1</v>
      </c>
    </row>
    <row r="4720" spans="1:2" x14ac:dyDescent="0.35">
      <c r="A4720">
        <v>189</v>
      </c>
      <c r="B4720">
        <v>1</v>
      </c>
    </row>
    <row r="4721" spans="1:2" x14ac:dyDescent="0.35">
      <c r="A4721">
        <v>189</v>
      </c>
      <c r="B4721">
        <v>1</v>
      </c>
    </row>
    <row r="4722" spans="1:2" x14ac:dyDescent="0.35">
      <c r="A4722">
        <v>189</v>
      </c>
      <c r="B4722">
        <v>1</v>
      </c>
    </row>
    <row r="4723" spans="1:2" x14ac:dyDescent="0.35">
      <c r="A4723">
        <v>189</v>
      </c>
      <c r="B4723">
        <v>1</v>
      </c>
    </row>
    <row r="4724" spans="1:2" x14ac:dyDescent="0.35">
      <c r="A4724">
        <v>189</v>
      </c>
      <c r="B4724">
        <v>1</v>
      </c>
    </row>
    <row r="4725" spans="1:2" x14ac:dyDescent="0.35">
      <c r="A4725">
        <v>189</v>
      </c>
      <c r="B4725">
        <v>1</v>
      </c>
    </row>
    <row r="4726" spans="1:2" x14ac:dyDescent="0.35">
      <c r="A4726">
        <v>189</v>
      </c>
      <c r="B4726">
        <v>1</v>
      </c>
    </row>
    <row r="4727" spans="1:2" x14ac:dyDescent="0.35">
      <c r="A4727">
        <v>189</v>
      </c>
      <c r="B4727">
        <v>1</v>
      </c>
    </row>
    <row r="4728" spans="1:2" x14ac:dyDescent="0.35">
      <c r="A4728">
        <v>189</v>
      </c>
      <c r="B4728">
        <v>1</v>
      </c>
    </row>
    <row r="4729" spans="1:2" x14ac:dyDescent="0.35">
      <c r="A4729">
        <v>189</v>
      </c>
      <c r="B4729">
        <v>1</v>
      </c>
    </row>
    <row r="4730" spans="1:2" x14ac:dyDescent="0.35">
      <c r="A4730">
        <v>189</v>
      </c>
      <c r="B4730">
        <v>1</v>
      </c>
    </row>
    <row r="4731" spans="1:2" x14ac:dyDescent="0.35">
      <c r="A4731">
        <v>189</v>
      </c>
      <c r="B4731">
        <v>1</v>
      </c>
    </row>
    <row r="4732" spans="1:2" x14ac:dyDescent="0.35">
      <c r="A4732">
        <v>189</v>
      </c>
      <c r="B4732">
        <v>1</v>
      </c>
    </row>
    <row r="4733" spans="1:2" x14ac:dyDescent="0.35">
      <c r="A4733">
        <v>189</v>
      </c>
      <c r="B4733">
        <v>1</v>
      </c>
    </row>
    <row r="4734" spans="1:2" x14ac:dyDescent="0.35">
      <c r="A4734">
        <v>189</v>
      </c>
      <c r="B4734">
        <v>1</v>
      </c>
    </row>
    <row r="4735" spans="1:2" x14ac:dyDescent="0.35">
      <c r="A4735">
        <v>189</v>
      </c>
      <c r="B4735">
        <v>1</v>
      </c>
    </row>
    <row r="4736" spans="1:2" x14ac:dyDescent="0.35">
      <c r="A4736">
        <v>189</v>
      </c>
      <c r="B4736">
        <v>1</v>
      </c>
    </row>
    <row r="4737" spans="1:2" x14ac:dyDescent="0.35">
      <c r="A4737">
        <v>189</v>
      </c>
      <c r="B4737">
        <v>1</v>
      </c>
    </row>
    <row r="4738" spans="1:2" x14ac:dyDescent="0.35">
      <c r="A4738">
        <v>189</v>
      </c>
      <c r="B4738">
        <v>1</v>
      </c>
    </row>
    <row r="4739" spans="1:2" x14ac:dyDescent="0.35">
      <c r="A4739">
        <v>189</v>
      </c>
      <c r="B4739">
        <v>1</v>
      </c>
    </row>
    <row r="4740" spans="1:2" x14ac:dyDescent="0.35">
      <c r="A4740">
        <v>189</v>
      </c>
      <c r="B4740">
        <v>1</v>
      </c>
    </row>
    <row r="4741" spans="1:2" x14ac:dyDescent="0.35">
      <c r="A4741">
        <v>189</v>
      </c>
      <c r="B4741">
        <v>1</v>
      </c>
    </row>
    <row r="4742" spans="1:2" x14ac:dyDescent="0.35">
      <c r="A4742">
        <v>189</v>
      </c>
      <c r="B4742">
        <v>1</v>
      </c>
    </row>
    <row r="4743" spans="1:2" x14ac:dyDescent="0.35">
      <c r="A4743">
        <v>189</v>
      </c>
      <c r="B4743">
        <v>1</v>
      </c>
    </row>
    <row r="4744" spans="1:2" x14ac:dyDescent="0.35">
      <c r="A4744">
        <v>189</v>
      </c>
      <c r="B4744">
        <v>1</v>
      </c>
    </row>
    <row r="4745" spans="1:2" x14ac:dyDescent="0.35">
      <c r="A4745">
        <v>190</v>
      </c>
      <c r="B4745">
        <v>1</v>
      </c>
    </row>
    <row r="4746" spans="1:2" x14ac:dyDescent="0.35">
      <c r="A4746">
        <v>190</v>
      </c>
      <c r="B4746">
        <v>1</v>
      </c>
    </row>
    <row r="4747" spans="1:2" x14ac:dyDescent="0.35">
      <c r="A4747">
        <v>190</v>
      </c>
      <c r="B4747">
        <v>1</v>
      </c>
    </row>
    <row r="4748" spans="1:2" x14ac:dyDescent="0.35">
      <c r="A4748">
        <v>190</v>
      </c>
      <c r="B4748">
        <v>1</v>
      </c>
    </row>
    <row r="4749" spans="1:2" x14ac:dyDescent="0.35">
      <c r="A4749">
        <v>190</v>
      </c>
      <c r="B4749">
        <v>1</v>
      </c>
    </row>
    <row r="4750" spans="1:2" x14ac:dyDescent="0.35">
      <c r="A4750">
        <v>190</v>
      </c>
      <c r="B4750">
        <v>1</v>
      </c>
    </row>
    <row r="4751" spans="1:2" x14ac:dyDescent="0.35">
      <c r="A4751">
        <v>190</v>
      </c>
      <c r="B4751">
        <v>1</v>
      </c>
    </row>
    <row r="4752" spans="1:2" x14ac:dyDescent="0.35">
      <c r="A4752">
        <v>190</v>
      </c>
      <c r="B4752">
        <v>1</v>
      </c>
    </row>
    <row r="4753" spans="1:2" x14ac:dyDescent="0.35">
      <c r="A4753">
        <v>190</v>
      </c>
      <c r="B4753">
        <v>1</v>
      </c>
    </row>
    <row r="4754" spans="1:2" x14ac:dyDescent="0.35">
      <c r="A4754">
        <v>190</v>
      </c>
      <c r="B4754">
        <v>1</v>
      </c>
    </row>
    <row r="4755" spans="1:2" x14ac:dyDescent="0.35">
      <c r="A4755">
        <v>190</v>
      </c>
      <c r="B4755">
        <v>1</v>
      </c>
    </row>
    <row r="4756" spans="1:2" x14ac:dyDescent="0.35">
      <c r="A4756">
        <v>190</v>
      </c>
      <c r="B4756">
        <v>1</v>
      </c>
    </row>
    <row r="4757" spans="1:2" x14ac:dyDescent="0.35">
      <c r="A4757">
        <v>190</v>
      </c>
      <c r="B4757">
        <v>1</v>
      </c>
    </row>
    <row r="4758" spans="1:2" x14ac:dyDescent="0.35">
      <c r="A4758">
        <v>190</v>
      </c>
      <c r="B4758">
        <v>1</v>
      </c>
    </row>
    <row r="4759" spans="1:2" x14ac:dyDescent="0.35">
      <c r="A4759">
        <v>190</v>
      </c>
      <c r="B4759">
        <v>1</v>
      </c>
    </row>
    <row r="4760" spans="1:2" x14ac:dyDescent="0.35">
      <c r="A4760">
        <v>191</v>
      </c>
      <c r="B4760">
        <v>1</v>
      </c>
    </row>
    <row r="4761" spans="1:2" x14ac:dyDescent="0.35">
      <c r="A4761">
        <v>191</v>
      </c>
      <c r="B4761">
        <v>1</v>
      </c>
    </row>
    <row r="4762" spans="1:2" x14ac:dyDescent="0.35">
      <c r="A4762">
        <v>191</v>
      </c>
      <c r="B4762">
        <v>1</v>
      </c>
    </row>
    <row r="4763" spans="1:2" x14ac:dyDescent="0.35">
      <c r="A4763">
        <v>191</v>
      </c>
      <c r="B4763">
        <v>1</v>
      </c>
    </row>
    <row r="4764" spans="1:2" x14ac:dyDescent="0.35">
      <c r="A4764">
        <v>191</v>
      </c>
      <c r="B4764">
        <v>1</v>
      </c>
    </row>
    <row r="4765" spans="1:2" x14ac:dyDescent="0.35">
      <c r="A4765">
        <v>191</v>
      </c>
      <c r="B4765">
        <v>1</v>
      </c>
    </row>
    <row r="4766" spans="1:2" x14ac:dyDescent="0.35">
      <c r="A4766">
        <v>191</v>
      </c>
      <c r="B4766">
        <v>1</v>
      </c>
    </row>
    <row r="4767" spans="1:2" x14ac:dyDescent="0.35">
      <c r="A4767">
        <v>191</v>
      </c>
      <c r="B4767">
        <v>1</v>
      </c>
    </row>
    <row r="4768" spans="1:2" x14ac:dyDescent="0.35">
      <c r="A4768">
        <v>191</v>
      </c>
      <c r="B4768">
        <v>1</v>
      </c>
    </row>
    <row r="4769" spans="1:2" x14ac:dyDescent="0.35">
      <c r="A4769">
        <v>191</v>
      </c>
      <c r="B4769">
        <v>1</v>
      </c>
    </row>
    <row r="4770" spans="1:2" x14ac:dyDescent="0.35">
      <c r="A4770">
        <v>191</v>
      </c>
      <c r="B4770">
        <v>1</v>
      </c>
    </row>
    <row r="4771" spans="1:2" x14ac:dyDescent="0.35">
      <c r="A4771">
        <v>191</v>
      </c>
      <c r="B4771">
        <v>1</v>
      </c>
    </row>
    <row r="4772" spans="1:2" x14ac:dyDescent="0.35">
      <c r="A4772">
        <v>192</v>
      </c>
      <c r="B4772">
        <v>1</v>
      </c>
    </row>
    <row r="4773" spans="1:2" x14ac:dyDescent="0.35">
      <c r="A4773">
        <v>192</v>
      </c>
      <c r="B4773">
        <v>1</v>
      </c>
    </row>
    <row r="4774" spans="1:2" x14ac:dyDescent="0.35">
      <c r="A4774">
        <v>192</v>
      </c>
      <c r="B4774">
        <v>1</v>
      </c>
    </row>
    <row r="4775" spans="1:2" x14ac:dyDescent="0.35">
      <c r="A4775">
        <v>192</v>
      </c>
      <c r="B4775">
        <v>1</v>
      </c>
    </row>
    <row r="4776" spans="1:2" x14ac:dyDescent="0.35">
      <c r="A4776">
        <v>192</v>
      </c>
      <c r="B4776">
        <v>1</v>
      </c>
    </row>
    <row r="4777" spans="1:2" x14ac:dyDescent="0.35">
      <c r="A4777">
        <v>192</v>
      </c>
      <c r="B4777">
        <v>1</v>
      </c>
    </row>
    <row r="4778" spans="1:2" x14ac:dyDescent="0.35">
      <c r="A4778">
        <v>192</v>
      </c>
      <c r="B4778">
        <v>1</v>
      </c>
    </row>
    <row r="4779" spans="1:2" x14ac:dyDescent="0.35">
      <c r="A4779">
        <v>192</v>
      </c>
      <c r="B4779">
        <v>1</v>
      </c>
    </row>
    <row r="4780" spans="1:2" x14ac:dyDescent="0.35">
      <c r="A4780">
        <v>192</v>
      </c>
      <c r="B4780">
        <v>1</v>
      </c>
    </row>
    <row r="4781" spans="1:2" x14ac:dyDescent="0.35">
      <c r="A4781">
        <v>192</v>
      </c>
      <c r="B4781">
        <v>1</v>
      </c>
    </row>
    <row r="4782" spans="1:2" x14ac:dyDescent="0.35">
      <c r="A4782">
        <v>192</v>
      </c>
      <c r="B4782">
        <v>1</v>
      </c>
    </row>
    <row r="4783" spans="1:2" x14ac:dyDescent="0.35">
      <c r="A4783">
        <v>192</v>
      </c>
      <c r="B4783">
        <v>1</v>
      </c>
    </row>
    <row r="4784" spans="1:2" x14ac:dyDescent="0.35">
      <c r="A4784">
        <v>192</v>
      </c>
      <c r="B4784">
        <v>1</v>
      </c>
    </row>
    <row r="4785" spans="1:2" x14ac:dyDescent="0.35">
      <c r="A4785">
        <v>192</v>
      </c>
      <c r="B4785">
        <v>1</v>
      </c>
    </row>
    <row r="4786" spans="1:2" x14ac:dyDescent="0.35">
      <c r="A4786">
        <v>192</v>
      </c>
      <c r="B4786">
        <v>1</v>
      </c>
    </row>
    <row r="4787" spans="1:2" x14ac:dyDescent="0.35">
      <c r="A4787">
        <v>192</v>
      </c>
      <c r="B4787">
        <v>1</v>
      </c>
    </row>
    <row r="4788" spans="1:2" x14ac:dyDescent="0.35">
      <c r="A4788">
        <v>193</v>
      </c>
      <c r="B4788">
        <v>1</v>
      </c>
    </row>
    <row r="4789" spans="1:2" x14ac:dyDescent="0.35">
      <c r="A4789">
        <v>193</v>
      </c>
      <c r="B4789">
        <v>1</v>
      </c>
    </row>
    <row r="4790" spans="1:2" x14ac:dyDescent="0.35">
      <c r="A4790">
        <v>193</v>
      </c>
      <c r="B4790">
        <v>1</v>
      </c>
    </row>
    <row r="4791" spans="1:2" x14ac:dyDescent="0.35">
      <c r="A4791">
        <v>193</v>
      </c>
      <c r="B4791">
        <v>1</v>
      </c>
    </row>
    <row r="4792" spans="1:2" x14ac:dyDescent="0.35">
      <c r="A4792">
        <v>193</v>
      </c>
      <c r="B4792">
        <v>1</v>
      </c>
    </row>
    <row r="4793" spans="1:2" x14ac:dyDescent="0.35">
      <c r="A4793">
        <v>193</v>
      </c>
      <c r="B4793">
        <v>1</v>
      </c>
    </row>
    <row r="4794" spans="1:2" x14ac:dyDescent="0.35">
      <c r="A4794">
        <v>193</v>
      </c>
      <c r="B4794">
        <v>1</v>
      </c>
    </row>
    <row r="4795" spans="1:2" x14ac:dyDescent="0.35">
      <c r="A4795">
        <v>193</v>
      </c>
      <c r="B4795">
        <v>1</v>
      </c>
    </row>
    <row r="4796" spans="1:2" x14ac:dyDescent="0.35">
      <c r="A4796">
        <v>193</v>
      </c>
      <c r="B4796">
        <v>1</v>
      </c>
    </row>
    <row r="4797" spans="1:2" x14ac:dyDescent="0.35">
      <c r="A4797">
        <v>193</v>
      </c>
      <c r="B4797">
        <v>1</v>
      </c>
    </row>
    <row r="4798" spans="1:2" x14ac:dyDescent="0.35">
      <c r="A4798">
        <v>193</v>
      </c>
      <c r="B4798">
        <v>1</v>
      </c>
    </row>
    <row r="4799" spans="1:2" x14ac:dyDescent="0.35">
      <c r="A4799">
        <v>193</v>
      </c>
      <c r="B4799">
        <v>1</v>
      </c>
    </row>
    <row r="4800" spans="1:2" x14ac:dyDescent="0.35">
      <c r="A4800">
        <v>193</v>
      </c>
      <c r="B4800">
        <v>1</v>
      </c>
    </row>
    <row r="4801" spans="1:2" x14ac:dyDescent="0.35">
      <c r="A4801">
        <v>193</v>
      </c>
      <c r="B4801">
        <v>1</v>
      </c>
    </row>
    <row r="4802" spans="1:2" x14ac:dyDescent="0.35">
      <c r="A4802">
        <v>193</v>
      </c>
      <c r="B4802">
        <v>1</v>
      </c>
    </row>
    <row r="4803" spans="1:2" x14ac:dyDescent="0.35">
      <c r="A4803">
        <v>193</v>
      </c>
      <c r="B4803">
        <v>1</v>
      </c>
    </row>
    <row r="4804" spans="1:2" x14ac:dyDescent="0.35">
      <c r="A4804">
        <v>194</v>
      </c>
      <c r="B4804">
        <v>1</v>
      </c>
    </row>
    <row r="4805" spans="1:2" x14ac:dyDescent="0.35">
      <c r="A4805">
        <v>194</v>
      </c>
      <c r="B4805">
        <v>1</v>
      </c>
    </row>
    <row r="4806" spans="1:2" x14ac:dyDescent="0.35">
      <c r="A4806">
        <v>194</v>
      </c>
      <c r="B4806">
        <v>1</v>
      </c>
    </row>
    <row r="4807" spans="1:2" x14ac:dyDescent="0.35">
      <c r="A4807">
        <v>194</v>
      </c>
      <c r="B4807">
        <v>1</v>
      </c>
    </row>
    <row r="4808" spans="1:2" x14ac:dyDescent="0.35">
      <c r="A4808">
        <v>194</v>
      </c>
      <c r="B4808">
        <v>1</v>
      </c>
    </row>
    <row r="4809" spans="1:2" x14ac:dyDescent="0.35">
      <c r="A4809">
        <v>194</v>
      </c>
      <c r="B4809">
        <v>1</v>
      </c>
    </row>
    <row r="4810" spans="1:2" x14ac:dyDescent="0.35">
      <c r="A4810">
        <v>194</v>
      </c>
      <c r="B4810">
        <v>1</v>
      </c>
    </row>
    <row r="4811" spans="1:2" x14ac:dyDescent="0.35">
      <c r="A4811">
        <v>194</v>
      </c>
      <c r="B4811">
        <v>1</v>
      </c>
    </row>
    <row r="4812" spans="1:2" x14ac:dyDescent="0.35">
      <c r="A4812">
        <v>194</v>
      </c>
      <c r="B4812">
        <v>1</v>
      </c>
    </row>
    <row r="4813" spans="1:2" x14ac:dyDescent="0.35">
      <c r="A4813">
        <v>194</v>
      </c>
      <c r="B4813">
        <v>1</v>
      </c>
    </row>
    <row r="4814" spans="1:2" x14ac:dyDescent="0.35">
      <c r="A4814">
        <v>194</v>
      </c>
      <c r="B4814">
        <v>1</v>
      </c>
    </row>
    <row r="4815" spans="1:2" x14ac:dyDescent="0.35">
      <c r="A4815">
        <v>194</v>
      </c>
      <c r="B4815">
        <v>1</v>
      </c>
    </row>
    <row r="4816" spans="1:2" x14ac:dyDescent="0.35">
      <c r="A4816">
        <v>194</v>
      </c>
      <c r="B4816">
        <v>1</v>
      </c>
    </row>
    <row r="4817" spans="1:2" x14ac:dyDescent="0.35">
      <c r="A4817">
        <v>194</v>
      </c>
      <c r="B4817">
        <v>1</v>
      </c>
    </row>
    <row r="4818" spans="1:2" x14ac:dyDescent="0.35">
      <c r="A4818">
        <v>194</v>
      </c>
      <c r="B4818">
        <v>1</v>
      </c>
    </row>
    <row r="4819" spans="1:2" x14ac:dyDescent="0.35">
      <c r="A4819">
        <v>194</v>
      </c>
      <c r="B4819">
        <v>1</v>
      </c>
    </row>
    <row r="4820" spans="1:2" x14ac:dyDescent="0.35">
      <c r="A4820">
        <v>194</v>
      </c>
      <c r="B4820">
        <v>1</v>
      </c>
    </row>
    <row r="4821" spans="1:2" x14ac:dyDescent="0.35">
      <c r="A4821">
        <v>194</v>
      </c>
      <c r="B4821">
        <v>1</v>
      </c>
    </row>
    <row r="4822" spans="1:2" x14ac:dyDescent="0.35">
      <c r="A4822">
        <v>194</v>
      </c>
      <c r="B4822">
        <v>1</v>
      </c>
    </row>
    <row r="4823" spans="1:2" x14ac:dyDescent="0.35">
      <c r="A4823">
        <v>195</v>
      </c>
      <c r="B4823">
        <v>1</v>
      </c>
    </row>
    <row r="4824" spans="1:2" x14ac:dyDescent="0.35">
      <c r="A4824">
        <v>195</v>
      </c>
      <c r="B4824">
        <v>1</v>
      </c>
    </row>
    <row r="4825" spans="1:2" x14ac:dyDescent="0.35">
      <c r="A4825">
        <v>195</v>
      </c>
      <c r="B4825">
        <v>1</v>
      </c>
    </row>
    <row r="4826" spans="1:2" x14ac:dyDescent="0.35">
      <c r="A4826">
        <v>195</v>
      </c>
      <c r="B4826">
        <v>1</v>
      </c>
    </row>
    <row r="4827" spans="1:2" x14ac:dyDescent="0.35">
      <c r="A4827">
        <v>195</v>
      </c>
      <c r="B4827">
        <v>1</v>
      </c>
    </row>
    <row r="4828" spans="1:2" x14ac:dyDescent="0.35">
      <c r="A4828">
        <v>195</v>
      </c>
      <c r="B4828">
        <v>1</v>
      </c>
    </row>
    <row r="4829" spans="1:2" x14ac:dyDescent="0.35">
      <c r="A4829">
        <v>195</v>
      </c>
      <c r="B4829">
        <v>1</v>
      </c>
    </row>
    <row r="4830" spans="1:2" x14ac:dyDescent="0.35">
      <c r="A4830">
        <v>195</v>
      </c>
      <c r="B4830">
        <v>1</v>
      </c>
    </row>
    <row r="4831" spans="1:2" x14ac:dyDescent="0.35">
      <c r="A4831">
        <v>195</v>
      </c>
      <c r="B4831">
        <v>1</v>
      </c>
    </row>
    <row r="4832" spans="1:2" x14ac:dyDescent="0.35">
      <c r="A4832">
        <v>195</v>
      </c>
      <c r="B4832">
        <v>1</v>
      </c>
    </row>
    <row r="4833" spans="1:2" x14ac:dyDescent="0.35">
      <c r="A4833">
        <v>195</v>
      </c>
      <c r="B4833">
        <v>1</v>
      </c>
    </row>
    <row r="4834" spans="1:2" x14ac:dyDescent="0.35">
      <c r="A4834">
        <v>195</v>
      </c>
      <c r="B4834">
        <v>1</v>
      </c>
    </row>
    <row r="4835" spans="1:2" x14ac:dyDescent="0.35">
      <c r="A4835">
        <v>195</v>
      </c>
      <c r="B4835">
        <v>1</v>
      </c>
    </row>
    <row r="4836" spans="1:2" x14ac:dyDescent="0.35">
      <c r="A4836">
        <v>195</v>
      </c>
      <c r="B4836">
        <v>1</v>
      </c>
    </row>
    <row r="4837" spans="1:2" x14ac:dyDescent="0.35">
      <c r="A4837">
        <v>195</v>
      </c>
      <c r="B4837">
        <v>1</v>
      </c>
    </row>
    <row r="4838" spans="1:2" x14ac:dyDescent="0.35">
      <c r="A4838">
        <v>195</v>
      </c>
      <c r="B4838">
        <v>1</v>
      </c>
    </row>
    <row r="4839" spans="1:2" x14ac:dyDescent="0.35">
      <c r="A4839">
        <v>195</v>
      </c>
      <c r="B4839">
        <v>1</v>
      </c>
    </row>
    <row r="4840" spans="1:2" x14ac:dyDescent="0.35">
      <c r="A4840">
        <v>195</v>
      </c>
      <c r="B4840">
        <v>1</v>
      </c>
    </row>
    <row r="4841" spans="1:2" x14ac:dyDescent="0.35">
      <c r="A4841">
        <v>195</v>
      </c>
      <c r="B4841">
        <v>1</v>
      </c>
    </row>
    <row r="4842" spans="1:2" x14ac:dyDescent="0.35">
      <c r="A4842">
        <v>195</v>
      </c>
      <c r="B4842">
        <v>1</v>
      </c>
    </row>
    <row r="4843" spans="1:2" x14ac:dyDescent="0.35">
      <c r="A4843">
        <v>195</v>
      </c>
      <c r="B4843">
        <v>1</v>
      </c>
    </row>
    <row r="4844" spans="1:2" x14ac:dyDescent="0.35">
      <c r="A4844">
        <v>195</v>
      </c>
      <c r="B4844">
        <v>1</v>
      </c>
    </row>
    <row r="4845" spans="1:2" x14ac:dyDescent="0.35">
      <c r="A4845">
        <v>195</v>
      </c>
      <c r="B4845">
        <v>1</v>
      </c>
    </row>
    <row r="4846" spans="1:2" x14ac:dyDescent="0.35">
      <c r="A4846">
        <v>195</v>
      </c>
      <c r="B4846">
        <v>1</v>
      </c>
    </row>
    <row r="4847" spans="1:2" x14ac:dyDescent="0.35">
      <c r="A4847">
        <v>195</v>
      </c>
      <c r="B4847">
        <v>1</v>
      </c>
    </row>
    <row r="4848" spans="1:2" x14ac:dyDescent="0.35">
      <c r="A4848">
        <v>196</v>
      </c>
      <c r="B4848">
        <v>1</v>
      </c>
    </row>
    <row r="4849" spans="1:2" x14ac:dyDescent="0.35">
      <c r="A4849">
        <v>196</v>
      </c>
      <c r="B4849">
        <v>1</v>
      </c>
    </row>
    <row r="4850" spans="1:2" x14ac:dyDescent="0.35">
      <c r="A4850">
        <v>196</v>
      </c>
      <c r="B4850">
        <v>1</v>
      </c>
    </row>
    <row r="4851" spans="1:2" x14ac:dyDescent="0.35">
      <c r="A4851">
        <v>196</v>
      </c>
      <c r="B4851">
        <v>1</v>
      </c>
    </row>
    <row r="4852" spans="1:2" x14ac:dyDescent="0.35">
      <c r="A4852">
        <v>196</v>
      </c>
      <c r="B4852">
        <v>1</v>
      </c>
    </row>
    <row r="4853" spans="1:2" x14ac:dyDescent="0.35">
      <c r="A4853">
        <v>196</v>
      </c>
      <c r="B4853">
        <v>1</v>
      </c>
    </row>
    <row r="4854" spans="1:2" x14ac:dyDescent="0.35">
      <c r="A4854">
        <v>196</v>
      </c>
      <c r="B4854">
        <v>1</v>
      </c>
    </row>
    <row r="4855" spans="1:2" x14ac:dyDescent="0.35">
      <c r="A4855">
        <v>196</v>
      </c>
      <c r="B4855">
        <v>1</v>
      </c>
    </row>
    <row r="4856" spans="1:2" x14ac:dyDescent="0.35">
      <c r="A4856">
        <v>196</v>
      </c>
      <c r="B4856">
        <v>1</v>
      </c>
    </row>
    <row r="4857" spans="1:2" x14ac:dyDescent="0.35">
      <c r="A4857">
        <v>196</v>
      </c>
      <c r="B4857">
        <v>1</v>
      </c>
    </row>
    <row r="4858" spans="1:2" x14ac:dyDescent="0.35">
      <c r="A4858">
        <v>196</v>
      </c>
      <c r="B4858">
        <v>1</v>
      </c>
    </row>
    <row r="4859" spans="1:2" x14ac:dyDescent="0.35">
      <c r="A4859">
        <v>196</v>
      </c>
      <c r="B4859">
        <v>1</v>
      </c>
    </row>
    <row r="4860" spans="1:2" x14ac:dyDescent="0.35">
      <c r="A4860">
        <v>197</v>
      </c>
      <c r="B4860">
        <v>1</v>
      </c>
    </row>
    <row r="4861" spans="1:2" x14ac:dyDescent="0.35">
      <c r="A4861">
        <v>197</v>
      </c>
      <c r="B4861">
        <v>1</v>
      </c>
    </row>
    <row r="4862" spans="1:2" x14ac:dyDescent="0.35">
      <c r="A4862">
        <v>197</v>
      </c>
      <c r="B4862">
        <v>1</v>
      </c>
    </row>
    <row r="4863" spans="1:2" x14ac:dyDescent="0.35">
      <c r="A4863">
        <v>197</v>
      </c>
      <c r="B4863">
        <v>1</v>
      </c>
    </row>
    <row r="4864" spans="1:2" x14ac:dyDescent="0.35">
      <c r="A4864">
        <v>197</v>
      </c>
      <c r="B4864">
        <v>1</v>
      </c>
    </row>
    <row r="4865" spans="1:2" x14ac:dyDescent="0.35">
      <c r="A4865">
        <v>197</v>
      </c>
      <c r="B4865">
        <v>1</v>
      </c>
    </row>
    <row r="4866" spans="1:2" x14ac:dyDescent="0.35">
      <c r="A4866">
        <v>197</v>
      </c>
      <c r="B4866">
        <v>1</v>
      </c>
    </row>
    <row r="4867" spans="1:2" x14ac:dyDescent="0.35">
      <c r="A4867">
        <v>197</v>
      </c>
      <c r="B4867">
        <v>1</v>
      </c>
    </row>
    <row r="4868" spans="1:2" x14ac:dyDescent="0.35">
      <c r="A4868">
        <v>197</v>
      </c>
      <c r="B4868">
        <v>1</v>
      </c>
    </row>
    <row r="4869" spans="1:2" x14ac:dyDescent="0.35">
      <c r="A4869">
        <v>197</v>
      </c>
      <c r="B4869">
        <v>1</v>
      </c>
    </row>
    <row r="4870" spans="1:2" x14ac:dyDescent="0.35">
      <c r="A4870">
        <v>197</v>
      </c>
      <c r="B4870">
        <v>1</v>
      </c>
    </row>
    <row r="4871" spans="1:2" x14ac:dyDescent="0.35">
      <c r="A4871">
        <v>197</v>
      </c>
      <c r="B4871">
        <v>1</v>
      </c>
    </row>
    <row r="4872" spans="1:2" x14ac:dyDescent="0.35">
      <c r="A4872">
        <v>197</v>
      </c>
      <c r="B4872">
        <v>1</v>
      </c>
    </row>
    <row r="4873" spans="1:2" x14ac:dyDescent="0.35">
      <c r="A4873">
        <v>197</v>
      </c>
      <c r="B4873">
        <v>1</v>
      </c>
    </row>
    <row r="4874" spans="1:2" x14ac:dyDescent="0.35">
      <c r="A4874">
        <v>198</v>
      </c>
      <c r="B4874">
        <v>1</v>
      </c>
    </row>
    <row r="4875" spans="1:2" x14ac:dyDescent="0.35">
      <c r="A4875">
        <v>198</v>
      </c>
      <c r="B4875">
        <v>1</v>
      </c>
    </row>
    <row r="4876" spans="1:2" x14ac:dyDescent="0.35">
      <c r="A4876">
        <v>198</v>
      </c>
      <c r="B4876">
        <v>1</v>
      </c>
    </row>
    <row r="4877" spans="1:2" x14ac:dyDescent="0.35">
      <c r="A4877">
        <v>198</v>
      </c>
      <c r="B4877">
        <v>1</v>
      </c>
    </row>
    <row r="4878" spans="1:2" x14ac:dyDescent="0.35">
      <c r="A4878">
        <v>198</v>
      </c>
      <c r="B4878">
        <v>1</v>
      </c>
    </row>
    <row r="4879" spans="1:2" x14ac:dyDescent="0.35">
      <c r="A4879">
        <v>198</v>
      </c>
      <c r="B4879">
        <v>1</v>
      </c>
    </row>
    <row r="4880" spans="1:2" x14ac:dyDescent="0.35">
      <c r="A4880">
        <v>198</v>
      </c>
      <c r="B4880">
        <v>1</v>
      </c>
    </row>
    <row r="4881" spans="1:2" x14ac:dyDescent="0.35">
      <c r="A4881">
        <v>198</v>
      </c>
      <c r="B4881">
        <v>1</v>
      </c>
    </row>
    <row r="4882" spans="1:2" x14ac:dyDescent="0.35">
      <c r="A4882">
        <v>198</v>
      </c>
      <c r="B4882">
        <v>1</v>
      </c>
    </row>
    <row r="4883" spans="1:2" x14ac:dyDescent="0.35">
      <c r="A4883">
        <v>198</v>
      </c>
      <c r="B4883">
        <v>1</v>
      </c>
    </row>
    <row r="4884" spans="1:2" x14ac:dyDescent="0.35">
      <c r="A4884">
        <v>198</v>
      </c>
      <c r="B4884">
        <v>1</v>
      </c>
    </row>
    <row r="4885" spans="1:2" x14ac:dyDescent="0.35">
      <c r="A4885">
        <v>198</v>
      </c>
      <c r="B4885">
        <v>1</v>
      </c>
    </row>
    <row r="4886" spans="1:2" x14ac:dyDescent="0.35">
      <c r="A4886">
        <v>198</v>
      </c>
      <c r="B4886">
        <v>1</v>
      </c>
    </row>
    <row r="4887" spans="1:2" x14ac:dyDescent="0.35">
      <c r="A4887">
        <v>198</v>
      </c>
      <c r="B4887">
        <v>1</v>
      </c>
    </row>
    <row r="4888" spans="1:2" x14ac:dyDescent="0.35">
      <c r="A4888">
        <v>199</v>
      </c>
      <c r="B4888">
        <v>1</v>
      </c>
    </row>
    <row r="4889" spans="1:2" x14ac:dyDescent="0.35">
      <c r="A4889">
        <v>199</v>
      </c>
      <c r="B4889">
        <v>1</v>
      </c>
    </row>
    <row r="4890" spans="1:2" x14ac:dyDescent="0.35">
      <c r="A4890">
        <v>199</v>
      </c>
      <c r="B4890">
        <v>1</v>
      </c>
    </row>
    <row r="4891" spans="1:2" x14ac:dyDescent="0.35">
      <c r="A4891">
        <v>199</v>
      </c>
      <c r="B4891">
        <v>1</v>
      </c>
    </row>
    <row r="4892" spans="1:2" x14ac:dyDescent="0.35">
      <c r="A4892">
        <v>199</v>
      </c>
      <c r="B4892">
        <v>1</v>
      </c>
    </row>
    <row r="4893" spans="1:2" x14ac:dyDescent="0.35">
      <c r="A4893">
        <v>199</v>
      </c>
      <c r="B4893">
        <v>1</v>
      </c>
    </row>
    <row r="4894" spans="1:2" x14ac:dyDescent="0.35">
      <c r="A4894">
        <v>199</v>
      </c>
      <c r="B4894">
        <v>1</v>
      </c>
    </row>
    <row r="4895" spans="1:2" x14ac:dyDescent="0.35">
      <c r="A4895">
        <v>199</v>
      </c>
      <c r="B4895">
        <v>1</v>
      </c>
    </row>
    <row r="4896" spans="1:2" x14ac:dyDescent="0.35">
      <c r="A4896">
        <v>199</v>
      </c>
      <c r="B4896">
        <v>1</v>
      </c>
    </row>
    <row r="4897" spans="1:2" x14ac:dyDescent="0.35">
      <c r="A4897">
        <v>199</v>
      </c>
      <c r="B4897">
        <v>1</v>
      </c>
    </row>
    <row r="4898" spans="1:2" x14ac:dyDescent="0.35">
      <c r="A4898">
        <v>199</v>
      </c>
      <c r="B4898">
        <v>1</v>
      </c>
    </row>
    <row r="4899" spans="1:2" x14ac:dyDescent="0.35">
      <c r="A4899">
        <v>199</v>
      </c>
      <c r="B4899">
        <v>1</v>
      </c>
    </row>
    <row r="4900" spans="1:2" x14ac:dyDescent="0.35">
      <c r="A4900">
        <v>199</v>
      </c>
      <c r="B4900">
        <v>1</v>
      </c>
    </row>
    <row r="4901" spans="1:2" x14ac:dyDescent="0.35">
      <c r="A4901">
        <v>200</v>
      </c>
      <c r="B4901">
        <v>1</v>
      </c>
    </row>
    <row r="4902" spans="1:2" x14ac:dyDescent="0.35">
      <c r="A4902">
        <v>200</v>
      </c>
      <c r="B4902">
        <v>1</v>
      </c>
    </row>
    <row r="4903" spans="1:2" x14ac:dyDescent="0.35">
      <c r="A4903">
        <v>200</v>
      </c>
      <c r="B4903">
        <v>1</v>
      </c>
    </row>
    <row r="4904" spans="1:2" x14ac:dyDescent="0.35">
      <c r="A4904">
        <v>200</v>
      </c>
      <c r="B4904">
        <v>1</v>
      </c>
    </row>
    <row r="4905" spans="1:2" x14ac:dyDescent="0.35">
      <c r="A4905">
        <v>200</v>
      </c>
      <c r="B4905">
        <v>1</v>
      </c>
    </row>
    <row r="4906" spans="1:2" x14ac:dyDescent="0.35">
      <c r="A4906">
        <v>200</v>
      </c>
      <c r="B4906">
        <v>1</v>
      </c>
    </row>
    <row r="4907" spans="1:2" x14ac:dyDescent="0.35">
      <c r="A4907">
        <v>200</v>
      </c>
      <c r="B4907">
        <v>1</v>
      </c>
    </row>
    <row r="4908" spans="1:2" x14ac:dyDescent="0.35">
      <c r="A4908">
        <v>200</v>
      </c>
      <c r="B4908">
        <v>1</v>
      </c>
    </row>
    <row r="4909" spans="1:2" x14ac:dyDescent="0.35">
      <c r="A4909">
        <v>200</v>
      </c>
      <c r="B4909">
        <v>1</v>
      </c>
    </row>
    <row r="4910" spans="1:2" x14ac:dyDescent="0.35">
      <c r="A4910">
        <v>200</v>
      </c>
      <c r="B4910">
        <v>1</v>
      </c>
    </row>
    <row r="4911" spans="1:2" x14ac:dyDescent="0.35">
      <c r="A4911">
        <v>200</v>
      </c>
      <c r="B4911">
        <v>1</v>
      </c>
    </row>
    <row r="4912" spans="1:2" x14ac:dyDescent="0.35">
      <c r="A4912">
        <v>200</v>
      </c>
      <c r="B4912">
        <v>1</v>
      </c>
    </row>
    <row r="4913" spans="1:2" x14ac:dyDescent="0.35">
      <c r="A4913">
        <v>200</v>
      </c>
      <c r="B4913">
        <v>1</v>
      </c>
    </row>
    <row r="4914" spans="1:2" x14ac:dyDescent="0.35">
      <c r="A4914">
        <v>200</v>
      </c>
      <c r="B4914">
        <v>1</v>
      </c>
    </row>
    <row r="4915" spans="1:2" x14ac:dyDescent="0.35">
      <c r="A4915">
        <v>200</v>
      </c>
      <c r="B4915">
        <v>1</v>
      </c>
    </row>
    <row r="4916" spans="1:2" x14ac:dyDescent="0.35">
      <c r="A4916">
        <v>200</v>
      </c>
      <c r="B4916">
        <v>1</v>
      </c>
    </row>
    <row r="4917" spans="1:2" x14ac:dyDescent="0.35">
      <c r="A4917">
        <v>200</v>
      </c>
      <c r="B4917">
        <v>1</v>
      </c>
    </row>
    <row r="4918" spans="1:2" x14ac:dyDescent="0.35">
      <c r="A4918">
        <v>201</v>
      </c>
      <c r="B4918">
        <v>1</v>
      </c>
    </row>
    <row r="4919" spans="1:2" x14ac:dyDescent="0.35">
      <c r="A4919">
        <v>201</v>
      </c>
      <c r="B4919">
        <v>1</v>
      </c>
    </row>
    <row r="4920" spans="1:2" x14ac:dyDescent="0.35">
      <c r="A4920">
        <v>201</v>
      </c>
      <c r="B4920">
        <v>1</v>
      </c>
    </row>
    <row r="4921" spans="1:2" x14ac:dyDescent="0.35">
      <c r="A4921">
        <v>201</v>
      </c>
      <c r="B4921">
        <v>1</v>
      </c>
    </row>
    <row r="4922" spans="1:2" x14ac:dyDescent="0.35">
      <c r="A4922">
        <v>201</v>
      </c>
      <c r="B4922">
        <v>1</v>
      </c>
    </row>
    <row r="4923" spans="1:2" x14ac:dyDescent="0.35">
      <c r="A4923">
        <v>201</v>
      </c>
      <c r="B4923">
        <v>1</v>
      </c>
    </row>
    <row r="4924" spans="1:2" x14ac:dyDescent="0.35">
      <c r="A4924">
        <v>201</v>
      </c>
      <c r="B4924">
        <v>1</v>
      </c>
    </row>
    <row r="4925" spans="1:2" x14ac:dyDescent="0.35">
      <c r="A4925">
        <v>201</v>
      </c>
      <c r="B4925">
        <v>1</v>
      </c>
    </row>
    <row r="4926" spans="1:2" x14ac:dyDescent="0.35">
      <c r="A4926">
        <v>201</v>
      </c>
      <c r="B4926">
        <v>1</v>
      </c>
    </row>
    <row r="4927" spans="1:2" x14ac:dyDescent="0.35">
      <c r="A4927">
        <v>201</v>
      </c>
      <c r="B4927">
        <v>1</v>
      </c>
    </row>
    <row r="4928" spans="1:2" x14ac:dyDescent="0.35">
      <c r="A4928">
        <v>201</v>
      </c>
      <c r="B4928">
        <v>1</v>
      </c>
    </row>
    <row r="4929" spans="1:2" x14ac:dyDescent="0.35">
      <c r="A4929">
        <v>201</v>
      </c>
      <c r="B4929">
        <v>1</v>
      </c>
    </row>
    <row r="4930" spans="1:2" x14ac:dyDescent="0.35">
      <c r="A4930">
        <v>201</v>
      </c>
      <c r="B4930">
        <v>1</v>
      </c>
    </row>
    <row r="4931" spans="1:2" x14ac:dyDescent="0.35">
      <c r="A4931">
        <v>201</v>
      </c>
      <c r="B4931">
        <v>1</v>
      </c>
    </row>
    <row r="4932" spans="1:2" x14ac:dyDescent="0.35">
      <c r="A4932">
        <v>201</v>
      </c>
      <c r="B4932">
        <v>1</v>
      </c>
    </row>
    <row r="4933" spans="1:2" x14ac:dyDescent="0.35">
      <c r="A4933">
        <v>201</v>
      </c>
      <c r="B4933">
        <v>1</v>
      </c>
    </row>
    <row r="4934" spans="1:2" x14ac:dyDescent="0.35">
      <c r="A4934">
        <v>201</v>
      </c>
      <c r="B4934">
        <v>1</v>
      </c>
    </row>
    <row r="4935" spans="1:2" x14ac:dyDescent="0.35">
      <c r="A4935">
        <v>201</v>
      </c>
      <c r="B4935">
        <v>1</v>
      </c>
    </row>
    <row r="4936" spans="1:2" x14ac:dyDescent="0.35">
      <c r="A4936">
        <v>201</v>
      </c>
      <c r="B4936">
        <v>1</v>
      </c>
    </row>
    <row r="4937" spans="1:2" x14ac:dyDescent="0.35">
      <c r="A4937">
        <v>202</v>
      </c>
      <c r="B4937">
        <v>1</v>
      </c>
    </row>
    <row r="4938" spans="1:2" x14ac:dyDescent="0.35">
      <c r="A4938">
        <v>202</v>
      </c>
      <c r="B4938">
        <v>1</v>
      </c>
    </row>
    <row r="4939" spans="1:2" x14ac:dyDescent="0.35">
      <c r="A4939">
        <v>202</v>
      </c>
      <c r="B4939">
        <v>1</v>
      </c>
    </row>
    <row r="4940" spans="1:2" x14ac:dyDescent="0.35">
      <c r="A4940">
        <v>202</v>
      </c>
      <c r="B4940">
        <v>1</v>
      </c>
    </row>
    <row r="4941" spans="1:2" x14ac:dyDescent="0.35">
      <c r="A4941">
        <v>202</v>
      </c>
      <c r="B4941">
        <v>1</v>
      </c>
    </row>
    <row r="4942" spans="1:2" x14ac:dyDescent="0.35">
      <c r="A4942">
        <v>202</v>
      </c>
      <c r="B4942">
        <v>1</v>
      </c>
    </row>
    <row r="4943" spans="1:2" x14ac:dyDescent="0.35">
      <c r="A4943">
        <v>202</v>
      </c>
      <c r="B4943">
        <v>1</v>
      </c>
    </row>
    <row r="4944" spans="1:2" x14ac:dyDescent="0.35">
      <c r="A4944">
        <v>202</v>
      </c>
      <c r="B4944">
        <v>1</v>
      </c>
    </row>
    <row r="4945" spans="1:2" x14ac:dyDescent="0.35">
      <c r="A4945">
        <v>202</v>
      </c>
      <c r="B4945">
        <v>1</v>
      </c>
    </row>
    <row r="4946" spans="1:2" x14ac:dyDescent="0.35">
      <c r="A4946">
        <v>202</v>
      </c>
      <c r="B4946">
        <v>1</v>
      </c>
    </row>
    <row r="4947" spans="1:2" x14ac:dyDescent="0.35">
      <c r="A4947">
        <v>202</v>
      </c>
      <c r="B4947">
        <v>1</v>
      </c>
    </row>
    <row r="4948" spans="1:2" x14ac:dyDescent="0.35">
      <c r="A4948">
        <v>202</v>
      </c>
      <c r="B4948">
        <v>1</v>
      </c>
    </row>
    <row r="4949" spans="1:2" x14ac:dyDescent="0.35">
      <c r="A4949">
        <v>202</v>
      </c>
      <c r="B4949">
        <v>1</v>
      </c>
    </row>
    <row r="4950" spans="1:2" x14ac:dyDescent="0.35">
      <c r="A4950">
        <v>202</v>
      </c>
      <c r="B4950">
        <v>1</v>
      </c>
    </row>
    <row r="4951" spans="1:2" x14ac:dyDescent="0.35">
      <c r="A4951">
        <v>202</v>
      </c>
      <c r="B4951">
        <v>1</v>
      </c>
    </row>
    <row r="4952" spans="1:2" x14ac:dyDescent="0.35">
      <c r="A4952">
        <v>202</v>
      </c>
      <c r="B4952">
        <v>1</v>
      </c>
    </row>
    <row r="4953" spans="1:2" x14ac:dyDescent="0.35">
      <c r="A4953">
        <v>202</v>
      </c>
      <c r="B4953">
        <v>1</v>
      </c>
    </row>
    <row r="4954" spans="1:2" x14ac:dyDescent="0.35">
      <c r="A4954">
        <v>202</v>
      </c>
      <c r="B4954">
        <v>1</v>
      </c>
    </row>
    <row r="4955" spans="1:2" x14ac:dyDescent="0.35">
      <c r="A4955">
        <v>202</v>
      </c>
      <c r="B4955">
        <v>1</v>
      </c>
    </row>
    <row r="4956" spans="1:2" x14ac:dyDescent="0.35">
      <c r="A4956">
        <v>202</v>
      </c>
      <c r="B4956">
        <v>1</v>
      </c>
    </row>
    <row r="4957" spans="1:2" x14ac:dyDescent="0.35">
      <c r="A4957">
        <v>203</v>
      </c>
      <c r="B4957">
        <v>1</v>
      </c>
    </row>
    <row r="4958" spans="1:2" x14ac:dyDescent="0.35">
      <c r="A4958">
        <v>203</v>
      </c>
      <c r="B4958">
        <v>1</v>
      </c>
    </row>
    <row r="4959" spans="1:2" x14ac:dyDescent="0.35">
      <c r="A4959">
        <v>203</v>
      </c>
      <c r="B4959">
        <v>1</v>
      </c>
    </row>
    <row r="4960" spans="1:2" x14ac:dyDescent="0.35">
      <c r="A4960">
        <v>203</v>
      </c>
      <c r="B4960">
        <v>1</v>
      </c>
    </row>
    <row r="4961" spans="1:2" x14ac:dyDescent="0.35">
      <c r="A4961">
        <v>203</v>
      </c>
      <c r="B4961">
        <v>1</v>
      </c>
    </row>
    <row r="4962" spans="1:2" x14ac:dyDescent="0.35">
      <c r="A4962">
        <v>203</v>
      </c>
      <c r="B4962">
        <v>1</v>
      </c>
    </row>
    <row r="4963" spans="1:2" x14ac:dyDescent="0.35">
      <c r="A4963">
        <v>203</v>
      </c>
      <c r="B4963">
        <v>1</v>
      </c>
    </row>
    <row r="4964" spans="1:2" x14ac:dyDescent="0.35">
      <c r="A4964">
        <v>203</v>
      </c>
      <c r="B4964">
        <v>1</v>
      </c>
    </row>
    <row r="4965" spans="1:2" x14ac:dyDescent="0.35">
      <c r="A4965">
        <v>203</v>
      </c>
      <c r="B4965">
        <v>1</v>
      </c>
    </row>
    <row r="4966" spans="1:2" x14ac:dyDescent="0.35">
      <c r="A4966">
        <v>203</v>
      </c>
      <c r="B4966">
        <v>1</v>
      </c>
    </row>
    <row r="4967" spans="1:2" x14ac:dyDescent="0.35">
      <c r="A4967">
        <v>203</v>
      </c>
      <c r="B4967">
        <v>1</v>
      </c>
    </row>
    <row r="4968" spans="1:2" x14ac:dyDescent="0.35">
      <c r="A4968">
        <v>203</v>
      </c>
      <c r="B4968">
        <v>1</v>
      </c>
    </row>
    <row r="4969" spans="1:2" x14ac:dyDescent="0.35">
      <c r="A4969">
        <v>203</v>
      </c>
      <c r="B4969">
        <v>1</v>
      </c>
    </row>
    <row r="4970" spans="1:2" x14ac:dyDescent="0.35">
      <c r="A4970">
        <v>203</v>
      </c>
      <c r="B4970">
        <v>1</v>
      </c>
    </row>
    <row r="4971" spans="1:2" x14ac:dyDescent="0.35">
      <c r="A4971">
        <v>203</v>
      </c>
      <c r="B4971">
        <v>1</v>
      </c>
    </row>
    <row r="4972" spans="1:2" x14ac:dyDescent="0.35">
      <c r="A4972">
        <v>203</v>
      </c>
      <c r="B4972">
        <v>1</v>
      </c>
    </row>
    <row r="4973" spans="1:2" x14ac:dyDescent="0.35">
      <c r="A4973">
        <v>204</v>
      </c>
      <c r="B4973">
        <v>1</v>
      </c>
    </row>
    <row r="4974" spans="1:2" x14ac:dyDescent="0.35">
      <c r="A4974">
        <v>204</v>
      </c>
      <c r="B4974">
        <v>1</v>
      </c>
    </row>
    <row r="4975" spans="1:2" x14ac:dyDescent="0.35">
      <c r="A4975">
        <v>204</v>
      </c>
      <c r="B4975">
        <v>1</v>
      </c>
    </row>
    <row r="4976" spans="1:2" x14ac:dyDescent="0.35">
      <c r="A4976">
        <v>204</v>
      </c>
      <c r="B4976">
        <v>1</v>
      </c>
    </row>
    <row r="4977" spans="1:2" x14ac:dyDescent="0.35">
      <c r="A4977">
        <v>204</v>
      </c>
      <c r="B4977">
        <v>1</v>
      </c>
    </row>
    <row r="4978" spans="1:2" x14ac:dyDescent="0.35">
      <c r="A4978">
        <v>204</v>
      </c>
      <c r="B4978">
        <v>1</v>
      </c>
    </row>
    <row r="4979" spans="1:2" x14ac:dyDescent="0.35">
      <c r="A4979">
        <v>204</v>
      </c>
      <c r="B4979">
        <v>1</v>
      </c>
    </row>
    <row r="4980" spans="1:2" x14ac:dyDescent="0.35">
      <c r="A4980">
        <v>204</v>
      </c>
      <c r="B4980">
        <v>1</v>
      </c>
    </row>
    <row r="4981" spans="1:2" x14ac:dyDescent="0.35">
      <c r="A4981">
        <v>204</v>
      </c>
      <c r="B4981">
        <v>1</v>
      </c>
    </row>
    <row r="4982" spans="1:2" x14ac:dyDescent="0.35">
      <c r="A4982">
        <v>204</v>
      </c>
      <c r="B4982">
        <v>1</v>
      </c>
    </row>
    <row r="4983" spans="1:2" x14ac:dyDescent="0.35">
      <c r="A4983">
        <v>204</v>
      </c>
      <c r="B4983">
        <v>1</v>
      </c>
    </row>
    <row r="4984" spans="1:2" x14ac:dyDescent="0.35">
      <c r="A4984">
        <v>204</v>
      </c>
      <c r="B4984">
        <v>1</v>
      </c>
    </row>
    <row r="4985" spans="1:2" x14ac:dyDescent="0.35">
      <c r="A4985">
        <v>204</v>
      </c>
      <c r="B4985">
        <v>1</v>
      </c>
    </row>
    <row r="4986" spans="1:2" x14ac:dyDescent="0.35">
      <c r="A4986">
        <v>204</v>
      </c>
      <c r="B4986">
        <v>1</v>
      </c>
    </row>
    <row r="4987" spans="1:2" x14ac:dyDescent="0.35">
      <c r="A4987">
        <v>204</v>
      </c>
      <c r="B4987">
        <v>1</v>
      </c>
    </row>
    <row r="4988" spans="1:2" x14ac:dyDescent="0.35">
      <c r="A4988">
        <v>204</v>
      </c>
      <c r="B4988">
        <v>1</v>
      </c>
    </row>
    <row r="4989" spans="1:2" x14ac:dyDescent="0.35">
      <c r="A4989">
        <v>204</v>
      </c>
      <c r="B4989">
        <v>1</v>
      </c>
    </row>
    <row r="4990" spans="1:2" x14ac:dyDescent="0.35">
      <c r="A4990">
        <v>204</v>
      </c>
      <c r="B4990">
        <v>1</v>
      </c>
    </row>
    <row r="4991" spans="1:2" x14ac:dyDescent="0.35">
      <c r="A4991">
        <v>204</v>
      </c>
      <c r="B4991">
        <v>1</v>
      </c>
    </row>
    <row r="4992" spans="1:2" x14ac:dyDescent="0.35">
      <c r="A4992">
        <v>204</v>
      </c>
      <c r="B4992">
        <v>1</v>
      </c>
    </row>
    <row r="4993" spans="1:2" x14ac:dyDescent="0.35">
      <c r="A4993">
        <v>205</v>
      </c>
      <c r="B4993">
        <v>1</v>
      </c>
    </row>
    <row r="4994" spans="1:2" x14ac:dyDescent="0.35">
      <c r="A4994">
        <v>205</v>
      </c>
      <c r="B4994">
        <v>1</v>
      </c>
    </row>
    <row r="4995" spans="1:2" x14ac:dyDescent="0.35">
      <c r="A4995">
        <v>205</v>
      </c>
      <c r="B4995">
        <v>1</v>
      </c>
    </row>
    <row r="4996" spans="1:2" x14ac:dyDescent="0.35">
      <c r="A4996">
        <v>205</v>
      </c>
      <c r="B4996">
        <v>1</v>
      </c>
    </row>
    <row r="4997" spans="1:2" x14ac:dyDescent="0.35">
      <c r="A4997">
        <v>205</v>
      </c>
      <c r="B4997">
        <v>1</v>
      </c>
    </row>
    <row r="4998" spans="1:2" x14ac:dyDescent="0.35">
      <c r="A4998">
        <v>205</v>
      </c>
      <c r="B4998">
        <v>1</v>
      </c>
    </row>
    <row r="4999" spans="1:2" x14ac:dyDescent="0.35">
      <c r="A4999">
        <v>205</v>
      </c>
      <c r="B4999">
        <v>1</v>
      </c>
    </row>
    <row r="5000" spans="1:2" x14ac:dyDescent="0.35">
      <c r="A5000">
        <v>205</v>
      </c>
      <c r="B5000">
        <v>1</v>
      </c>
    </row>
    <row r="5001" spans="1:2" x14ac:dyDescent="0.35">
      <c r="A5001">
        <v>205</v>
      </c>
      <c r="B5001">
        <v>1</v>
      </c>
    </row>
    <row r="5002" spans="1:2" x14ac:dyDescent="0.35">
      <c r="A5002">
        <v>205</v>
      </c>
      <c r="B5002">
        <v>1</v>
      </c>
    </row>
    <row r="5003" spans="1:2" x14ac:dyDescent="0.35">
      <c r="A5003">
        <v>206</v>
      </c>
      <c r="B5003">
        <v>1</v>
      </c>
    </row>
    <row r="5004" spans="1:2" x14ac:dyDescent="0.35">
      <c r="A5004">
        <v>206</v>
      </c>
      <c r="B5004">
        <v>1</v>
      </c>
    </row>
    <row r="5005" spans="1:2" x14ac:dyDescent="0.35">
      <c r="A5005">
        <v>206</v>
      </c>
      <c r="B5005">
        <v>1</v>
      </c>
    </row>
    <row r="5006" spans="1:2" x14ac:dyDescent="0.35">
      <c r="A5006">
        <v>206</v>
      </c>
      <c r="B5006">
        <v>1</v>
      </c>
    </row>
    <row r="5007" spans="1:2" x14ac:dyDescent="0.35">
      <c r="A5007">
        <v>206</v>
      </c>
      <c r="B5007">
        <v>1</v>
      </c>
    </row>
    <row r="5008" spans="1:2" x14ac:dyDescent="0.35">
      <c r="A5008">
        <v>206</v>
      </c>
      <c r="B5008">
        <v>1</v>
      </c>
    </row>
    <row r="5009" spans="1:2" x14ac:dyDescent="0.35">
      <c r="A5009">
        <v>206</v>
      </c>
      <c r="B5009">
        <v>1</v>
      </c>
    </row>
    <row r="5010" spans="1:2" x14ac:dyDescent="0.35">
      <c r="A5010">
        <v>206</v>
      </c>
      <c r="B5010">
        <v>1</v>
      </c>
    </row>
    <row r="5011" spans="1:2" x14ac:dyDescent="0.35">
      <c r="A5011">
        <v>206</v>
      </c>
      <c r="B5011">
        <v>1</v>
      </c>
    </row>
    <row r="5012" spans="1:2" x14ac:dyDescent="0.35">
      <c r="A5012">
        <v>206</v>
      </c>
      <c r="B5012">
        <v>1</v>
      </c>
    </row>
    <row r="5013" spans="1:2" x14ac:dyDescent="0.35">
      <c r="A5013">
        <v>206</v>
      </c>
      <c r="B5013">
        <v>1</v>
      </c>
    </row>
    <row r="5014" spans="1:2" x14ac:dyDescent="0.35">
      <c r="A5014">
        <v>206</v>
      </c>
      <c r="B5014">
        <v>1</v>
      </c>
    </row>
    <row r="5015" spans="1:2" x14ac:dyDescent="0.35">
      <c r="A5015">
        <v>207</v>
      </c>
      <c r="B5015">
        <v>1</v>
      </c>
    </row>
    <row r="5016" spans="1:2" x14ac:dyDescent="0.35">
      <c r="A5016">
        <v>207</v>
      </c>
      <c r="B5016">
        <v>1</v>
      </c>
    </row>
    <row r="5017" spans="1:2" x14ac:dyDescent="0.35">
      <c r="A5017">
        <v>207</v>
      </c>
      <c r="B5017">
        <v>1</v>
      </c>
    </row>
    <row r="5018" spans="1:2" x14ac:dyDescent="0.35">
      <c r="A5018">
        <v>207</v>
      </c>
      <c r="B5018">
        <v>1</v>
      </c>
    </row>
    <row r="5019" spans="1:2" x14ac:dyDescent="0.35">
      <c r="A5019">
        <v>207</v>
      </c>
      <c r="B5019">
        <v>1</v>
      </c>
    </row>
    <row r="5020" spans="1:2" x14ac:dyDescent="0.35">
      <c r="A5020">
        <v>207</v>
      </c>
      <c r="B5020">
        <v>1</v>
      </c>
    </row>
    <row r="5021" spans="1:2" x14ac:dyDescent="0.35">
      <c r="A5021">
        <v>207</v>
      </c>
      <c r="B5021">
        <v>1</v>
      </c>
    </row>
    <row r="5022" spans="1:2" x14ac:dyDescent="0.35">
      <c r="A5022">
        <v>207</v>
      </c>
      <c r="B5022">
        <v>1</v>
      </c>
    </row>
    <row r="5023" spans="1:2" x14ac:dyDescent="0.35">
      <c r="A5023">
        <v>207</v>
      </c>
      <c r="B5023">
        <v>1</v>
      </c>
    </row>
    <row r="5024" spans="1:2" x14ac:dyDescent="0.35">
      <c r="A5024">
        <v>207</v>
      </c>
      <c r="B5024">
        <v>1</v>
      </c>
    </row>
    <row r="5025" spans="1:2" x14ac:dyDescent="0.35">
      <c r="A5025">
        <v>207</v>
      </c>
      <c r="B5025">
        <v>1</v>
      </c>
    </row>
    <row r="5026" spans="1:2" x14ac:dyDescent="0.35">
      <c r="A5026">
        <v>207</v>
      </c>
      <c r="B5026">
        <v>1</v>
      </c>
    </row>
    <row r="5027" spans="1:2" x14ac:dyDescent="0.35">
      <c r="A5027">
        <v>207</v>
      </c>
      <c r="B5027">
        <v>1</v>
      </c>
    </row>
    <row r="5028" spans="1:2" x14ac:dyDescent="0.35">
      <c r="A5028">
        <v>207</v>
      </c>
      <c r="B5028">
        <v>1</v>
      </c>
    </row>
    <row r="5029" spans="1:2" x14ac:dyDescent="0.35">
      <c r="A5029">
        <v>207</v>
      </c>
      <c r="B5029">
        <v>1</v>
      </c>
    </row>
    <row r="5030" spans="1:2" x14ac:dyDescent="0.35">
      <c r="A5030">
        <v>207</v>
      </c>
      <c r="B5030">
        <v>1</v>
      </c>
    </row>
    <row r="5031" spans="1:2" x14ac:dyDescent="0.35">
      <c r="A5031">
        <v>208</v>
      </c>
      <c r="B5031">
        <v>1</v>
      </c>
    </row>
    <row r="5032" spans="1:2" x14ac:dyDescent="0.35">
      <c r="A5032">
        <v>208</v>
      </c>
      <c r="B5032">
        <v>1</v>
      </c>
    </row>
    <row r="5033" spans="1:2" x14ac:dyDescent="0.35">
      <c r="A5033">
        <v>208</v>
      </c>
      <c r="B5033">
        <v>1</v>
      </c>
    </row>
    <row r="5034" spans="1:2" x14ac:dyDescent="0.35">
      <c r="A5034">
        <v>208</v>
      </c>
      <c r="B5034">
        <v>1</v>
      </c>
    </row>
    <row r="5035" spans="1:2" x14ac:dyDescent="0.35">
      <c r="A5035">
        <v>208</v>
      </c>
      <c r="B5035">
        <v>1</v>
      </c>
    </row>
    <row r="5036" spans="1:2" x14ac:dyDescent="0.35">
      <c r="A5036">
        <v>208</v>
      </c>
      <c r="B5036">
        <v>1</v>
      </c>
    </row>
    <row r="5037" spans="1:2" x14ac:dyDescent="0.35">
      <c r="A5037">
        <v>208</v>
      </c>
      <c r="B5037">
        <v>1</v>
      </c>
    </row>
    <row r="5038" spans="1:2" x14ac:dyDescent="0.35">
      <c r="A5038">
        <v>208</v>
      </c>
      <c r="B5038">
        <v>1</v>
      </c>
    </row>
    <row r="5039" spans="1:2" x14ac:dyDescent="0.35">
      <c r="A5039">
        <v>208</v>
      </c>
      <c r="B5039">
        <v>1</v>
      </c>
    </row>
    <row r="5040" spans="1:2" x14ac:dyDescent="0.35">
      <c r="A5040">
        <v>208</v>
      </c>
      <c r="B5040">
        <v>1</v>
      </c>
    </row>
    <row r="5041" spans="1:2" x14ac:dyDescent="0.35">
      <c r="A5041">
        <v>208</v>
      </c>
      <c r="B5041">
        <v>1</v>
      </c>
    </row>
    <row r="5042" spans="1:2" x14ac:dyDescent="0.35">
      <c r="A5042">
        <v>208</v>
      </c>
      <c r="B5042">
        <v>1</v>
      </c>
    </row>
    <row r="5043" spans="1:2" x14ac:dyDescent="0.35">
      <c r="A5043">
        <v>208</v>
      </c>
      <c r="B5043">
        <v>1</v>
      </c>
    </row>
    <row r="5044" spans="1:2" x14ac:dyDescent="0.35">
      <c r="A5044">
        <v>208</v>
      </c>
      <c r="B5044">
        <v>1</v>
      </c>
    </row>
    <row r="5045" spans="1:2" x14ac:dyDescent="0.35">
      <c r="A5045">
        <v>209</v>
      </c>
      <c r="B5045">
        <v>1</v>
      </c>
    </row>
    <row r="5046" spans="1:2" x14ac:dyDescent="0.35">
      <c r="A5046">
        <v>209</v>
      </c>
      <c r="B5046">
        <v>1</v>
      </c>
    </row>
    <row r="5047" spans="1:2" x14ac:dyDescent="0.35">
      <c r="A5047">
        <v>209</v>
      </c>
      <c r="B5047">
        <v>1</v>
      </c>
    </row>
    <row r="5048" spans="1:2" x14ac:dyDescent="0.35">
      <c r="A5048">
        <v>209</v>
      </c>
      <c r="B5048">
        <v>1</v>
      </c>
    </row>
    <row r="5049" spans="1:2" x14ac:dyDescent="0.35">
      <c r="A5049">
        <v>209</v>
      </c>
      <c r="B5049">
        <v>1</v>
      </c>
    </row>
    <row r="5050" spans="1:2" x14ac:dyDescent="0.35">
      <c r="A5050">
        <v>209</v>
      </c>
      <c r="B5050">
        <v>1</v>
      </c>
    </row>
    <row r="5051" spans="1:2" x14ac:dyDescent="0.35">
      <c r="A5051">
        <v>209</v>
      </c>
      <c r="B5051">
        <v>1</v>
      </c>
    </row>
    <row r="5052" spans="1:2" x14ac:dyDescent="0.35">
      <c r="A5052">
        <v>209</v>
      </c>
      <c r="B5052">
        <v>1</v>
      </c>
    </row>
    <row r="5053" spans="1:2" x14ac:dyDescent="0.35">
      <c r="A5053">
        <v>209</v>
      </c>
      <c r="B5053">
        <v>1</v>
      </c>
    </row>
    <row r="5054" spans="1:2" x14ac:dyDescent="0.35">
      <c r="A5054">
        <v>209</v>
      </c>
      <c r="B5054">
        <v>1</v>
      </c>
    </row>
    <row r="5055" spans="1:2" x14ac:dyDescent="0.35">
      <c r="A5055">
        <v>209</v>
      </c>
      <c r="B5055">
        <v>1</v>
      </c>
    </row>
    <row r="5056" spans="1:2" x14ac:dyDescent="0.35">
      <c r="A5056">
        <v>209</v>
      </c>
      <c r="B5056">
        <v>1</v>
      </c>
    </row>
    <row r="5057" spans="1:2" x14ac:dyDescent="0.35">
      <c r="A5057">
        <v>209</v>
      </c>
      <c r="B5057">
        <v>1</v>
      </c>
    </row>
    <row r="5058" spans="1:2" x14ac:dyDescent="0.35">
      <c r="A5058">
        <v>209</v>
      </c>
      <c r="B5058">
        <v>1</v>
      </c>
    </row>
    <row r="5059" spans="1:2" x14ac:dyDescent="0.35">
      <c r="A5059">
        <v>209</v>
      </c>
      <c r="B5059">
        <v>1</v>
      </c>
    </row>
    <row r="5060" spans="1:2" x14ac:dyDescent="0.35">
      <c r="A5060">
        <v>210</v>
      </c>
      <c r="B5060">
        <v>1</v>
      </c>
    </row>
    <row r="5061" spans="1:2" x14ac:dyDescent="0.35">
      <c r="A5061">
        <v>210</v>
      </c>
      <c r="B5061">
        <v>1</v>
      </c>
    </row>
    <row r="5062" spans="1:2" x14ac:dyDescent="0.35">
      <c r="A5062">
        <v>210</v>
      </c>
      <c r="B5062">
        <v>1</v>
      </c>
    </row>
    <row r="5063" spans="1:2" x14ac:dyDescent="0.35">
      <c r="A5063">
        <v>210</v>
      </c>
      <c r="B5063">
        <v>1</v>
      </c>
    </row>
    <row r="5064" spans="1:2" x14ac:dyDescent="0.35">
      <c r="A5064">
        <v>210</v>
      </c>
      <c r="B5064">
        <v>1</v>
      </c>
    </row>
    <row r="5065" spans="1:2" x14ac:dyDescent="0.35">
      <c r="A5065">
        <v>210</v>
      </c>
      <c r="B5065">
        <v>1</v>
      </c>
    </row>
    <row r="5066" spans="1:2" x14ac:dyDescent="0.35">
      <c r="A5066">
        <v>210</v>
      </c>
      <c r="B5066">
        <v>1</v>
      </c>
    </row>
    <row r="5067" spans="1:2" x14ac:dyDescent="0.35">
      <c r="A5067">
        <v>210</v>
      </c>
      <c r="B5067">
        <v>1</v>
      </c>
    </row>
    <row r="5068" spans="1:2" x14ac:dyDescent="0.35">
      <c r="A5068">
        <v>210</v>
      </c>
      <c r="B5068">
        <v>1</v>
      </c>
    </row>
    <row r="5069" spans="1:2" x14ac:dyDescent="0.35">
      <c r="A5069">
        <v>210</v>
      </c>
      <c r="B5069">
        <v>1</v>
      </c>
    </row>
    <row r="5070" spans="1:2" x14ac:dyDescent="0.35">
      <c r="A5070">
        <v>210</v>
      </c>
      <c r="B5070">
        <v>1</v>
      </c>
    </row>
    <row r="5071" spans="1:2" x14ac:dyDescent="0.35">
      <c r="A5071">
        <v>210</v>
      </c>
      <c r="B5071">
        <v>1</v>
      </c>
    </row>
    <row r="5072" spans="1:2" x14ac:dyDescent="0.35">
      <c r="A5072">
        <v>211</v>
      </c>
      <c r="B5072">
        <v>1</v>
      </c>
    </row>
    <row r="5073" spans="1:2" x14ac:dyDescent="0.35">
      <c r="A5073">
        <v>211</v>
      </c>
      <c r="B5073">
        <v>1</v>
      </c>
    </row>
    <row r="5074" spans="1:2" x14ac:dyDescent="0.35">
      <c r="A5074">
        <v>211</v>
      </c>
      <c r="B5074">
        <v>1</v>
      </c>
    </row>
    <row r="5075" spans="1:2" x14ac:dyDescent="0.35">
      <c r="A5075">
        <v>211</v>
      </c>
      <c r="B5075">
        <v>1</v>
      </c>
    </row>
    <row r="5076" spans="1:2" x14ac:dyDescent="0.35">
      <c r="A5076">
        <v>211</v>
      </c>
      <c r="B5076">
        <v>1</v>
      </c>
    </row>
    <row r="5077" spans="1:2" x14ac:dyDescent="0.35">
      <c r="A5077">
        <v>211</v>
      </c>
      <c r="B5077">
        <v>1</v>
      </c>
    </row>
    <row r="5078" spans="1:2" x14ac:dyDescent="0.35">
      <c r="A5078">
        <v>211</v>
      </c>
      <c r="B5078">
        <v>1</v>
      </c>
    </row>
    <row r="5079" spans="1:2" x14ac:dyDescent="0.35">
      <c r="A5079">
        <v>211</v>
      </c>
      <c r="B5079">
        <v>1</v>
      </c>
    </row>
    <row r="5080" spans="1:2" x14ac:dyDescent="0.35">
      <c r="A5080">
        <v>211</v>
      </c>
      <c r="B5080">
        <v>1</v>
      </c>
    </row>
    <row r="5081" spans="1:2" x14ac:dyDescent="0.35">
      <c r="A5081">
        <v>211</v>
      </c>
      <c r="B5081">
        <v>1</v>
      </c>
    </row>
    <row r="5082" spans="1:2" x14ac:dyDescent="0.35">
      <c r="A5082">
        <v>211</v>
      </c>
      <c r="B5082">
        <v>1</v>
      </c>
    </row>
    <row r="5083" spans="1:2" x14ac:dyDescent="0.35">
      <c r="A5083">
        <v>211</v>
      </c>
      <c r="B5083">
        <v>1</v>
      </c>
    </row>
    <row r="5084" spans="1:2" x14ac:dyDescent="0.35">
      <c r="A5084">
        <v>212</v>
      </c>
      <c r="B5084">
        <v>1</v>
      </c>
    </row>
    <row r="5085" spans="1:2" x14ac:dyDescent="0.35">
      <c r="A5085">
        <v>212</v>
      </c>
      <c r="B5085">
        <v>1</v>
      </c>
    </row>
    <row r="5086" spans="1:2" x14ac:dyDescent="0.35">
      <c r="A5086">
        <v>212</v>
      </c>
      <c r="B5086">
        <v>1</v>
      </c>
    </row>
    <row r="5087" spans="1:2" x14ac:dyDescent="0.35">
      <c r="A5087">
        <v>212</v>
      </c>
      <c r="B5087">
        <v>1</v>
      </c>
    </row>
    <row r="5088" spans="1:2" x14ac:dyDescent="0.35">
      <c r="A5088">
        <v>212</v>
      </c>
      <c r="B5088">
        <v>1</v>
      </c>
    </row>
    <row r="5089" spans="1:2" x14ac:dyDescent="0.35">
      <c r="A5089">
        <v>212</v>
      </c>
      <c r="B5089">
        <v>1</v>
      </c>
    </row>
    <row r="5090" spans="1:2" x14ac:dyDescent="0.35">
      <c r="A5090">
        <v>212</v>
      </c>
      <c r="B5090">
        <v>1</v>
      </c>
    </row>
    <row r="5091" spans="1:2" x14ac:dyDescent="0.35">
      <c r="A5091">
        <v>212</v>
      </c>
      <c r="B5091">
        <v>1</v>
      </c>
    </row>
    <row r="5092" spans="1:2" x14ac:dyDescent="0.35">
      <c r="A5092">
        <v>212</v>
      </c>
      <c r="B5092">
        <v>1</v>
      </c>
    </row>
    <row r="5093" spans="1:2" x14ac:dyDescent="0.35">
      <c r="A5093">
        <v>212</v>
      </c>
      <c r="B5093">
        <v>1</v>
      </c>
    </row>
    <row r="5094" spans="1:2" x14ac:dyDescent="0.35">
      <c r="A5094">
        <v>212</v>
      </c>
      <c r="B5094">
        <v>1</v>
      </c>
    </row>
    <row r="5095" spans="1:2" x14ac:dyDescent="0.35">
      <c r="A5095">
        <v>212</v>
      </c>
      <c r="B5095">
        <v>1</v>
      </c>
    </row>
    <row r="5096" spans="1:2" x14ac:dyDescent="0.35">
      <c r="A5096">
        <v>212</v>
      </c>
      <c r="B5096">
        <v>1</v>
      </c>
    </row>
    <row r="5097" spans="1:2" x14ac:dyDescent="0.35">
      <c r="A5097">
        <v>212</v>
      </c>
      <c r="B5097">
        <v>1</v>
      </c>
    </row>
    <row r="5098" spans="1:2" x14ac:dyDescent="0.35">
      <c r="A5098">
        <v>212</v>
      </c>
      <c r="B5098">
        <v>1</v>
      </c>
    </row>
    <row r="5099" spans="1:2" x14ac:dyDescent="0.35">
      <c r="A5099">
        <v>213</v>
      </c>
      <c r="B5099">
        <v>1</v>
      </c>
    </row>
    <row r="5100" spans="1:2" x14ac:dyDescent="0.35">
      <c r="A5100">
        <v>213</v>
      </c>
      <c r="B5100">
        <v>1</v>
      </c>
    </row>
    <row r="5101" spans="1:2" x14ac:dyDescent="0.35">
      <c r="A5101">
        <v>213</v>
      </c>
      <c r="B5101">
        <v>1</v>
      </c>
    </row>
    <row r="5102" spans="1:2" x14ac:dyDescent="0.35">
      <c r="A5102">
        <v>213</v>
      </c>
      <c r="B5102">
        <v>1</v>
      </c>
    </row>
    <row r="5103" spans="1:2" x14ac:dyDescent="0.35">
      <c r="A5103">
        <v>213</v>
      </c>
      <c r="B5103">
        <v>1</v>
      </c>
    </row>
    <row r="5104" spans="1:2" x14ac:dyDescent="0.35">
      <c r="A5104">
        <v>213</v>
      </c>
      <c r="B5104">
        <v>1</v>
      </c>
    </row>
    <row r="5105" spans="1:2" x14ac:dyDescent="0.35">
      <c r="A5105">
        <v>213</v>
      </c>
      <c r="B5105">
        <v>1</v>
      </c>
    </row>
    <row r="5106" spans="1:2" x14ac:dyDescent="0.35">
      <c r="A5106">
        <v>213</v>
      </c>
      <c r="B5106">
        <v>1</v>
      </c>
    </row>
    <row r="5107" spans="1:2" x14ac:dyDescent="0.35">
      <c r="A5107">
        <v>213</v>
      </c>
      <c r="B5107">
        <v>1</v>
      </c>
    </row>
    <row r="5108" spans="1:2" x14ac:dyDescent="0.35">
      <c r="A5108">
        <v>213</v>
      </c>
      <c r="B5108">
        <v>1</v>
      </c>
    </row>
    <row r="5109" spans="1:2" x14ac:dyDescent="0.35">
      <c r="A5109">
        <v>213</v>
      </c>
      <c r="B5109">
        <v>1</v>
      </c>
    </row>
    <row r="5110" spans="1:2" x14ac:dyDescent="0.35">
      <c r="A5110">
        <v>213</v>
      </c>
      <c r="B5110">
        <v>1</v>
      </c>
    </row>
    <row r="5111" spans="1:2" x14ac:dyDescent="0.35">
      <c r="A5111">
        <v>213</v>
      </c>
      <c r="B5111">
        <v>1</v>
      </c>
    </row>
    <row r="5112" spans="1:2" x14ac:dyDescent="0.35">
      <c r="A5112">
        <v>213</v>
      </c>
      <c r="B5112">
        <v>1</v>
      </c>
    </row>
    <row r="5113" spans="1:2" x14ac:dyDescent="0.35">
      <c r="A5113">
        <v>213</v>
      </c>
      <c r="B5113">
        <v>1</v>
      </c>
    </row>
    <row r="5114" spans="1:2" x14ac:dyDescent="0.35">
      <c r="A5114">
        <v>213</v>
      </c>
      <c r="B5114">
        <v>1</v>
      </c>
    </row>
    <row r="5115" spans="1:2" x14ac:dyDescent="0.35">
      <c r="A5115">
        <v>213</v>
      </c>
      <c r="B5115">
        <v>1</v>
      </c>
    </row>
    <row r="5116" spans="1:2" x14ac:dyDescent="0.35">
      <c r="A5116">
        <v>213</v>
      </c>
      <c r="B5116">
        <v>1</v>
      </c>
    </row>
    <row r="5117" spans="1:2" x14ac:dyDescent="0.35">
      <c r="A5117">
        <v>213</v>
      </c>
      <c r="B5117">
        <v>1</v>
      </c>
    </row>
    <row r="5118" spans="1:2" x14ac:dyDescent="0.35">
      <c r="A5118">
        <v>213</v>
      </c>
      <c r="B5118">
        <v>1</v>
      </c>
    </row>
    <row r="5119" spans="1:2" x14ac:dyDescent="0.35">
      <c r="A5119">
        <v>213</v>
      </c>
      <c r="B5119">
        <v>1</v>
      </c>
    </row>
    <row r="5120" spans="1:2" x14ac:dyDescent="0.35">
      <c r="A5120">
        <v>214</v>
      </c>
      <c r="B5120">
        <v>1</v>
      </c>
    </row>
    <row r="5121" spans="1:2" x14ac:dyDescent="0.35">
      <c r="A5121">
        <v>214</v>
      </c>
      <c r="B5121">
        <v>1</v>
      </c>
    </row>
    <row r="5122" spans="1:2" x14ac:dyDescent="0.35">
      <c r="A5122">
        <v>214</v>
      </c>
      <c r="B5122">
        <v>1</v>
      </c>
    </row>
    <row r="5123" spans="1:2" x14ac:dyDescent="0.35">
      <c r="A5123">
        <v>214</v>
      </c>
      <c r="B5123">
        <v>1</v>
      </c>
    </row>
    <row r="5124" spans="1:2" x14ac:dyDescent="0.35">
      <c r="A5124">
        <v>214</v>
      </c>
      <c r="B5124">
        <v>1</v>
      </c>
    </row>
    <row r="5125" spans="1:2" x14ac:dyDescent="0.35">
      <c r="A5125">
        <v>214</v>
      </c>
      <c r="B5125">
        <v>1</v>
      </c>
    </row>
    <row r="5126" spans="1:2" x14ac:dyDescent="0.35">
      <c r="A5126">
        <v>215</v>
      </c>
      <c r="B5126">
        <v>1</v>
      </c>
    </row>
    <row r="5127" spans="1:2" x14ac:dyDescent="0.35">
      <c r="A5127">
        <v>215</v>
      </c>
      <c r="B5127">
        <v>1</v>
      </c>
    </row>
    <row r="5128" spans="1:2" x14ac:dyDescent="0.35">
      <c r="A5128">
        <v>215</v>
      </c>
      <c r="B5128">
        <v>1</v>
      </c>
    </row>
    <row r="5129" spans="1:2" x14ac:dyDescent="0.35">
      <c r="A5129">
        <v>215</v>
      </c>
      <c r="B5129">
        <v>1</v>
      </c>
    </row>
    <row r="5130" spans="1:2" x14ac:dyDescent="0.35">
      <c r="A5130">
        <v>215</v>
      </c>
      <c r="B5130">
        <v>1</v>
      </c>
    </row>
    <row r="5131" spans="1:2" x14ac:dyDescent="0.35">
      <c r="A5131">
        <v>215</v>
      </c>
      <c r="B5131">
        <v>1</v>
      </c>
    </row>
    <row r="5132" spans="1:2" x14ac:dyDescent="0.35">
      <c r="A5132">
        <v>215</v>
      </c>
      <c r="B5132">
        <v>1</v>
      </c>
    </row>
    <row r="5133" spans="1:2" x14ac:dyDescent="0.35">
      <c r="A5133">
        <v>215</v>
      </c>
      <c r="B5133">
        <v>1</v>
      </c>
    </row>
    <row r="5134" spans="1:2" x14ac:dyDescent="0.35">
      <c r="A5134">
        <v>215</v>
      </c>
      <c r="B5134">
        <v>1</v>
      </c>
    </row>
    <row r="5135" spans="1:2" x14ac:dyDescent="0.35">
      <c r="A5135">
        <v>215</v>
      </c>
      <c r="B5135">
        <v>1</v>
      </c>
    </row>
    <row r="5136" spans="1:2" x14ac:dyDescent="0.35">
      <c r="A5136">
        <v>215</v>
      </c>
      <c r="B5136">
        <v>1</v>
      </c>
    </row>
    <row r="5137" spans="1:2" x14ac:dyDescent="0.35">
      <c r="A5137">
        <v>215</v>
      </c>
      <c r="B5137">
        <v>1</v>
      </c>
    </row>
    <row r="5138" spans="1:2" x14ac:dyDescent="0.35">
      <c r="A5138">
        <v>215</v>
      </c>
      <c r="B5138">
        <v>1</v>
      </c>
    </row>
    <row r="5139" spans="1:2" x14ac:dyDescent="0.35">
      <c r="A5139">
        <v>215</v>
      </c>
      <c r="B5139">
        <v>1</v>
      </c>
    </row>
    <row r="5140" spans="1:2" x14ac:dyDescent="0.35">
      <c r="A5140">
        <v>215</v>
      </c>
      <c r="B5140">
        <v>1</v>
      </c>
    </row>
    <row r="5141" spans="1:2" x14ac:dyDescent="0.35">
      <c r="A5141">
        <v>215</v>
      </c>
      <c r="B5141">
        <v>1</v>
      </c>
    </row>
    <row r="5142" spans="1:2" x14ac:dyDescent="0.35">
      <c r="A5142">
        <v>215</v>
      </c>
      <c r="B5142">
        <v>1</v>
      </c>
    </row>
    <row r="5143" spans="1:2" x14ac:dyDescent="0.35">
      <c r="A5143">
        <v>216</v>
      </c>
      <c r="B5143">
        <v>1</v>
      </c>
    </row>
    <row r="5144" spans="1:2" x14ac:dyDescent="0.35">
      <c r="A5144">
        <v>216</v>
      </c>
      <c r="B5144">
        <v>1</v>
      </c>
    </row>
    <row r="5145" spans="1:2" x14ac:dyDescent="0.35">
      <c r="A5145">
        <v>216</v>
      </c>
      <c r="B5145">
        <v>1</v>
      </c>
    </row>
    <row r="5146" spans="1:2" x14ac:dyDescent="0.35">
      <c r="A5146">
        <v>216</v>
      </c>
      <c r="B5146">
        <v>1</v>
      </c>
    </row>
    <row r="5147" spans="1:2" x14ac:dyDescent="0.35">
      <c r="A5147">
        <v>216</v>
      </c>
      <c r="B5147">
        <v>1</v>
      </c>
    </row>
    <row r="5148" spans="1:2" x14ac:dyDescent="0.35">
      <c r="A5148">
        <v>216</v>
      </c>
      <c r="B5148">
        <v>1</v>
      </c>
    </row>
    <row r="5149" spans="1:2" x14ac:dyDescent="0.35">
      <c r="A5149">
        <v>216</v>
      </c>
      <c r="B5149">
        <v>1</v>
      </c>
    </row>
    <row r="5150" spans="1:2" x14ac:dyDescent="0.35">
      <c r="A5150">
        <v>216</v>
      </c>
      <c r="B5150">
        <v>1</v>
      </c>
    </row>
    <row r="5151" spans="1:2" x14ac:dyDescent="0.35">
      <c r="A5151">
        <v>216</v>
      </c>
      <c r="B5151">
        <v>1</v>
      </c>
    </row>
    <row r="5152" spans="1:2" x14ac:dyDescent="0.35">
      <c r="A5152">
        <v>216</v>
      </c>
      <c r="B5152">
        <v>1</v>
      </c>
    </row>
    <row r="5153" spans="1:2" x14ac:dyDescent="0.35">
      <c r="A5153">
        <v>216</v>
      </c>
      <c r="B5153">
        <v>1</v>
      </c>
    </row>
    <row r="5154" spans="1:2" x14ac:dyDescent="0.35">
      <c r="A5154">
        <v>216</v>
      </c>
      <c r="B5154">
        <v>1</v>
      </c>
    </row>
    <row r="5155" spans="1:2" x14ac:dyDescent="0.35">
      <c r="A5155">
        <v>216</v>
      </c>
      <c r="B5155">
        <v>1</v>
      </c>
    </row>
    <row r="5156" spans="1:2" x14ac:dyDescent="0.35">
      <c r="A5156">
        <v>216</v>
      </c>
      <c r="B5156">
        <v>1</v>
      </c>
    </row>
    <row r="5157" spans="1:2" x14ac:dyDescent="0.35">
      <c r="A5157">
        <v>216</v>
      </c>
      <c r="B5157">
        <v>1</v>
      </c>
    </row>
    <row r="5158" spans="1:2" x14ac:dyDescent="0.35">
      <c r="A5158">
        <v>216</v>
      </c>
      <c r="B5158">
        <v>1</v>
      </c>
    </row>
    <row r="5159" spans="1:2" x14ac:dyDescent="0.35">
      <c r="A5159">
        <v>216</v>
      </c>
      <c r="B5159">
        <v>1</v>
      </c>
    </row>
    <row r="5160" spans="1:2" x14ac:dyDescent="0.35">
      <c r="A5160">
        <v>216</v>
      </c>
      <c r="B5160">
        <v>1</v>
      </c>
    </row>
    <row r="5161" spans="1:2" x14ac:dyDescent="0.35">
      <c r="A5161">
        <v>217</v>
      </c>
      <c r="B5161">
        <v>1</v>
      </c>
    </row>
    <row r="5162" spans="1:2" x14ac:dyDescent="0.35">
      <c r="A5162">
        <v>217</v>
      </c>
      <c r="B5162">
        <v>1</v>
      </c>
    </row>
    <row r="5163" spans="1:2" x14ac:dyDescent="0.35">
      <c r="A5163">
        <v>217</v>
      </c>
      <c r="B5163">
        <v>1</v>
      </c>
    </row>
    <row r="5164" spans="1:2" x14ac:dyDescent="0.35">
      <c r="A5164">
        <v>217</v>
      </c>
      <c r="B5164">
        <v>1</v>
      </c>
    </row>
    <row r="5165" spans="1:2" x14ac:dyDescent="0.35">
      <c r="A5165">
        <v>217</v>
      </c>
      <c r="B5165">
        <v>1</v>
      </c>
    </row>
    <row r="5166" spans="1:2" x14ac:dyDescent="0.35">
      <c r="A5166">
        <v>217</v>
      </c>
      <c r="B5166">
        <v>1</v>
      </c>
    </row>
    <row r="5167" spans="1:2" x14ac:dyDescent="0.35">
      <c r="A5167">
        <v>217</v>
      </c>
      <c r="B5167">
        <v>1</v>
      </c>
    </row>
    <row r="5168" spans="1:2" x14ac:dyDescent="0.35">
      <c r="A5168">
        <v>217</v>
      </c>
      <c r="B5168">
        <v>1</v>
      </c>
    </row>
    <row r="5169" spans="1:2" x14ac:dyDescent="0.35">
      <c r="A5169">
        <v>217</v>
      </c>
      <c r="B5169">
        <v>1</v>
      </c>
    </row>
    <row r="5170" spans="1:2" x14ac:dyDescent="0.35">
      <c r="A5170">
        <v>217</v>
      </c>
      <c r="B5170">
        <v>1</v>
      </c>
    </row>
    <row r="5171" spans="1:2" x14ac:dyDescent="0.35">
      <c r="A5171">
        <v>217</v>
      </c>
      <c r="B5171">
        <v>1</v>
      </c>
    </row>
    <row r="5172" spans="1:2" x14ac:dyDescent="0.35">
      <c r="A5172">
        <v>217</v>
      </c>
      <c r="B5172">
        <v>1</v>
      </c>
    </row>
    <row r="5173" spans="1:2" x14ac:dyDescent="0.35">
      <c r="A5173">
        <v>217</v>
      </c>
      <c r="B5173">
        <v>1</v>
      </c>
    </row>
    <row r="5174" spans="1:2" x14ac:dyDescent="0.35">
      <c r="A5174">
        <v>217</v>
      </c>
      <c r="B5174">
        <v>1</v>
      </c>
    </row>
    <row r="5175" spans="1:2" x14ac:dyDescent="0.35">
      <c r="A5175">
        <v>218</v>
      </c>
      <c r="B5175">
        <v>1</v>
      </c>
    </row>
    <row r="5176" spans="1:2" x14ac:dyDescent="0.35">
      <c r="A5176">
        <v>218</v>
      </c>
      <c r="B5176">
        <v>1</v>
      </c>
    </row>
    <row r="5177" spans="1:2" x14ac:dyDescent="0.35">
      <c r="A5177">
        <v>218</v>
      </c>
      <c r="B5177">
        <v>1</v>
      </c>
    </row>
    <row r="5178" spans="1:2" x14ac:dyDescent="0.35">
      <c r="A5178">
        <v>218</v>
      </c>
      <c r="B5178">
        <v>1</v>
      </c>
    </row>
    <row r="5179" spans="1:2" x14ac:dyDescent="0.35">
      <c r="A5179">
        <v>218</v>
      </c>
      <c r="B5179">
        <v>1</v>
      </c>
    </row>
    <row r="5180" spans="1:2" x14ac:dyDescent="0.35">
      <c r="A5180">
        <v>218</v>
      </c>
      <c r="B5180">
        <v>1</v>
      </c>
    </row>
    <row r="5181" spans="1:2" x14ac:dyDescent="0.35">
      <c r="A5181">
        <v>218</v>
      </c>
      <c r="B5181">
        <v>1</v>
      </c>
    </row>
    <row r="5182" spans="1:2" x14ac:dyDescent="0.35">
      <c r="A5182">
        <v>218</v>
      </c>
      <c r="B5182">
        <v>1</v>
      </c>
    </row>
    <row r="5183" spans="1:2" x14ac:dyDescent="0.35">
      <c r="A5183">
        <v>218</v>
      </c>
      <c r="B5183">
        <v>1</v>
      </c>
    </row>
    <row r="5184" spans="1:2" x14ac:dyDescent="0.35">
      <c r="A5184">
        <v>218</v>
      </c>
      <c r="B5184">
        <v>1</v>
      </c>
    </row>
    <row r="5185" spans="1:2" x14ac:dyDescent="0.35">
      <c r="A5185">
        <v>218</v>
      </c>
      <c r="B5185">
        <v>1</v>
      </c>
    </row>
    <row r="5186" spans="1:2" x14ac:dyDescent="0.35">
      <c r="A5186">
        <v>218</v>
      </c>
      <c r="B5186">
        <v>1</v>
      </c>
    </row>
    <row r="5187" spans="1:2" x14ac:dyDescent="0.35">
      <c r="A5187">
        <v>218</v>
      </c>
      <c r="B5187">
        <v>1</v>
      </c>
    </row>
    <row r="5188" spans="1:2" x14ac:dyDescent="0.35">
      <c r="A5188">
        <v>219</v>
      </c>
      <c r="B5188">
        <v>1</v>
      </c>
    </row>
    <row r="5189" spans="1:2" x14ac:dyDescent="0.35">
      <c r="A5189">
        <v>219</v>
      </c>
      <c r="B5189">
        <v>1</v>
      </c>
    </row>
    <row r="5190" spans="1:2" x14ac:dyDescent="0.35">
      <c r="A5190">
        <v>219</v>
      </c>
      <c r="B5190">
        <v>1</v>
      </c>
    </row>
    <row r="5191" spans="1:2" x14ac:dyDescent="0.35">
      <c r="A5191">
        <v>219</v>
      </c>
      <c r="B5191">
        <v>1</v>
      </c>
    </row>
    <row r="5192" spans="1:2" x14ac:dyDescent="0.35">
      <c r="A5192">
        <v>219</v>
      </c>
      <c r="B5192">
        <v>1</v>
      </c>
    </row>
    <row r="5193" spans="1:2" x14ac:dyDescent="0.35">
      <c r="A5193">
        <v>219</v>
      </c>
      <c r="B5193">
        <v>1</v>
      </c>
    </row>
    <row r="5194" spans="1:2" x14ac:dyDescent="0.35">
      <c r="A5194">
        <v>219</v>
      </c>
      <c r="B5194">
        <v>1</v>
      </c>
    </row>
    <row r="5195" spans="1:2" x14ac:dyDescent="0.35">
      <c r="A5195">
        <v>219</v>
      </c>
      <c r="B5195">
        <v>1</v>
      </c>
    </row>
    <row r="5196" spans="1:2" x14ac:dyDescent="0.35">
      <c r="A5196">
        <v>219</v>
      </c>
      <c r="B5196">
        <v>1</v>
      </c>
    </row>
    <row r="5197" spans="1:2" x14ac:dyDescent="0.35">
      <c r="A5197">
        <v>219</v>
      </c>
      <c r="B5197">
        <v>1</v>
      </c>
    </row>
    <row r="5198" spans="1:2" x14ac:dyDescent="0.35">
      <c r="A5198">
        <v>219</v>
      </c>
      <c r="B5198">
        <v>1</v>
      </c>
    </row>
    <row r="5199" spans="1:2" x14ac:dyDescent="0.35">
      <c r="A5199">
        <v>219</v>
      </c>
      <c r="B5199">
        <v>1</v>
      </c>
    </row>
    <row r="5200" spans="1:2" x14ac:dyDescent="0.35">
      <c r="A5200">
        <v>219</v>
      </c>
      <c r="B5200">
        <v>1</v>
      </c>
    </row>
    <row r="5201" spans="1:2" x14ac:dyDescent="0.35">
      <c r="A5201">
        <v>219</v>
      </c>
      <c r="B5201">
        <v>1</v>
      </c>
    </row>
    <row r="5202" spans="1:2" x14ac:dyDescent="0.35">
      <c r="A5202">
        <v>219</v>
      </c>
      <c r="B5202">
        <v>1</v>
      </c>
    </row>
    <row r="5203" spans="1:2" x14ac:dyDescent="0.35">
      <c r="A5203">
        <v>220</v>
      </c>
      <c r="B5203">
        <v>1</v>
      </c>
    </row>
    <row r="5204" spans="1:2" x14ac:dyDescent="0.35">
      <c r="A5204">
        <v>220</v>
      </c>
      <c r="B5204">
        <v>1</v>
      </c>
    </row>
    <row r="5205" spans="1:2" x14ac:dyDescent="0.35">
      <c r="A5205">
        <v>220</v>
      </c>
      <c r="B5205">
        <v>1</v>
      </c>
    </row>
    <row r="5206" spans="1:2" x14ac:dyDescent="0.35">
      <c r="A5206">
        <v>220</v>
      </c>
      <c r="B5206">
        <v>1</v>
      </c>
    </row>
    <row r="5207" spans="1:2" x14ac:dyDescent="0.35">
      <c r="A5207">
        <v>220</v>
      </c>
      <c r="B5207">
        <v>1</v>
      </c>
    </row>
    <row r="5208" spans="1:2" x14ac:dyDescent="0.35">
      <c r="A5208">
        <v>220</v>
      </c>
      <c r="B5208">
        <v>1</v>
      </c>
    </row>
    <row r="5209" spans="1:2" x14ac:dyDescent="0.35">
      <c r="A5209">
        <v>220</v>
      </c>
      <c r="B5209">
        <v>1</v>
      </c>
    </row>
    <row r="5210" spans="1:2" x14ac:dyDescent="0.35">
      <c r="A5210">
        <v>220</v>
      </c>
      <c r="B5210">
        <v>1</v>
      </c>
    </row>
    <row r="5211" spans="1:2" x14ac:dyDescent="0.35">
      <c r="A5211">
        <v>220</v>
      </c>
      <c r="B5211">
        <v>1</v>
      </c>
    </row>
    <row r="5212" spans="1:2" x14ac:dyDescent="0.35">
      <c r="A5212">
        <v>220</v>
      </c>
      <c r="B5212">
        <v>1</v>
      </c>
    </row>
    <row r="5213" spans="1:2" x14ac:dyDescent="0.35">
      <c r="A5213">
        <v>220</v>
      </c>
      <c r="B5213">
        <v>1</v>
      </c>
    </row>
    <row r="5214" spans="1:2" x14ac:dyDescent="0.35">
      <c r="A5214">
        <v>220</v>
      </c>
      <c r="B5214">
        <v>1</v>
      </c>
    </row>
    <row r="5215" spans="1:2" x14ac:dyDescent="0.35">
      <c r="A5215">
        <v>220</v>
      </c>
      <c r="B5215">
        <v>1</v>
      </c>
    </row>
    <row r="5216" spans="1:2" x14ac:dyDescent="0.35">
      <c r="A5216">
        <v>221</v>
      </c>
      <c r="B5216">
        <v>1</v>
      </c>
    </row>
    <row r="5217" spans="1:2" x14ac:dyDescent="0.35">
      <c r="A5217">
        <v>221</v>
      </c>
      <c r="B5217">
        <v>1</v>
      </c>
    </row>
    <row r="5218" spans="1:2" x14ac:dyDescent="0.35">
      <c r="A5218">
        <v>221</v>
      </c>
      <c r="B5218">
        <v>1</v>
      </c>
    </row>
    <row r="5219" spans="1:2" x14ac:dyDescent="0.35">
      <c r="A5219">
        <v>221</v>
      </c>
      <c r="B5219">
        <v>1</v>
      </c>
    </row>
    <row r="5220" spans="1:2" x14ac:dyDescent="0.35">
      <c r="A5220">
        <v>221</v>
      </c>
      <c r="B5220">
        <v>1</v>
      </c>
    </row>
    <row r="5221" spans="1:2" x14ac:dyDescent="0.35">
      <c r="A5221">
        <v>221</v>
      </c>
      <c r="B5221">
        <v>1</v>
      </c>
    </row>
    <row r="5222" spans="1:2" x14ac:dyDescent="0.35">
      <c r="A5222">
        <v>221</v>
      </c>
      <c r="B5222">
        <v>1</v>
      </c>
    </row>
    <row r="5223" spans="1:2" x14ac:dyDescent="0.35">
      <c r="A5223">
        <v>221</v>
      </c>
      <c r="B5223">
        <v>1</v>
      </c>
    </row>
    <row r="5224" spans="1:2" x14ac:dyDescent="0.35">
      <c r="A5224">
        <v>221</v>
      </c>
      <c r="B5224">
        <v>1</v>
      </c>
    </row>
    <row r="5225" spans="1:2" x14ac:dyDescent="0.35">
      <c r="A5225">
        <v>221</v>
      </c>
      <c r="B5225">
        <v>1</v>
      </c>
    </row>
    <row r="5226" spans="1:2" x14ac:dyDescent="0.35">
      <c r="A5226">
        <v>221</v>
      </c>
      <c r="B5226">
        <v>1</v>
      </c>
    </row>
    <row r="5227" spans="1:2" x14ac:dyDescent="0.35">
      <c r="A5227">
        <v>222</v>
      </c>
      <c r="B5227">
        <v>1</v>
      </c>
    </row>
    <row r="5228" spans="1:2" x14ac:dyDescent="0.35">
      <c r="A5228">
        <v>222</v>
      </c>
      <c r="B5228">
        <v>1</v>
      </c>
    </row>
    <row r="5229" spans="1:2" x14ac:dyDescent="0.35">
      <c r="A5229">
        <v>222</v>
      </c>
      <c r="B5229">
        <v>1</v>
      </c>
    </row>
    <row r="5230" spans="1:2" x14ac:dyDescent="0.35">
      <c r="A5230">
        <v>222</v>
      </c>
      <c r="B5230">
        <v>1</v>
      </c>
    </row>
    <row r="5231" spans="1:2" x14ac:dyDescent="0.35">
      <c r="A5231">
        <v>222</v>
      </c>
      <c r="B5231">
        <v>1</v>
      </c>
    </row>
    <row r="5232" spans="1:2" x14ac:dyDescent="0.35">
      <c r="A5232">
        <v>222</v>
      </c>
      <c r="B5232">
        <v>1</v>
      </c>
    </row>
    <row r="5233" spans="1:2" x14ac:dyDescent="0.35">
      <c r="A5233">
        <v>222</v>
      </c>
      <c r="B5233">
        <v>1</v>
      </c>
    </row>
    <row r="5234" spans="1:2" x14ac:dyDescent="0.35">
      <c r="A5234">
        <v>222</v>
      </c>
      <c r="B5234">
        <v>1</v>
      </c>
    </row>
    <row r="5235" spans="1:2" x14ac:dyDescent="0.35">
      <c r="A5235">
        <v>222</v>
      </c>
      <c r="B5235">
        <v>1</v>
      </c>
    </row>
    <row r="5236" spans="1:2" x14ac:dyDescent="0.35">
      <c r="A5236">
        <v>222</v>
      </c>
      <c r="B5236">
        <v>1</v>
      </c>
    </row>
    <row r="5237" spans="1:2" x14ac:dyDescent="0.35">
      <c r="A5237">
        <v>222</v>
      </c>
      <c r="B5237">
        <v>1</v>
      </c>
    </row>
    <row r="5238" spans="1:2" x14ac:dyDescent="0.35">
      <c r="A5238">
        <v>222</v>
      </c>
      <c r="B5238">
        <v>1</v>
      </c>
    </row>
    <row r="5239" spans="1:2" x14ac:dyDescent="0.35">
      <c r="A5239">
        <v>222</v>
      </c>
      <c r="B5239">
        <v>1</v>
      </c>
    </row>
    <row r="5240" spans="1:2" x14ac:dyDescent="0.35">
      <c r="A5240">
        <v>222</v>
      </c>
      <c r="B5240">
        <v>1</v>
      </c>
    </row>
    <row r="5241" spans="1:2" x14ac:dyDescent="0.35">
      <c r="A5241">
        <v>222</v>
      </c>
      <c r="B5241">
        <v>1</v>
      </c>
    </row>
    <row r="5242" spans="1:2" x14ac:dyDescent="0.35">
      <c r="A5242">
        <v>222</v>
      </c>
      <c r="B5242">
        <v>1</v>
      </c>
    </row>
    <row r="5243" spans="1:2" x14ac:dyDescent="0.35">
      <c r="A5243">
        <v>222</v>
      </c>
      <c r="B5243">
        <v>1</v>
      </c>
    </row>
    <row r="5244" spans="1:2" x14ac:dyDescent="0.35">
      <c r="A5244">
        <v>222</v>
      </c>
      <c r="B5244">
        <v>1</v>
      </c>
    </row>
    <row r="5245" spans="1:2" x14ac:dyDescent="0.35">
      <c r="A5245">
        <v>222</v>
      </c>
      <c r="B5245">
        <v>1</v>
      </c>
    </row>
    <row r="5246" spans="1:2" x14ac:dyDescent="0.35">
      <c r="A5246">
        <v>223</v>
      </c>
      <c r="B5246">
        <v>1</v>
      </c>
    </row>
    <row r="5247" spans="1:2" x14ac:dyDescent="0.35">
      <c r="A5247">
        <v>223</v>
      </c>
      <c r="B5247">
        <v>1</v>
      </c>
    </row>
    <row r="5248" spans="1:2" x14ac:dyDescent="0.35">
      <c r="A5248">
        <v>223</v>
      </c>
      <c r="B5248">
        <v>1</v>
      </c>
    </row>
    <row r="5249" spans="1:2" x14ac:dyDescent="0.35">
      <c r="A5249">
        <v>223</v>
      </c>
      <c r="B5249">
        <v>1</v>
      </c>
    </row>
    <row r="5250" spans="1:2" x14ac:dyDescent="0.35">
      <c r="A5250">
        <v>223</v>
      </c>
      <c r="B5250">
        <v>1</v>
      </c>
    </row>
    <row r="5251" spans="1:2" x14ac:dyDescent="0.35">
      <c r="A5251">
        <v>223</v>
      </c>
      <c r="B5251">
        <v>1</v>
      </c>
    </row>
    <row r="5252" spans="1:2" x14ac:dyDescent="0.35">
      <c r="A5252">
        <v>223</v>
      </c>
      <c r="B5252">
        <v>1</v>
      </c>
    </row>
    <row r="5253" spans="1:2" x14ac:dyDescent="0.35">
      <c r="A5253">
        <v>223</v>
      </c>
      <c r="B5253">
        <v>1</v>
      </c>
    </row>
    <row r="5254" spans="1:2" x14ac:dyDescent="0.35">
      <c r="A5254">
        <v>224</v>
      </c>
      <c r="B5254">
        <v>1</v>
      </c>
    </row>
    <row r="5255" spans="1:2" x14ac:dyDescent="0.35">
      <c r="A5255">
        <v>224</v>
      </c>
      <c r="B5255">
        <v>1</v>
      </c>
    </row>
    <row r="5256" spans="1:2" x14ac:dyDescent="0.35">
      <c r="A5256">
        <v>224</v>
      </c>
      <c r="B5256">
        <v>1</v>
      </c>
    </row>
    <row r="5257" spans="1:2" x14ac:dyDescent="0.35">
      <c r="A5257">
        <v>224</v>
      </c>
      <c r="B5257">
        <v>1</v>
      </c>
    </row>
    <row r="5258" spans="1:2" x14ac:dyDescent="0.35">
      <c r="A5258">
        <v>224</v>
      </c>
      <c r="B5258">
        <v>1</v>
      </c>
    </row>
    <row r="5259" spans="1:2" x14ac:dyDescent="0.35">
      <c r="A5259">
        <v>224</v>
      </c>
      <c r="B5259">
        <v>1</v>
      </c>
    </row>
    <row r="5260" spans="1:2" x14ac:dyDescent="0.35">
      <c r="A5260">
        <v>224</v>
      </c>
      <c r="B5260">
        <v>1</v>
      </c>
    </row>
    <row r="5261" spans="1:2" x14ac:dyDescent="0.35">
      <c r="A5261">
        <v>224</v>
      </c>
      <c r="B5261">
        <v>1</v>
      </c>
    </row>
    <row r="5262" spans="1:2" x14ac:dyDescent="0.35">
      <c r="A5262">
        <v>224</v>
      </c>
      <c r="B5262">
        <v>1</v>
      </c>
    </row>
    <row r="5263" spans="1:2" x14ac:dyDescent="0.35">
      <c r="A5263">
        <v>224</v>
      </c>
      <c r="B5263">
        <v>1</v>
      </c>
    </row>
    <row r="5264" spans="1:2" x14ac:dyDescent="0.35">
      <c r="A5264">
        <v>224</v>
      </c>
      <c r="B5264">
        <v>1</v>
      </c>
    </row>
    <row r="5265" spans="1:2" x14ac:dyDescent="0.35">
      <c r="A5265">
        <v>224</v>
      </c>
      <c r="B5265">
        <v>1</v>
      </c>
    </row>
    <row r="5266" spans="1:2" x14ac:dyDescent="0.35">
      <c r="A5266">
        <v>224</v>
      </c>
      <c r="B5266">
        <v>1</v>
      </c>
    </row>
    <row r="5267" spans="1:2" x14ac:dyDescent="0.35">
      <c r="A5267">
        <v>224</v>
      </c>
      <c r="B5267">
        <v>1</v>
      </c>
    </row>
    <row r="5268" spans="1:2" x14ac:dyDescent="0.35">
      <c r="A5268">
        <v>225</v>
      </c>
      <c r="B5268">
        <v>1</v>
      </c>
    </row>
    <row r="5269" spans="1:2" x14ac:dyDescent="0.35">
      <c r="A5269">
        <v>225</v>
      </c>
      <c r="B5269">
        <v>1</v>
      </c>
    </row>
    <row r="5270" spans="1:2" x14ac:dyDescent="0.35">
      <c r="A5270">
        <v>225</v>
      </c>
      <c r="B5270">
        <v>1</v>
      </c>
    </row>
    <row r="5271" spans="1:2" x14ac:dyDescent="0.35">
      <c r="A5271">
        <v>225</v>
      </c>
      <c r="B5271">
        <v>1</v>
      </c>
    </row>
    <row r="5272" spans="1:2" x14ac:dyDescent="0.35">
      <c r="A5272">
        <v>225</v>
      </c>
      <c r="B5272">
        <v>1</v>
      </c>
    </row>
    <row r="5273" spans="1:2" x14ac:dyDescent="0.35">
      <c r="A5273">
        <v>225</v>
      </c>
      <c r="B5273">
        <v>1</v>
      </c>
    </row>
    <row r="5274" spans="1:2" x14ac:dyDescent="0.35">
      <c r="A5274">
        <v>225</v>
      </c>
      <c r="B5274">
        <v>1</v>
      </c>
    </row>
    <row r="5275" spans="1:2" x14ac:dyDescent="0.35">
      <c r="A5275">
        <v>226</v>
      </c>
      <c r="B5275">
        <v>1</v>
      </c>
    </row>
    <row r="5276" spans="1:2" x14ac:dyDescent="0.35">
      <c r="A5276">
        <v>226</v>
      </c>
      <c r="B5276">
        <v>1</v>
      </c>
    </row>
    <row r="5277" spans="1:2" x14ac:dyDescent="0.35">
      <c r="A5277">
        <v>226</v>
      </c>
      <c r="B5277">
        <v>1</v>
      </c>
    </row>
    <row r="5278" spans="1:2" x14ac:dyDescent="0.35">
      <c r="A5278">
        <v>226</v>
      </c>
      <c r="B5278">
        <v>1</v>
      </c>
    </row>
    <row r="5279" spans="1:2" x14ac:dyDescent="0.35">
      <c r="A5279">
        <v>226</v>
      </c>
      <c r="B5279">
        <v>1</v>
      </c>
    </row>
    <row r="5280" spans="1:2" x14ac:dyDescent="0.35">
      <c r="A5280">
        <v>226</v>
      </c>
      <c r="B5280">
        <v>1</v>
      </c>
    </row>
    <row r="5281" spans="1:2" x14ac:dyDescent="0.35">
      <c r="A5281">
        <v>226</v>
      </c>
      <c r="B5281">
        <v>1</v>
      </c>
    </row>
    <row r="5282" spans="1:2" x14ac:dyDescent="0.35">
      <c r="A5282">
        <v>226</v>
      </c>
      <c r="B5282">
        <v>1</v>
      </c>
    </row>
    <row r="5283" spans="1:2" x14ac:dyDescent="0.35">
      <c r="A5283">
        <v>226</v>
      </c>
      <c r="B5283">
        <v>1</v>
      </c>
    </row>
    <row r="5284" spans="1:2" x14ac:dyDescent="0.35">
      <c r="A5284">
        <v>226</v>
      </c>
      <c r="B5284">
        <v>1</v>
      </c>
    </row>
    <row r="5285" spans="1:2" x14ac:dyDescent="0.35">
      <c r="A5285">
        <v>226</v>
      </c>
      <c r="B5285">
        <v>1</v>
      </c>
    </row>
    <row r="5286" spans="1:2" x14ac:dyDescent="0.35">
      <c r="A5286">
        <v>226</v>
      </c>
      <c r="B5286">
        <v>1</v>
      </c>
    </row>
    <row r="5287" spans="1:2" x14ac:dyDescent="0.35">
      <c r="A5287">
        <v>226</v>
      </c>
      <c r="B5287">
        <v>1</v>
      </c>
    </row>
    <row r="5288" spans="1:2" x14ac:dyDescent="0.35">
      <c r="A5288">
        <v>226</v>
      </c>
      <c r="B5288">
        <v>1</v>
      </c>
    </row>
    <row r="5289" spans="1:2" x14ac:dyDescent="0.35">
      <c r="A5289">
        <v>226</v>
      </c>
      <c r="B5289">
        <v>1</v>
      </c>
    </row>
    <row r="5290" spans="1:2" x14ac:dyDescent="0.35">
      <c r="A5290">
        <v>226</v>
      </c>
      <c r="B5290">
        <v>1</v>
      </c>
    </row>
    <row r="5291" spans="1:2" x14ac:dyDescent="0.35">
      <c r="A5291">
        <v>226</v>
      </c>
      <c r="B5291">
        <v>1</v>
      </c>
    </row>
    <row r="5292" spans="1:2" x14ac:dyDescent="0.35">
      <c r="A5292">
        <v>226</v>
      </c>
      <c r="B5292">
        <v>1</v>
      </c>
    </row>
    <row r="5293" spans="1:2" x14ac:dyDescent="0.35">
      <c r="A5293">
        <v>227</v>
      </c>
      <c r="B5293">
        <v>1</v>
      </c>
    </row>
    <row r="5294" spans="1:2" x14ac:dyDescent="0.35">
      <c r="A5294">
        <v>227</v>
      </c>
      <c r="B5294">
        <v>1</v>
      </c>
    </row>
    <row r="5295" spans="1:2" x14ac:dyDescent="0.35">
      <c r="A5295">
        <v>227</v>
      </c>
      <c r="B5295">
        <v>1</v>
      </c>
    </row>
    <row r="5296" spans="1:2" x14ac:dyDescent="0.35">
      <c r="A5296">
        <v>227</v>
      </c>
      <c r="B5296">
        <v>1</v>
      </c>
    </row>
    <row r="5297" spans="1:2" x14ac:dyDescent="0.35">
      <c r="A5297">
        <v>227</v>
      </c>
      <c r="B5297">
        <v>1</v>
      </c>
    </row>
    <row r="5298" spans="1:2" x14ac:dyDescent="0.35">
      <c r="A5298">
        <v>227</v>
      </c>
      <c r="B5298">
        <v>1</v>
      </c>
    </row>
    <row r="5299" spans="1:2" x14ac:dyDescent="0.35">
      <c r="A5299">
        <v>227</v>
      </c>
      <c r="B5299">
        <v>1</v>
      </c>
    </row>
    <row r="5300" spans="1:2" x14ac:dyDescent="0.35">
      <c r="A5300">
        <v>227</v>
      </c>
      <c r="B5300">
        <v>1</v>
      </c>
    </row>
    <row r="5301" spans="1:2" x14ac:dyDescent="0.35">
      <c r="A5301">
        <v>227</v>
      </c>
      <c r="B5301">
        <v>1</v>
      </c>
    </row>
    <row r="5302" spans="1:2" x14ac:dyDescent="0.35">
      <c r="A5302">
        <v>227</v>
      </c>
      <c r="B5302">
        <v>1</v>
      </c>
    </row>
    <row r="5303" spans="1:2" x14ac:dyDescent="0.35">
      <c r="A5303">
        <v>227</v>
      </c>
      <c r="B5303">
        <v>1</v>
      </c>
    </row>
    <row r="5304" spans="1:2" x14ac:dyDescent="0.35">
      <c r="A5304">
        <v>227</v>
      </c>
      <c r="B5304">
        <v>1</v>
      </c>
    </row>
    <row r="5305" spans="1:2" x14ac:dyDescent="0.35">
      <c r="A5305">
        <v>228</v>
      </c>
      <c r="B5305">
        <v>1</v>
      </c>
    </row>
    <row r="5306" spans="1:2" x14ac:dyDescent="0.35">
      <c r="A5306">
        <v>228</v>
      </c>
      <c r="B5306">
        <v>1</v>
      </c>
    </row>
    <row r="5307" spans="1:2" x14ac:dyDescent="0.35">
      <c r="A5307">
        <v>228</v>
      </c>
      <c r="B5307">
        <v>1</v>
      </c>
    </row>
    <row r="5308" spans="1:2" x14ac:dyDescent="0.35">
      <c r="A5308">
        <v>228</v>
      </c>
      <c r="B5308">
        <v>1</v>
      </c>
    </row>
    <row r="5309" spans="1:2" x14ac:dyDescent="0.35">
      <c r="A5309">
        <v>228</v>
      </c>
      <c r="B5309">
        <v>1</v>
      </c>
    </row>
    <row r="5310" spans="1:2" x14ac:dyDescent="0.35">
      <c r="A5310">
        <v>228</v>
      </c>
      <c r="B5310">
        <v>1</v>
      </c>
    </row>
    <row r="5311" spans="1:2" x14ac:dyDescent="0.35">
      <c r="A5311">
        <v>228</v>
      </c>
      <c r="B5311">
        <v>1</v>
      </c>
    </row>
    <row r="5312" spans="1:2" x14ac:dyDescent="0.35">
      <c r="A5312">
        <v>228</v>
      </c>
      <c r="B5312">
        <v>1</v>
      </c>
    </row>
    <row r="5313" spans="1:2" x14ac:dyDescent="0.35">
      <c r="A5313">
        <v>228</v>
      </c>
      <c r="B5313">
        <v>1</v>
      </c>
    </row>
    <row r="5314" spans="1:2" x14ac:dyDescent="0.35">
      <c r="A5314">
        <v>228</v>
      </c>
      <c r="B5314">
        <v>1</v>
      </c>
    </row>
    <row r="5315" spans="1:2" x14ac:dyDescent="0.35">
      <c r="A5315">
        <v>228</v>
      </c>
      <c r="B5315">
        <v>1</v>
      </c>
    </row>
    <row r="5316" spans="1:2" x14ac:dyDescent="0.35">
      <c r="A5316">
        <v>228</v>
      </c>
      <c r="B5316">
        <v>1</v>
      </c>
    </row>
    <row r="5317" spans="1:2" x14ac:dyDescent="0.35">
      <c r="A5317">
        <v>228</v>
      </c>
      <c r="B5317">
        <v>1</v>
      </c>
    </row>
    <row r="5318" spans="1:2" x14ac:dyDescent="0.35">
      <c r="A5318">
        <v>228</v>
      </c>
      <c r="B5318">
        <v>1</v>
      </c>
    </row>
    <row r="5319" spans="1:2" x14ac:dyDescent="0.35">
      <c r="A5319">
        <v>229</v>
      </c>
      <c r="B5319">
        <v>1</v>
      </c>
    </row>
    <row r="5320" spans="1:2" x14ac:dyDescent="0.35">
      <c r="A5320">
        <v>229</v>
      </c>
      <c r="B5320">
        <v>1</v>
      </c>
    </row>
    <row r="5321" spans="1:2" x14ac:dyDescent="0.35">
      <c r="A5321">
        <v>229</v>
      </c>
      <c r="B5321">
        <v>1</v>
      </c>
    </row>
    <row r="5322" spans="1:2" x14ac:dyDescent="0.35">
      <c r="A5322">
        <v>229</v>
      </c>
      <c r="B5322">
        <v>1</v>
      </c>
    </row>
    <row r="5323" spans="1:2" x14ac:dyDescent="0.35">
      <c r="A5323">
        <v>229</v>
      </c>
      <c r="B5323">
        <v>1</v>
      </c>
    </row>
    <row r="5324" spans="1:2" x14ac:dyDescent="0.35">
      <c r="A5324">
        <v>229</v>
      </c>
      <c r="B5324">
        <v>1</v>
      </c>
    </row>
    <row r="5325" spans="1:2" x14ac:dyDescent="0.35">
      <c r="A5325">
        <v>229</v>
      </c>
      <c r="B5325">
        <v>1</v>
      </c>
    </row>
    <row r="5326" spans="1:2" x14ac:dyDescent="0.35">
      <c r="A5326">
        <v>229</v>
      </c>
      <c r="B5326">
        <v>1</v>
      </c>
    </row>
    <row r="5327" spans="1:2" x14ac:dyDescent="0.35">
      <c r="A5327">
        <v>229</v>
      </c>
      <c r="B5327">
        <v>1</v>
      </c>
    </row>
    <row r="5328" spans="1:2" x14ac:dyDescent="0.35">
      <c r="A5328">
        <v>229</v>
      </c>
      <c r="B5328">
        <v>1</v>
      </c>
    </row>
    <row r="5329" spans="1:2" x14ac:dyDescent="0.35">
      <c r="A5329">
        <v>229</v>
      </c>
      <c r="B5329">
        <v>1</v>
      </c>
    </row>
    <row r="5330" spans="1:2" x14ac:dyDescent="0.35">
      <c r="A5330">
        <v>230</v>
      </c>
      <c r="B5330">
        <v>1</v>
      </c>
    </row>
    <row r="5331" spans="1:2" x14ac:dyDescent="0.35">
      <c r="A5331">
        <v>230</v>
      </c>
      <c r="B5331">
        <v>1</v>
      </c>
    </row>
    <row r="5332" spans="1:2" x14ac:dyDescent="0.35">
      <c r="A5332">
        <v>230</v>
      </c>
      <c r="B5332">
        <v>1</v>
      </c>
    </row>
    <row r="5333" spans="1:2" x14ac:dyDescent="0.35">
      <c r="A5333">
        <v>230</v>
      </c>
      <c r="B5333">
        <v>1</v>
      </c>
    </row>
    <row r="5334" spans="1:2" x14ac:dyDescent="0.35">
      <c r="A5334">
        <v>230</v>
      </c>
      <c r="B5334">
        <v>1</v>
      </c>
    </row>
    <row r="5335" spans="1:2" x14ac:dyDescent="0.35">
      <c r="A5335">
        <v>230</v>
      </c>
      <c r="B5335">
        <v>1</v>
      </c>
    </row>
    <row r="5336" spans="1:2" x14ac:dyDescent="0.35">
      <c r="A5336">
        <v>230</v>
      </c>
      <c r="B5336">
        <v>1</v>
      </c>
    </row>
    <row r="5337" spans="1:2" x14ac:dyDescent="0.35">
      <c r="A5337">
        <v>230</v>
      </c>
      <c r="B5337">
        <v>1</v>
      </c>
    </row>
    <row r="5338" spans="1:2" x14ac:dyDescent="0.35">
      <c r="A5338">
        <v>230</v>
      </c>
      <c r="B5338">
        <v>1</v>
      </c>
    </row>
    <row r="5339" spans="1:2" x14ac:dyDescent="0.35">
      <c r="A5339">
        <v>230</v>
      </c>
      <c r="B5339">
        <v>1</v>
      </c>
    </row>
    <row r="5340" spans="1:2" x14ac:dyDescent="0.35">
      <c r="A5340">
        <v>230</v>
      </c>
      <c r="B5340">
        <v>1</v>
      </c>
    </row>
    <row r="5341" spans="1:2" x14ac:dyDescent="0.35">
      <c r="A5341">
        <v>230</v>
      </c>
      <c r="B5341">
        <v>1</v>
      </c>
    </row>
    <row r="5342" spans="1:2" x14ac:dyDescent="0.35">
      <c r="A5342">
        <v>230</v>
      </c>
      <c r="B5342">
        <v>1</v>
      </c>
    </row>
    <row r="5343" spans="1:2" x14ac:dyDescent="0.35">
      <c r="A5343">
        <v>231</v>
      </c>
      <c r="B5343">
        <v>1</v>
      </c>
    </row>
    <row r="5344" spans="1:2" x14ac:dyDescent="0.35">
      <c r="A5344">
        <v>231</v>
      </c>
      <c r="B5344">
        <v>1</v>
      </c>
    </row>
    <row r="5345" spans="1:2" x14ac:dyDescent="0.35">
      <c r="A5345">
        <v>231</v>
      </c>
      <c r="B5345">
        <v>1</v>
      </c>
    </row>
    <row r="5346" spans="1:2" x14ac:dyDescent="0.35">
      <c r="A5346">
        <v>231</v>
      </c>
      <c r="B5346">
        <v>1</v>
      </c>
    </row>
    <row r="5347" spans="1:2" x14ac:dyDescent="0.35">
      <c r="A5347">
        <v>231</v>
      </c>
      <c r="B5347">
        <v>1</v>
      </c>
    </row>
    <row r="5348" spans="1:2" x14ac:dyDescent="0.35">
      <c r="A5348">
        <v>231</v>
      </c>
      <c r="B5348">
        <v>1</v>
      </c>
    </row>
    <row r="5349" spans="1:2" x14ac:dyDescent="0.35">
      <c r="A5349">
        <v>231</v>
      </c>
      <c r="B5349">
        <v>1</v>
      </c>
    </row>
    <row r="5350" spans="1:2" x14ac:dyDescent="0.35">
      <c r="A5350">
        <v>231</v>
      </c>
      <c r="B5350">
        <v>1</v>
      </c>
    </row>
    <row r="5351" spans="1:2" x14ac:dyDescent="0.35">
      <c r="A5351">
        <v>231</v>
      </c>
      <c r="B5351">
        <v>1</v>
      </c>
    </row>
    <row r="5352" spans="1:2" x14ac:dyDescent="0.35">
      <c r="A5352">
        <v>232</v>
      </c>
      <c r="B5352">
        <v>1</v>
      </c>
    </row>
    <row r="5353" spans="1:2" x14ac:dyDescent="0.35">
      <c r="A5353">
        <v>232</v>
      </c>
      <c r="B5353">
        <v>1</v>
      </c>
    </row>
    <row r="5354" spans="1:2" x14ac:dyDescent="0.35">
      <c r="A5354">
        <v>232</v>
      </c>
      <c r="B5354">
        <v>1</v>
      </c>
    </row>
    <row r="5355" spans="1:2" x14ac:dyDescent="0.35">
      <c r="A5355">
        <v>232</v>
      </c>
      <c r="B5355">
        <v>1</v>
      </c>
    </row>
    <row r="5356" spans="1:2" x14ac:dyDescent="0.35">
      <c r="A5356">
        <v>232</v>
      </c>
      <c r="B5356">
        <v>1</v>
      </c>
    </row>
    <row r="5357" spans="1:2" x14ac:dyDescent="0.35">
      <c r="A5357">
        <v>232</v>
      </c>
      <c r="B5357">
        <v>1</v>
      </c>
    </row>
    <row r="5358" spans="1:2" x14ac:dyDescent="0.35">
      <c r="A5358">
        <v>232</v>
      </c>
      <c r="B5358">
        <v>1</v>
      </c>
    </row>
    <row r="5359" spans="1:2" x14ac:dyDescent="0.35">
      <c r="A5359">
        <v>232</v>
      </c>
      <c r="B5359">
        <v>1</v>
      </c>
    </row>
    <row r="5360" spans="1:2" x14ac:dyDescent="0.35">
      <c r="A5360">
        <v>232</v>
      </c>
      <c r="B5360">
        <v>1</v>
      </c>
    </row>
    <row r="5361" spans="1:2" x14ac:dyDescent="0.35">
      <c r="A5361">
        <v>232</v>
      </c>
      <c r="B5361">
        <v>1</v>
      </c>
    </row>
    <row r="5362" spans="1:2" x14ac:dyDescent="0.35">
      <c r="A5362">
        <v>232</v>
      </c>
      <c r="B5362">
        <v>1</v>
      </c>
    </row>
    <row r="5363" spans="1:2" x14ac:dyDescent="0.35">
      <c r="A5363">
        <v>232</v>
      </c>
      <c r="B5363">
        <v>1</v>
      </c>
    </row>
    <row r="5364" spans="1:2" x14ac:dyDescent="0.35">
      <c r="A5364">
        <v>232</v>
      </c>
      <c r="B5364">
        <v>1</v>
      </c>
    </row>
    <row r="5365" spans="1:2" x14ac:dyDescent="0.35">
      <c r="A5365">
        <v>233</v>
      </c>
      <c r="B5365">
        <v>1</v>
      </c>
    </row>
    <row r="5366" spans="1:2" x14ac:dyDescent="0.35">
      <c r="A5366">
        <v>233</v>
      </c>
      <c r="B5366">
        <v>1</v>
      </c>
    </row>
    <row r="5367" spans="1:2" x14ac:dyDescent="0.35">
      <c r="A5367">
        <v>233</v>
      </c>
      <c r="B5367">
        <v>1</v>
      </c>
    </row>
    <row r="5368" spans="1:2" x14ac:dyDescent="0.35">
      <c r="A5368">
        <v>233</v>
      </c>
      <c r="B5368">
        <v>1</v>
      </c>
    </row>
    <row r="5369" spans="1:2" x14ac:dyDescent="0.35">
      <c r="A5369">
        <v>233</v>
      </c>
      <c r="B5369">
        <v>1</v>
      </c>
    </row>
    <row r="5370" spans="1:2" x14ac:dyDescent="0.35">
      <c r="A5370">
        <v>233</v>
      </c>
      <c r="B5370">
        <v>1</v>
      </c>
    </row>
    <row r="5371" spans="1:2" x14ac:dyDescent="0.35">
      <c r="A5371">
        <v>233</v>
      </c>
      <c r="B5371">
        <v>1</v>
      </c>
    </row>
    <row r="5372" spans="1:2" x14ac:dyDescent="0.35">
      <c r="A5372">
        <v>233</v>
      </c>
      <c r="B5372">
        <v>1</v>
      </c>
    </row>
    <row r="5373" spans="1:2" x14ac:dyDescent="0.35">
      <c r="A5373">
        <v>233</v>
      </c>
      <c r="B5373">
        <v>1</v>
      </c>
    </row>
    <row r="5374" spans="1:2" x14ac:dyDescent="0.35">
      <c r="A5374">
        <v>233</v>
      </c>
      <c r="B5374">
        <v>1</v>
      </c>
    </row>
    <row r="5375" spans="1:2" x14ac:dyDescent="0.35">
      <c r="A5375">
        <v>233</v>
      </c>
      <c r="B5375">
        <v>1</v>
      </c>
    </row>
    <row r="5376" spans="1:2" x14ac:dyDescent="0.35">
      <c r="A5376">
        <v>233</v>
      </c>
      <c r="B5376">
        <v>1</v>
      </c>
    </row>
    <row r="5377" spans="1:2" x14ac:dyDescent="0.35">
      <c r="A5377">
        <v>233</v>
      </c>
      <c r="B5377">
        <v>1</v>
      </c>
    </row>
    <row r="5378" spans="1:2" x14ac:dyDescent="0.35">
      <c r="A5378">
        <v>233</v>
      </c>
      <c r="B5378">
        <v>1</v>
      </c>
    </row>
    <row r="5379" spans="1:2" x14ac:dyDescent="0.35">
      <c r="A5379">
        <v>234</v>
      </c>
      <c r="B5379">
        <v>1</v>
      </c>
    </row>
    <row r="5380" spans="1:2" x14ac:dyDescent="0.35">
      <c r="A5380">
        <v>234</v>
      </c>
      <c r="B5380">
        <v>1</v>
      </c>
    </row>
    <row r="5381" spans="1:2" x14ac:dyDescent="0.35">
      <c r="A5381">
        <v>234</v>
      </c>
      <c r="B5381">
        <v>1</v>
      </c>
    </row>
    <row r="5382" spans="1:2" x14ac:dyDescent="0.35">
      <c r="A5382">
        <v>234</v>
      </c>
      <c r="B5382">
        <v>1</v>
      </c>
    </row>
    <row r="5383" spans="1:2" x14ac:dyDescent="0.35">
      <c r="A5383">
        <v>234</v>
      </c>
      <c r="B5383">
        <v>1</v>
      </c>
    </row>
    <row r="5384" spans="1:2" x14ac:dyDescent="0.35">
      <c r="A5384">
        <v>234</v>
      </c>
      <c r="B5384">
        <v>1</v>
      </c>
    </row>
    <row r="5385" spans="1:2" x14ac:dyDescent="0.35">
      <c r="A5385">
        <v>234</v>
      </c>
      <c r="B5385">
        <v>1</v>
      </c>
    </row>
    <row r="5386" spans="1:2" x14ac:dyDescent="0.35">
      <c r="A5386">
        <v>234</v>
      </c>
      <c r="B5386">
        <v>1</v>
      </c>
    </row>
    <row r="5387" spans="1:2" x14ac:dyDescent="0.35">
      <c r="A5387">
        <v>234</v>
      </c>
      <c r="B5387">
        <v>1</v>
      </c>
    </row>
    <row r="5388" spans="1:2" x14ac:dyDescent="0.35">
      <c r="A5388">
        <v>234</v>
      </c>
      <c r="B5388">
        <v>1</v>
      </c>
    </row>
    <row r="5389" spans="1:2" x14ac:dyDescent="0.35">
      <c r="A5389">
        <v>234</v>
      </c>
      <c r="B5389">
        <v>1</v>
      </c>
    </row>
    <row r="5390" spans="1:2" x14ac:dyDescent="0.35">
      <c r="A5390">
        <v>234</v>
      </c>
      <c r="B5390">
        <v>1</v>
      </c>
    </row>
    <row r="5391" spans="1:2" x14ac:dyDescent="0.35">
      <c r="A5391">
        <v>234</v>
      </c>
      <c r="B5391">
        <v>1</v>
      </c>
    </row>
    <row r="5392" spans="1:2" x14ac:dyDescent="0.35">
      <c r="A5392">
        <v>234</v>
      </c>
      <c r="B5392">
        <v>1</v>
      </c>
    </row>
    <row r="5393" spans="1:2" x14ac:dyDescent="0.35">
      <c r="A5393">
        <v>234</v>
      </c>
      <c r="B5393">
        <v>1</v>
      </c>
    </row>
    <row r="5394" spans="1:2" x14ac:dyDescent="0.35">
      <c r="A5394">
        <v>234</v>
      </c>
      <c r="B5394">
        <v>1</v>
      </c>
    </row>
    <row r="5395" spans="1:2" x14ac:dyDescent="0.35">
      <c r="A5395">
        <v>235</v>
      </c>
      <c r="B5395">
        <v>1</v>
      </c>
    </row>
    <row r="5396" spans="1:2" x14ac:dyDescent="0.35">
      <c r="A5396">
        <v>235</v>
      </c>
      <c r="B5396">
        <v>1</v>
      </c>
    </row>
    <row r="5397" spans="1:2" x14ac:dyDescent="0.35">
      <c r="A5397">
        <v>235</v>
      </c>
      <c r="B5397">
        <v>1</v>
      </c>
    </row>
    <row r="5398" spans="1:2" x14ac:dyDescent="0.35">
      <c r="A5398">
        <v>235</v>
      </c>
      <c r="B5398">
        <v>1</v>
      </c>
    </row>
    <row r="5399" spans="1:2" x14ac:dyDescent="0.35">
      <c r="A5399">
        <v>235</v>
      </c>
      <c r="B5399">
        <v>1</v>
      </c>
    </row>
    <row r="5400" spans="1:2" x14ac:dyDescent="0.35">
      <c r="A5400">
        <v>235</v>
      </c>
      <c r="B5400">
        <v>1</v>
      </c>
    </row>
    <row r="5401" spans="1:2" x14ac:dyDescent="0.35">
      <c r="A5401">
        <v>235</v>
      </c>
      <c r="B5401">
        <v>1</v>
      </c>
    </row>
    <row r="5402" spans="1:2" x14ac:dyDescent="0.35">
      <c r="A5402">
        <v>235</v>
      </c>
      <c r="B5402">
        <v>1</v>
      </c>
    </row>
    <row r="5403" spans="1:2" x14ac:dyDescent="0.35">
      <c r="A5403">
        <v>235</v>
      </c>
      <c r="B5403">
        <v>1</v>
      </c>
    </row>
    <row r="5404" spans="1:2" x14ac:dyDescent="0.35">
      <c r="A5404">
        <v>235</v>
      </c>
      <c r="B5404">
        <v>1</v>
      </c>
    </row>
    <row r="5405" spans="1:2" x14ac:dyDescent="0.35">
      <c r="A5405">
        <v>235</v>
      </c>
      <c r="B5405">
        <v>1</v>
      </c>
    </row>
    <row r="5406" spans="1:2" x14ac:dyDescent="0.35">
      <c r="A5406">
        <v>235</v>
      </c>
      <c r="B5406">
        <v>1</v>
      </c>
    </row>
    <row r="5407" spans="1:2" x14ac:dyDescent="0.35">
      <c r="A5407">
        <v>235</v>
      </c>
      <c r="B5407">
        <v>1</v>
      </c>
    </row>
    <row r="5408" spans="1:2" x14ac:dyDescent="0.35">
      <c r="A5408">
        <v>235</v>
      </c>
      <c r="B5408">
        <v>1</v>
      </c>
    </row>
    <row r="5409" spans="1:2" x14ac:dyDescent="0.35">
      <c r="A5409">
        <v>235</v>
      </c>
      <c r="B5409">
        <v>1</v>
      </c>
    </row>
    <row r="5410" spans="1:2" x14ac:dyDescent="0.35">
      <c r="A5410">
        <v>235</v>
      </c>
      <c r="B5410">
        <v>1</v>
      </c>
    </row>
    <row r="5411" spans="1:2" x14ac:dyDescent="0.35">
      <c r="A5411">
        <v>235</v>
      </c>
      <c r="B5411">
        <v>1</v>
      </c>
    </row>
    <row r="5412" spans="1:2" x14ac:dyDescent="0.35">
      <c r="A5412">
        <v>235</v>
      </c>
      <c r="B5412">
        <v>1</v>
      </c>
    </row>
    <row r="5413" spans="1:2" x14ac:dyDescent="0.35">
      <c r="A5413">
        <v>235</v>
      </c>
      <c r="B5413">
        <v>1</v>
      </c>
    </row>
    <row r="5414" spans="1:2" x14ac:dyDescent="0.35">
      <c r="A5414">
        <v>235</v>
      </c>
      <c r="B5414">
        <v>1</v>
      </c>
    </row>
    <row r="5415" spans="1:2" x14ac:dyDescent="0.35">
      <c r="A5415">
        <v>235</v>
      </c>
      <c r="B5415">
        <v>1</v>
      </c>
    </row>
    <row r="5416" spans="1:2" x14ac:dyDescent="0.35">
      <c r="A5416">
        <v>235</v>
      </c>
      <c r="B5416">
        <v>1</v>
      </c>
    </row>
    <row r="5417" spans="1:2" x14ac:dyDescent="0.35">
      <c r="A5417">
        <v>236</v>
      </c>
      <c r="B5417">
        <v>1</v>
      </c>
    </row>
    <row r="5418" spans="1:2" x14ac:dyDescent="0.35">
      <c r="A5418">
        <v>236</v>
      </c>
      <c r="B5418">
        <v>1</v>
      </c>
    </row>
    <row r="5419" spans="1:2" x14ac:dyDescent="0.35">
      <c r="A5419">
        <v>236</v>
      </c>
      <c r="B5419">
        <v>1</v>
      </c>
    </row>
    <row r="5420" spans="1:2" x14ac:dyDescent="0.35">
      <c r="A5420">
        <v>236</v>
      </c>
      <c r="B5420">
        <v>1</v>
      </c>
    </row>
    <row r="5421" spans="1:2" x14ac:dyDescent="0.35">
      <c r="A5421">
        <v>236</v>
      </c>
      <c r="B5421">
        <v>1</v>
      </c>
    </row>
    <row r="5422" spans="1:2" x14ac:dyDescent="0.35">
      <c r="A5422">
        <v>236</v>
      </c>
      <c r="B5422">
        <v>1</v>
      </c>
    </row>
    <row r="5423" spans="1:2" x14ac:dyDescent="0.35">
      <c r="A5423">
        <v>236</v>
      </c>
      <c r="B5423">
        <v>1</v>
      </c>
    </row>
    <row r="5424" spans="1:2" x14ac:dyDescent="0.35">
      <c r="A5424">
        <v>236</v>
      </c>
      <c r="B5424">
        <v>1</v>
      </c>
    </row>
    <row r="5425" spans="1:2" x14ac:dyDescent="0.35">
      <c r="A5425">
        <v>236</v>
      </c>
      <c r="B5425">
        <v>1</v>
      </c>
    </row>
    <row r="5426" spans="1:2" x14ac:dyDescent="0.35">
      <c r="A5426">
        <v>236</v>
      </c>
      <c r="B5426">
        <v>1</v>
      </c>
    </row>
    <row r="5427" spans="1:2" x14ac:dyDescent="0.35">
      <c r="A5427">
        <v>237</v>
      </c>
      <c r="B5427">
        <v>1</v>
      </c>
    </row>
    <row r="5428" spans="1:2" x14ac:dyDescent="0.35">
      <c r="A5428">
        <v>237</v>
      </c>
      <c r="B5428">
        <v>1</v>
      </c>
    </row>
    <row r="5429" spans="1:2" x14ac:dyDescent="0.35">
      <c r="A5429">
        <v>237</v>
      </c>
      <c r="B5429">
        <v>1</v>
      </c>
    </row>
    <row r="5430" spans="1:2" x14ac:dyDescent="0.35">
      <c r="A5430">
        <v>237</v>
      </c>
      <c r="B5430">
        <v>1</v>
      </c>
    </row>
    <row r="5431" spans="1:2" x14ac:dyDescent="0.35">
      <c r="A5431">
        <v>237</v>
      </c>
      <c r="B5431">
        <v>1</v>
      </c>
    </row>
    <row r="5432" spans="1:2" x14ac:dyDescent="0.35">
      <c r="A5432">
        <v>237</v>
      </c>
      <c r="B5432">
        <v>1</v>
      </c>
    </row>
    <row r="5433" spans="1:2" x14ac:dyDescent="0.35">
      <c r="A5433">
        <v>237</v>
      </c>
      <c r="B5433">
        <v>1</v>
      </c>
    </row>
    <row r="5434" spans="1:2" x14ac:dyDescent="0.35">
      <c r="A5434">
        <v>237</v>
      </c>
      <c r="B5434">
        <v>1</v>
      </c>
    </row>
    <row r="5435" spans="1:2" x14ac:dyDescent="0.35">
      <c r="A5435">
        <v>237</v>
      </c>
      <c r="B5435">
        <v>1</v>
      </c>
    </row>
    <row r="5436" spans="1:2" x14ac:dyDescent="0.35">
      <c r="A5436">
        <v>238</v>
      </c>
      <c r="B5436">
        <v>1</v>
      </c>
    </row>
    <row r="5437" spans="1:2" x14ac:dyDescent="0.35">
      <c r="A5437">
        <v>238</v>
      </c>
      <c r="B5437">
        <v>1</v>
      </c>
    </row>
    <row r="5438" spans="1:2" x14ac:dyDescent="0.35">
      <c r="A5438">
        <v>238</v>
      </c>
      <c r="B5438">
        <v>1</v>
      </c>
    </row>
    <row r="5439" spans="1:2" x14ac:dyDescent="0.35">
      <c r="A5439">
        <v>238</v>
      </c>
      <c r="B5439">
        <v>1</v>
      </c>
    </row>
    <row r="5440" spans="1:2" x14ac:dyDescent="0.35">
      <c r="A5440">
        <v>238</v>
      </c>
      <c r="B5440">
        <v>1</v>
      </c>
    </row>
    <row r="5441" spans="1:2" x14ac:dyDescent="0.35">
      <c r="A5441">
        <v>238</v>
      </c>
      <c r="B5441">
        <v>1</v>
      </c>
    </row>
    <row r="5442" spans="1:2" x14ac:dyDescent="0.35">
      <c r="A5442">
        <v>238</v>
      </c>
      <c r="B5442">
        <v>1</v>
      </c>
    </row>
    <row r="5443" spans="1:2" x14ac:dyDescent="0.35">
      <c r="A5443">
        <v>238</v>
      </c>
      <c r="B5443">
        <v>1</v>
      </c>
    </row>
    <row r="5444" spans="1:2" x14ac:dyDescent="0.35">
      <c r="A5444">
        <v>238</v>
      </c>
      <c r="B5444">
        <v>1</v>
      </c>
    </row>
    <row r="5445" spans="1:2" x14ac:dyDescent="0.35">
      <c r="A5445">
        <v>238</v>
      </c>
      <c r="B5445">
        <v>1</v>
      </c>
    </row>
    <row r="5446" spans="1:2" x14ac:dyDescent="0.35">
      <c r="A5446">
        <v>238</v>
      </c>
      <c r="B5446">
        <v>1</v>
      </c>
    </row>
    <row r="5447" spans="1:2" x14ac:dyDescent="0.35">
      <c r="A5447">
        <v>238</v>
      </c>
      <c r="B5447">
        <v>1</v>
      </c>
    </row>
    <row r="5448" spans="1:2" x14ac:dyDescent="0.35">
      <c r="A5448">
        <v>239</v>
      </c>
      <c r="B5448">
        <v>1</v>
      </c>
    </row>
    <row r="5449" spans="1:2" x14ac:dyDescent="0.35">
      <c r="A5449">
        <v>239</v>
      </c>
      <c r="B5449">
        <v>1</v>
      </c>
    </row>
    <row r="5450" spans="1:2" x14ac:dyDescent="0.35">
      <c r="A5450">
        <v>239</v>
      </c>
      <c r="B5450">
        <v>1</v>
      </c>
    </row>
    <row r="5451" spans="1:2" x14ac:dyDescent="0.35">
      <c r="A5451">
        <v>239</v>
      </c>
      <c r="B5451">
        <v>1</v>
      </c>
    </row>
    <row r="5452" spans="1:2" x14ac:dyDescent="0.35">
      <c r="A5452">
        <v>239</v>
      </c>
      <c r="B5452">
        <v>1</v>
      </c>
    </row>
    <row r="5453" spans="1:2" x14ac:dyDescent="0.35">
      <c r="A5453">
        <v>239</v>
      </c>
      <c r="B5453">
        <v>1</v>
      </c>
    </row>
    <row r="5454" spans="1:2" x14ac:dyDescent="0.35">
      <c r="A5454">
        <v>239</v>
      </c>
      <c r="B5454">
        <v>1</v>
      </c>
    </row>
    <row r="5455" spans="1:2" x14ac:dyDescent="0.35">
      <c r="A5455">
        <v>240</v>
      </c>
      <c r="B5455">
        <v>1</v>
      </c>
    </row>
    <row r="5456" spans="1:2" x14ac:dyDescent="0.35">
      <c r="A5456">
        <v>240</v>
      </c>
      <c r="B5456">
        <v>1</v>
      </c>
    </row>
    <row r="5457" spans="1:2" x14ac:dyDescent="0.35">
      <c r="A5457">
        <v>240</v>
      </c>
      <c r="B5457">
        <v>1</v>
      </c>
    </row>
    <row r="5458" spans="1:2" x14ac:dyDescent="0.35">
      <c r="A5458">
        <v>240</v>
      </c>
      <c r="B5458">
        <v>1</v>
      </c>
    </row>
    <row r="5459" spans="1:2" x14ac:dyDescent="0.35">
      <c r="A5459">
        <v>240</v>
      </c>
      <c r="B5459">
        <v>1</v>
      </c>
    </row>
    <row r="5460" spans="1:2" x14ac:dyDescent="0.35">
      <c r="A5460">
        <v>240</v>
      </c>
      <c r="B5460">
        <v>1</v>
      </c>
    </row>
    <row r="5461" spans="1:2" x14ac:dyDescent="0.35">
      <c r="A5461">
        <v>240</v>
      </c>
      <c r="B5461">
        <v>1</v>
      </c>
    </row>
    <row r="5462" spans="1:2" x14ac:dyDescent="0.35">
      <c r="A5462">
        <v>240</v>
      </c>
      <c r="B5462">
        <v>1</v>
      </c>
    </row>
    <row r="5463" spans="1:2" x14ac:dyDescent="0.35">
      <c r="A5463">
        <v>240</v>
      </c>
      <c r="B5463">
        <v>1</v>
      </c>
    </row>
    <row r="5464" spans="1:2" x14ac:dyDescent="0.35">
      <c r="A5464">
        <v>240</v>
      </c>
      <c r="B5464">
        <v>1</v>
      </c>
    </row>
    <row r="5465" spans="1:2" x14ac:dyDescent="0.35">
      <c r="A5465">
        <v>241</v>
      </c>
      <c r="B5465">
        <v>1</v>
      </c>
    </row>
    <row r="5466" spans="1:2" x14ac:dyDescent="0.35">
      <c r="A5466">
        <v>241</v>
      </c>
      <c r="B5466">
        <v>1</v>
      </c>
    </row>
    <row r="5467" spans="1:2" x14ac:dyDescent="0.35">
      <c r="A5467">
        <v>241</v>
      </c>
      <c r="B5467">
        <v>1</v>
      </c>
    </row>
    <row r="5468" spans="1:2" x14ac:dyDescent="0.35">
      <c r="A5468">
        <v>241</v>
      </c>
      <c r="B5468">
        <v>1</v>
      </c>
    </row>
    <row r="5469" spans="1:2" x14ac:dyDescent="0.35">
      <c r="A5469">
        <v>241</v>
      </c>
      <c r="B5469">
        <v>1</v>
      </c>
    </row>
    <row r="5470" spans="1:2" x14ac:dyDescent="0.35">
      <c r="A5470">
        <v>241</v>
      </c>
      <c r="B5470">
        <v>1</v>
      </c>
    </row>
    <row r="5471" spans="1:2" x14ac:dyDescent="0.35">
      <c r="A5471">
        <v>241</v>
      </c>
      <c r="B5471">
        <v>1</v>
      </c>
    </row>
    <row r="5472" spans="1:2" x14ac:dyDescent="0.35">
      <c r="A5472">
        <v>242</v>
      </c>
      <c r="B5472">
        <v>1</v>
      </c>
    </row>
    <row r="5473" spans="1:2" x14ac:dyDescent="0.35">
      <c r="A5473">
        <v>242</v>
      </c>
      <c r="B5473">
        <v>1</v>
      </c>
    </row>
    <row r="5474" spans="1:2" x14ac:dyDescent="0.35">
      <c r="A5474">
        <v>242</v>
      </c>
      <c r="B5474">
        <v>1</v>
      </c>
    </row>
    <row r="5475" spans="1:2" x14ac:dyDescent="0.35">
      <c r="A5475">
        <v>242</v>
      </c>
      <c r="B5475">
        <v>1</v>
      </c>
    </row>
    <row r="5476" spans="1:2" x14ac:dyDescent="0.35">
      <c r="A5476">
        <v>242</v>
      </c>
      <c r="B5476">
        <v>1</v>
      </c>
    </row>
    <row r="5477" spans="1:2" x14ac:dyDescent="0.35">
      <c r="A5477">
        <v>242</v>
      </c>
      <c r="B5477">
        <v>1</v>
      </c>
    </row>
    <row r="5478" spans="1:2" x14ac:dyDescent="0.35">
      <c r="A5478">
        <v>242</v>
      </c>
      <c r="B5478">
        <v>1</v>
      </c>
    </row>
    <row r="5479" spans="1:2" x14ac:dyDescent="0.35">
      <c r="A5479">
        <v>242</v>
      </c>
      <c r="B5479">
        <v>1</v>
      </c>
    </row>
    <row r="5480" spans="1:2" x14ac:dyDescent="0.35">
      <c r="A5480">
        <v>242</v>
      </c>
      <c r="B5480">
        <v>1</v>
      </c>
    </row>
    <row r="5481" spans="1:2" x14ac:dyDescent="0.35">
      <c r="A5481">
        <v>243</v>
      </c>
      <c r="B5481">
        <v>1</v>
      </c>
    </row>
    <row r="5482" spans="1:2" x14ac:dyDescent="0.35">
      <c r="A5482">
        <v>243</v>
      </c>
      <c r="B5482">
        <v>1</v>
      </c>
    </row>
    <row r="5483" spans="1:2" x14ac:dyDescent="0.35">
      <c r="A5483">
        <v>243</v>
      </c>
      <c r="B5483">
        <v>1</v>
      </c>
    </row>
    <row r="5484" spans="1:2" x14ac:dyDescent="0.35">
      <c r="A5484">
        <v>243</v>
      </c>
      <c r="B5484">
        <v>1</v>
      </c>
    </row>
    <row r="5485" spans="1:2" x14ac:dyDescent="0.35">
      <c r="A5485">
        <v>243</v>
      </c>
      <c r="B5485">
        <v>1</v>
      </c>
    </row>
    <row r="5486" spans="1:2" x14ac:dyDescent="0.35">
      <c r="A5486">
        <v>243</v>
      </c>
      <c r="B5486">
        <v>1</v>
      </c>
    </row>
    <row r="5487" spans="1:2" x14ac:dyDescent="0.35">
      <c r="A5487">
        <v>243</v>
      </c>
      <c r="B5487">
        <v>1</v>
      </c>
    </row>
    <row r="5488" spans="1:2" x14ac:dyDescent="0.35">
      <c r="A5488">
        <v>243</v>
      </c>
      <c r="B5488">
        <v>1</v>
      </c>
    </row>
    <row r="5489" spans="1:2" x14ac:dyDescent="0.35">
      <c r="A5489">
        <v>243</v>
      </c>
      <c r="B5489">
        <v>1</v>
      </c>
    </row>
    <row r="5490" spans="1:2" x14ac:dyDescent="0.35">
      <c r="A5490">
        <v>243</v>
      </c>
      <c r="B5490">
        <v>1</v>
      </c>
    </row>
    <row r="5491" spans="1:2" x14ac:dyDescent="0.35">
      <c r="A5491">
        <v>243</v>
      </c>
      <c r="B5491">
        <v>1</v>
      </c>
    </row>
    <row r="5492" spans="1:2" x14ac:dyDescent="0.35">
      <c r="A5492">
        <v>243</v>
      </c>
      <c r="B5492">
        <v>1</v>
      </c>
    </row>
    <row r="5493" spans="1:2" x14ac:dyDescent="0.35">
      <c r="A5493">
        <v>244</v>
      </c>
      <c r="B5493">
        <v>1</v>
      </c>
    </row>
    <row r="5494" spans="1:2" x14ac:dyDescent="0.35">
      <c r="A5494">
        <v>244</v>
      </c>
      <c r="B5494">
        <v>1</v>
      </c>
    </row>
    <row r="5495" spans="1:2" x14ac:dyDescent="0.35">
      <c r="A5495">
        <v>244</v>
      </c>
      <c r="B5495">
        <v>1</v>
      </c>
    </row>
    <row r="5496" spans="1:2" x14ac:dyDescent="0.35">
      <c r="A5496">
        <v>244</v>
      </c>
      <c r="B5496">
        <v>1</v>
      </c>
    </row>
    <row r="5497" spans="1:2" x14ac:dyDescent="0.35">
      <c r="A5497">
        <v>244</v>
      </c>
      <c r="B5497">
        <v>1</v>
      </c>
    </row>
    <row r="5498" spans="1:2" x14ac:dyDescent="0.35">
      <c r="A5498">
        <v>244</v>
      </c>
      <c r="B5498">
        <v>1</v>
      </c>
    </row>
    <row r="5499" spans="1:2" x14ac:dyDescent="0.35">
      <c r="A5499">
        <v>244</v>
      </c>
      <c r="B5499">
        <v>1</v>
      </c>
    </row>
    <row r="5500" spans="1:2" x14ac:dyDescent="0.35">
      <c r="A5500">
        <v>244</v>
      </c>
      <c r="B5500">
        <v>1</v>
      </c>
    </row>
    <row r="5501" spans="1:2" x14ac:dyDescent="0.35">
      <c r="A5501">
        <v>244</v>
      </c>
      <c r="B5501">
        <v>1</v>
      </c>
    </row>
    <row r="5502" spans="1:2" x14ac:dyDescent="0.35">
      <c r="A5502">
        <v>244</v>
      </c>
      <c r="B5502">
        <v>1</v>
      </c>
    </row>
    <row r="5503" spans="1:2" x14ac:dyDescent="0.35">
      <c r="A5503">
        <v>244</v>
      </c>
      <c r="B5503">
        <v>1</v>
      </c>
    </row>
    <row r="5504" spans="1:2" x14ac:dyDescent="0.35">
      <c r="A5504">
        <v>245</v>
      </c>
      <c r="B5504">
        <v>1</v>
      </c>
    </row>
    <row r="5505" spans="1:2" x14ac:dyDescent="0.35">
      <c r="A5505">
        <v>245</v>
      </c>
      <c r="B5505">
        <v>1</v>
      </c>
    </row>
    <row r="5506" spans="1:2" x14ac:dyDescent="0.35">
      <c r="A5506">
        <v>245</v>
      </c>
      <c r="B5506">
        <v>1</v>
      </c>
    </row>
    <row r="5507" spans="1:2" x14ac:dyDescent="0.35">
      <c r="A5507">
        <v>245</v>
      </c>
      <c r="B5507">
        <v>1</v>
      </c>
    </row>
    <row r="5508" spans="1:2" x14ac:dyDescent="0.35">
      <c r="A5508">
        <v>245</v>
      </c>
      <c r="B5508">
        <v>1</v>
      </c>
    </row>
    <row r="5509" spans="1:2" x14ac:dyDescent="0.35">
      <c r="A5509">
        <v>245</v>
      </c>
      <c r="B5509">
        <v>1</v>
      </c>
    </row>
    <row r="5510" spans="1:2" x14ac:dyDescent="0.35">
      <c r="A5510">
        <v>245</v>
      </c>
      <c r="B5510">
        <v>1</v>
      </c>
    </row>
    <row r="5511" spans="1:2" x14ac:dyDescent="0.35">
      <c r="A5511">
        <v>245</v>
      </c>
      <c r="B5511">
        <v>1</v>
      </c>
    </row>
    <row r="5512" spans="1:2" x14ac:dyDescent="0.35">
      <c r="A5512">
        <v>245</v>
      </c>
      <c r="B5512">
        <v>1</v>
      </c>
    </row>
    <row r="5513" spans="1:2" x14ac:dyDescent="0.35">
      <c r="A5513">
        <v>245</v>
      </c>
      <c r="B5513">
        <v>1</v>
      </c>
    </row>
    <row r="5514" spans="1:2" x14ac:dyDescent="0.35">
      <c r="A5514">
        <v>245</v>
      </c>
      <c r="B5514">
        <v>1</v>
      </c>
    </row>
    <row r="5515" spans="1:2" x14ac:dyDescent="0.35">
      <c r="A5515">
        <v>245</v>
      </c>
      <c r="B5515">
        <v>1</v>
      </c>
    </row>
    <row r="5516" spans="1:2" x14ac:dyDescent="0.35">
      <c r="A5516">
        <v>245</v>
      </c>
      <c r="B5516">
        <v>1</v>
      </c>
    </row>
    <row r="5517" spans="1:2" x14ac:dyDescent="0.35">
      <c r="A5517">
        <v>245</v>
      </c>
      <c r="B5517">
        <v>1</v>
      </c>
    </row>
    <row r="5518" spans="1:2" x14ac:dyDescent="0.35">
      <c r="A5518">
        <v>245</v>
      </c>
      <c r="B5518">
        <v>1</v>
      </c>
    </row>
    <row r="5519" spans="1:2" x14ac:dyDescent="0.35">
      <c r="A5519">
        <v>245</v>
      </c>
      <c r="B5519">
        <v>1</v>
      </c>
    </row>
    <row r="5520" spans="1:2" x14ac:dyDescent="0.35">
      <c r="A5520">
        <v>245</v>
      </c>
      <c r="B5520">
        <v>1</v>
      </c>
    </row>
    <row r="5521" spans="1:2" x14ac:dyDescent="0.35">
      <c r="A5521">
        <v>245</v>
      </c>
      <c r="B5521">
        <v>1</v>
      </c>
    </row>
    <row r="5522" spans="1:2" x14ac:dyDescent="0.35">
      <c r="A5522">
        <v>246</v>
      </c>
      <c r="B5522">
        <v>1</v>
      </c>
    </row>
    <row r="5523" spans="1:2" x14ac:dyDescent="0.35">
      <c r="A5523">
        <v>246</v>
      </c>
      <c r="B5523">
        <v>1</v>
      </c>
    </row>
    <row r="5524" spans="1:2" x14ac:dyDescent="0.35">
      <c r="A5524">
        <v>246</v>
      </c>
      <c r="B5524">
        <v>1</v>
      </c>
    </row>
    <row r="5525" spans="1:2" x14ac:dyDescent="0.35">
      <c r="A5525">
        <v>246</v>
      </c>
      <c r="B5525">
        <v>1</v>
      </c>
    </row>
    <row r="5526" spans="1:2" x14ac:dyDescent="0.35">
      <c r="A5526">
        <v>246</v>
      </c>
      <c r="B5526">
        <v>1</v>
      </c>
    </row>
    <row r="5527" spans="1:2" x14ac:dyDescent="0.35">
      <c r="A5527">
        <v>246</v>
      </c>
      <c r="B5527">
        <v>1</v>
      </c>
    </row>
    <row r="5528" spans="1:2" x14ac:dyDescent="0.35">
      <c r="A5528">
        <v>246</v>
      </c>
      <c r="B5528">
        <v>1</v>
      </c>
    </row>
    <row r="5529" spans="1:2" x14ac:dyDescent="0.35">
      <c r="A5529">
        <v>246</v>
      </c>
      <c r="B5529">
        <v>1</v>
      </c>
    </row>
    <row r="5530" spans="1:2" x14ac:dyDescent="0.35">
      <c r="A5530">
        <v>246</v>
      </c>
      <c r="B5530">
        <v>1</v>
      </c>
    </row>
    <row r="5531" spans="1:2" x14ac:dyDescent="0.35">
      <c r="A5531">
        <v>246</v>
      </c>
      <c r="B5531">
        <v>1</v>
      </c>
    </row>
    <row r="5532" spans="1:2" x14ac:dyDescent="0.35">
      <c r="A5532">
        <v>246</v>
      </c>
      <c r="B5532">
        <v>1</v>
      </c>
    </row>
    <row r="5533" spans="1:2" x14ac:dyDescent="0.35">
      <c r="A5533">
        <v>246</v>
      </c>
      <c r="B5533">
        <v>1</v>
      </c>
    </row>
    <row r="5534" spans="1:2" x14ac:dyDescent="0.35">
      <c r="A5534">
        <v>246</v>
      </c>
      <c r="B5534">
        <v>1</v>
      </c>
    </row>
    <row r="5535" spans="1:2" x14ac:dyDescent="0.35">
      <c r="A5535">
        <v>246</v>
      </c>
      <c r="B5535">
        <v>1</v>
      </c>
    </row>
    <row r="5536" spans="1:2" x14ac:dyDescent="0.35">
      <c r="A5536">
        <v>246</v>
      </c>
      <c r="B5536">
        <v>1</v>
      </c>
    </row>
    <row r="5537" spans="1:2" x14ac:dyDescent="0.35">
      <c r="A5537">
        <v>246</v>
      </c>
      <c r="B5537">
        <v>1</v>
      </c>
    </row>
    <row r="5538" spans="1:2" x14ac:dyDescent="0.35">
      <c r="A5538">
        <v>246</v>
      </c>
      <c r="B5538">
        <v>1</v>
      </c>
    </row>
    <row r="5539" spans="1:2" x14ac:dyDescent="0.35">
      <c r="A5539">
        <v>246</v>
      </c>
      <c r="B5539">
        <v>1</v>
      </c>
    </row>
    <row r="5540" spans="1:2" x14ac:dyDescent="0.35">
      <c r="A5540">
        <v>247</v>
      </c>
      <c r="B5540">
        <v>1</v>
      </c>
    </row>
    <row r="5541" spans="1:2" x14ac:dyDescent="0.35">
      <c r="A5541">
        <v>247</v>
      </c>
      <c r="B5541">
        <v>1</v>
      </c>
    </row>
    <row r="5542" spans="1:2" x14ac:dyDescent="0.35">
      <c r="A5542">
        <v>247</v>
      </c>
      <c r="B5542">
        <v>1</v>
      </c>
    </row>
    <row r="5543" spans="1:2" x14ac:dyDescent="0.35">
      <c r="A5543">
        <v>247</v>
      </c>
      <c r="B5543">
        <v>1</v>
      </c>
    </row>
    <row r="5544" spans="1:2" x14ac:dyDescent="0.35">
      <c r="A5544">
        <v>247</v>
      </c>
      <c r="B5544">
        <v>1</v>
      </c>
    </row>
    <row r="5545" spans="1:2" x14ac:dyDescent="0.35">
      <c r="A5545">
        <v>247</v>
      </c>
      <c r="B5545">
        <v>1</v>
      </c>
    </row>
    <row r="5546" spans="1:2" x14ac:dyDescent="0.35">
      <c r="A5546">
        <v>247</v>
      </c>
      <c r="B5546">
        <v>1</v>
      </c>
    </row>
    <row r="5547" spans="1:2" x14ac:dyDescent="0.35">
      <c r="A5547">
        <v>247</v>
      </c>
      <c r="B5547">
        <v>1</v>
      </c>
    </row>
    <row r="5548" spans="1:2" x14ac:dyDescent="0.35">
      <c r="A5548">
        <v>248</v>
      </c>
      <c r="B5548">
        <v>1</v>
      </c>
    </row>
    <row r="5549" spans="1:2" x14ac:dyDescent="0.35">
      <c r="A5549">
        <v>248</v>
      </c>
      <c r="B5549">
        <v>1</v>
      </c>
    </row>
    <row r="5550" spans="1:2" x14ac:dyDescent="0.35">
      <c r="A5550">
        <v>248</v>
      </c>
      <c r="B5550">
        <v>1</v>
      </c>
    </row>
    <row r="5551" spans="1:2" x14ac:dyDescent="0.35">
      <c r="A5551">
        <v>248</v>
      </c>
      <c r="B5551">
        <v>1</v>
      </c>
    </row>
    <row r="5552" spans="1:2" x14ac:dyDescent="0.35">
      <c r="A5552">
        <v>248</v>
      </c>
      <c r="B5552">
        <v>1</v>
      </c>
    </row>
    <row r="5553" spans="1:2" x14ac:dyDescent="0.35">
      <c r="A5553">
        <v>248</v>
      </c>
      <c r="B5553">
        <v>1</v>
      </c>
    </row>
    <row r="5554" spans="1:2" x14ac:dyDescent="0.35">
      <c r="A5554">
        <v>248</v>
      </c>
      <c r="B5554">
        <v>1</v>
      </c>
    </row>
    <row r="5555" spans="1:2" x14ac:dyDescent="0.35">
      <c r="A5555">
        <v>248</v>
      </c>
      <c r="B5555">
        <v>1</v>
      </c>
    </row>
    <row r="5556" spans="1:2" x14ac:dyDescent="0.35">
      <c r="A5556">
        <v>248</v>
      </c>
      <c r="B5556">
        <v>1</v>
      </c>
    </row>
    <row r="5557" spans="1:2" x14ac:dyDescent="0.35">
      <c r="A5557">
        <v>248</v>
      </c>
      <c r="B5557">
        <v>1</v>
      </c>
    </row>
    <row r="5558" spans="1:2" x14ac:dyDescent="0.35">
      <c r="A5558">
        <v>248</v>
      </c>
      <c r="B5558">
        <v>1</v>
      </c>
    </row>
    <row r="5559" spans="1:2" x14ac:dyDescent="0.35">
      <c r="A5559">
        <v>248</v>
      </c>
      <c r="B5559">
        <v>1</v>
      </c>
    </row>
    <row r="5560" spans="1:2" x14ac:dyDescent="0.35">
      <c r="A5560">
        <v>248</v>
      </c>
      <c r="B5560">
        <v>1</v>
      </c>
    </row>
    <row r="5561" spans="1:2" x14ac:dyDescent="0.35">
      <c r="A5561">
        <v>248</v>
      </c>
      <c r="B5561">
        <v>1</v>
      </c>
    </row>
    <row r="5562" spans="1:2" x14ac:dyDescent="0.35">
      <c r="A5562">
        <v>248</v>
      </c>
      <c r="B5562">
        <v>1</v>
      </c>
    </row>
    <row r="5563" spans="1:2" x14ac:dyDescent="0.35">
      <c r="A5563">
        <v>248</v>
      </c>
      <c r="B5563">
        <v>1</v>
      </c>
    </row>
    <row r="5564" spans="1:2" x14ac:dyDescent="0.35">
      <c r="A5564">
        <v>248</v>
      </c>
      <c r="B5564">
        <v>1</v>
      </c>
    </row>
    <row r="5565" spans="1:2" x14ac:dyDescent="0.35">
      <c r="A5565">
        <v>249</v>
      </c>
      <c r="B5565">
        <v>1</v>
      </c>
    </row>
    <row r="5566" spans="1:2" x14ac:dyDescent="0.35">
      <c r="A5566">
        <v>249</v>
      </c>
      <c r="B5566">
        <v>1</v>
      </c>
    </row>
    <row r="5567" spans="1:2" x14ac:dyDescent="0.35">
      <c r="A5567">
        <v>249</v>
      </c>
      <c r="B5567">
        <v>1</v>
      </c>
    </row>
    <row r="5568" spans="1:2" x14ac:dyDescent="0.35">
      <c r="A5568">
        <v>249</v>
      </c>
      <c r="B5568">
        <v>1</v>
      </c>
    </row>
    <row r="5569" spans="1:2" x14ac:dyDescent="0.35">
      <c r="A5569">
        <v>249</v>
      </c>
      <c r="B5569">
        <v>1</v>
      </c>
    </row>
    <row r="5570" spans="1:2" x14ac:dyDescent="0.35">
      <c r="A5570">
        <v>249</v>
      </c>
      <c r="B5570">
        <v>1</v>
      </c>
    </row>
    <row r="5571" spans="1:2" x14ac:dyDescent="0.35">
      <c r="A5571">
        <v>249</v>
      </c>
      <c r="B5571">
        <v>1</v>
      </c>
    </row>
    <row r="5572" spans="1:2" x14ac:dyDescent="0.35">
      <c r="A5572">
        <v>249</v>
      </c>
      <c r="B5572">
        <v>1</v>
      </c>
    </row>
    <row r="5573" spans="1:2" x14ac:dyDescent="0.35">
      <c r="A5573">
        <v>249</v>
      </c>
      <c r="B5573">
        <v>1</v>
      </c>
    </row>
    <row r="5574" spans="1:2" x14ac:dyDescent="0.35">
      <c r="A5574">
        <v>250</v>
      </c>
      <c r="B5574">
        <v>1</v>
      </c>
    </row>
    <row r="5575" spans="1:2" x14ac:dyDescent="0.35">
      <c r="A5575">
        <v>250</v>
      </c>
      <c r="B5575">
        <v>1</v>
      </c>
    </row>
    <row r="5576" spans="1:2" x14ac:dyDescent="0.35">
      <c r="A5576">
        <v>250</v>
      </c>
      <c r="B5576">
        <v>1</v>
      </c>
    </row>
    <row r="5577" spans="1:2" x14ac:dyDescent="0.35">
      <c r="A5577">
        <v>250</v>
      </c>
      <c r="B5577">
        <v>1</v>
      </c>
    </row>
    <row r="5578" spans="1:2" x14ac:dyDescent="0.35">
      <c r="A5578">
        <v>250</v>
      </c>
      <c r="B5578">
        <v>1</v>
      </c>
    </row>
    <row r="5579" spans="1:2" x14ac:dyDescent="0.35">
      <c r="A5579">
        <v>250</v>
      </c>
      <c r="B5579">
        <v>1</v>
      </c>
    </row>
    <row r="5580" spans="1:2" x14ac:dyDescent="0.35">
      <c r="A5580">
        <v>250</v>
      </c>
      <c r="B5580">
        <v>1</v>
      </c>
    </row>
    <row r="5581" spans="1:2" x14ac:dyDescent="0.35">
      <c r="A5581">
        <v>250</v>
      </c>
      <c r="B5581">
        <v>1</v>
      </c>
    </row>
    <row r="5582" spans="1:2" x14ac:dyDescent="0.35">
      <c r="A5582">
        <v>250</v>
      </c>
      <c r="B5582">
        <v>1</v>
      </c>
    </row>
    <row r="5583" spans="1:2" x14ac:dyDescent="0.35">
      <c r="A5583">
        <v>250</v>
      </c>
      <c r="B5583">
        <v>1</v>
      </c>
    </row>
    <row r="5584" spans="1:2" x14ac:dyDescent="0.35">
      <c r="A5584">
        <v>250</v>
      </c>
      <c r="B5584">
        <v>1</v>
      </c>
    </row>
    <row r="5585" spans="1:2" x14ac:dyDescent="0.35">
      <c r="A5585">
        <v>250</v>
      </c>
      <c r="B5585">
        <v>1</v>
      </c>
    </row>
    <row r="5586" spans="1:2" x14ac:dyDescent="0.35">
      <c r="A5586">
        <v>251</v>
      </c>
      <c r="B5586">
        <v>1</v>
      </c>
    </row>
    <row r="5587" spans="1:2" x14ac:dyDescent="0.35">
      <c r="A5587">
        <v>251</v>
      </c>
      <c r="B5587">
        <v>1</v>
      </c>
    </row>
    <row r="5588" spans="1:2" x14ac:dyDescent="0.35">
      <c r="A5588">
        <v>251</v>
      </c>
      <c r="B5588">
        <v>1</v>
      </c>
    </row>
    <row r="5589" spans="1:2" x14ac:dyDescent="0.35">
      <c r="A5589">
        <v>251</v>
      </c>
      <c r="B5589">
        <v>1</v>
      </c>
    </row>
    <row r="5590" spans="1:2" x14ac:dyDescent="0.35">
      <c r="A5590">
        <v>251</v>
      </c>
      <c r="B5590">
        <v>1</v>
      </c>
    </row>
    <row r="5591" spans="1:2" x14ac:dyDescent="0.35">
      <c r="A5591">
        <v>251</v>
      </c>
      <c r="B5591">
        <v>1</v>
      </c>
    </row>
    <row r="5592" spans="1:2" x14ac:dyDescent="0.35">
      <c r="A5592">
        <v>251</v>
      </c>
      <c r="B5592">
        <v>1</v>
      </c>
    </row>
    <row r="5593" spans="1:2" x14ac:dyDescent="0.35">
      <c r="A5593">
        <v>251</v>
      </c>
      <c r="B5593">
        <v>1</v>
      </c>
    </row>
    <row r="5594" spans="1:2" x14ac:dyDescent="0.35">
      <c r="A5594">
        <v>251</v>
      </c>
      <c r="B5594">
        <v>1</v>
      </c>
    </row>
    <row r="5595" spans="1:2" x14ac:dyDescent="0.35">
      <c r="A5595">
        <v>252</v>
      </c>
      <c r="B5595">
        <v>1</v>
      </c>
    </row>
    <row r="5596" spans="1:2" x14ac:dyDescent="0.35">
      <c r="A5596">
        <v>252</v>
      </c>
      <c r="B5596">
        <v>1</v>
      </c>
    </row>
    <row r="5597" spans="1:2" x14ac:dyDescent="0.35">
      <c r="A5597">
        <v>252</v>
      </c>
      <c r="B5597">
        <v>1</v>
      </c>
    </row>
    <row r="5598" spans="1:2" x14ac:dyDescent="0.35">
      <c r="A5598">
        <v>252</v>
      </c>
      <c r="B5598">
        <v>1</v>
      </c>
    </row>
    <row r="5599" spans="1:2" x14ac:dyDescent="0.35">
      <c r="A5599">
        <v>252</v>
      </c>
      <c r="B5599">
        <v>1</v>
      </c>
    </row>
    <row r="5600" spans="1:2" x14ac:dyDescent="0.35">
      <c r="A5600">
        <v>252</v>
      </c>
      <c r="B5600">
        <v>1</v>
      </c>
    </row>
    <row r="5601" spans="1:2" x14ac:dyDescent="0.35">
      <c r="A5601">
        <v>252</v>
      </c>
      <c r="B5601">
        <v>1</v>
      </c>
    </row>
    <row r="5602" spans="1:2" x14ac:dyDescent="0.35">
      <c r="A5602">
        <v>252</v>
      </c>
      <c r="B5602">
        <v>1</v>
      </c>
    </row>
    <row r="5603" spans="1:2" x14ac:dyDescent="0.35">
      <c r="A5603">
        <v>252</v>
      </c>
      <c r="B5603">
        <v>1</v>
      </c>
    </row>
    <row r="5604" spans="1:2" x14ac:dyDescent="0.35">
      <c r="A5604">
        <v>253</v>
      </c>
      <c r="B5604">
        <v>1</v>
      </c>
    </row>
    <row r="5605" spans="1:2" x14ac:dyDescent="0.35">
      <c r="A5605">
        <v>253</v>
      </c>
      <c r="B5605">
        <v>1</v>
      </c>
    </row>
    <row r="5606" spans="1:2" x14ac:dyDescent="0.35">
      <c r="A5606">
        <v>253</v>
      </c>
      <c r="B5606">
        <v>1</v>
      </c>
    </row>
    <row r="5607" spans="1:2" x14ac:dyDescent="0.35">
      <c r="A5607">
        <v>253</v>
      </c>
      <c r="B5607">
        <v>1</v>
      </c>
    </row>
    <row r="5608" spans="1:2" x14ac:dyDescent="0.35">
      <c r="A5608">
        <v>253</v>
      </c>
      <c r="B5608">
        <v>1</v>
      </c>
    </row>
    <row r="5609" spans="1:2" x14ac:dyDescent="0.35">
      <c r="A5609">
        <v>253</v>
      </c>
      <c r="B5609">
        <v>1</v>
      </c>
    </row>
    <row r="5610" spans="1:2" x14ac:dyDescent="0.35">
      <c r="A5610">
        <v>253</v>
      </c>
      <c r="B5610">
        <v>1</v>
      </c>
    </row>
    <row r="5611" spans="1:2" x14ac:dyDescent="0.35">
      <c r="A5611">
        <v>253</v>
      </c>
      <c r="B5611">
        <v>1</v>
      </c>
    </row>
    <row r="5612" spans="1:2" x14ac:dyDescent="0.35">
      <c r="A5612">
        <v>253</v>
      </c>
      <c r="B5612">
        <v>1</v>
      </c>
    </row>
    <row r="5613" spans="1:2" x14ac:dyDescent="0.35">
      <c r="A5613">
        <v>254</v>
      </c>
      <c r="B5613">
        <v>1</v>
      </c>
    </row>
    <row r="5614" spans="1:2" x14ac:dyDescent="0.35">
      <c r="A5614">
        <v>254</v>
      </c>
      <c r="B5614">
        <v>1</v>
      </c>
    </row>
    <row r="5615" spans="1:2" x14ac:dyDescent="0.35">
      <c r="A5615">
        <v>254</v>
      </c>
      <c r="B5615">
        <v>1</v>
      </c>
    </row>
    <row r="5616" spans="1:2" x14ac:dyDescent="0.35">
      <c r="A5616">
        <v>254</v>
      </c>
      <c r="B5616">
        <v>1</v>
      </c>
    </row>
    <row r="5617" spans="1:2" x14ac:dyDescent="0.35">
      <c r="A5617">
        <v>254</v>
      </c>
      <c r="B5617">
        <v>1</v>
      </c>
    </row>
    <row r="5618" spans="1:2" x14ac:dyDescent="0.35">
      <c r="A5618">
        <v>254</v>
      </c>
      <c r="B5618">
        <v>1</v>
      </c>
    </row>
    <row r="5619" spans="1:2" x14ac:dyDescent="0.35">
      <c r="A5619">
        <v>254</v>
      </c>
      <c r="B5619">
        <v>1</v>
      </c>
    </row>
    <row r="5620" spans="1:2" x14ac:dyDescent="0.35">
      <c r="A5620">
        <v>254</v>
      </c>
      <c r="B5620">
        <v>1</v>
      </c>
    </row>
    <row r="5621" spans="1:2" x14ac:dyDescent="0.35">
      <c r="A5621">
        <v>254</v>
      </c>
      <c r="B5621">
        <v>1</v>
      </c>
    </row>
    <row r="5622" spans="1:2" x14ac:dyDescent="0.35">
      <c r="A5622">
        <v>254</v>
      </c>
      <c r="B5622">
        <v>1</v>
      </c>
    </row>
    <row r="5623" spans="1:2" x14ac:dyDescent="0.35">
      <c r="A5623">
        <v>254</v>
      </c>
      <c r="B5623">
        <v>1</v>
      </c>
    </row>
    <row r="5624" spans="1:2" x14ac:dyDescent="0.35">
      <c r="A5624">
        <v>255</v>
      </c>
      <c r="B5624">
        <v>1</v>
      </c>
    </row>
    <row r="5625" spans="1:2" x14ac:dyDescent="0.35">
      <c r="A5625">
        <v>255</v>
      </c>
      <c r="B5625">
        <v>1</v>
      </c>
    </row>
    <row r="5626" spans="1:2" x14ac:dyDescent="0.35">
      <c r="A5626">
        <v>255</v>
      </c>
      <c r="B5626">
        <v>1</v>
      </c>
    </row>
    <row r="5627" spans="1:2" x14ac:dyDescent="0.35">
      <c r="A5627">
        <v>255</v>
      </c>
      <c r="B5627">
        <v>1</v>
      </c>
    </row>
    <row r="5628" spans="1:2" x14ac:dyDescent="0.35">
      <c r="A5628">
        <v>255</v>
      </c>
      <c r="B5628">
        <v>1</v>
      </c>
    </row>
    <row r="5629" spans="1:2" x14ac:dyDescent="0.35">
      <c r="A5629">
        <v>255</v>
      </c>
      <c r="B5629">
        <v>1</v>
      </c>
    </row>
    <row r="5630" spans="1:2" x14ac:dyDescent="0.35">
      <c r="A5630">
        <v>255</v>
      </c>
      <c r="B5630">
        <v>1</v>
      </c>
    </row>
    <row r="5631" spans="1:2" x14ac:dyDescent="0.35">
      <c r="A5631">
        <v>255</v>
      </c>
      <c r="B5631">
        <v>1</v>
      </c>
    </row>
    <row r="5632" spans="1:2" x14ac:dyDescent="0.35">
      <c r="A5632">
        <v>255</v>
      </c>
      <c r="B5632">
        <v>1</v>
      </c>
    </row>
    <row r="5633" spans="1:2" x14ac:dyDescent="0.35">
      <c r="A5633">
        <v>255</v>
      </c>
      <c r="B5633">
        <v>1</v>
      </c>
    </row>
    <row r="5634" spans="1:2" x14ac:dyDescent="0.35">
      <c r="A5634">
        <v>256</v>
      </c>
      <c r="B5634">
        <v>1</v>
      </c>
    </row>
    <row r="5635" spans="1:2" x14ac:dyDescent="0.35">
      <c r="A5635">
        <v>256</v>
      </c>
      <c r="B5635">
        <v>1</v>
      </c>
    </row>
    <row r="5636" spans="1:2" x14ac:dyDescent="0.35">
      <c r="A5636">
        <v>256</v>
      </c>
      <c r="B5636">
        <v>1</v>
      </c>
    </row>
    <row r="5637" spans="1:2" x14ac:dyDescent="0.35">
      <c r="A5637">
        <v>256</v>
      </c>
      <c r="B5637">
        <v>1</v>
      </c>
    </row>
    <row r="5638" spans="1:2" x14ac:dyDescent="0.35">
      <c r="A5638">
        <v>256</v>
      </c>
      <c r="B5638">
        <v>1</v>
      </c>
    </row>
    <row r="5639" spans="1:2" x14ac:dyDescent="0.35">
      <c r="A5639">
        <v>256</v>
      </c>
      <c r="B5639">
        <v>1</v>
      </c>
    </row>
    <row r="5640" spans="1:2" x14ac:dyDescent="0.35">
      <c r="A5640">
        <v>256</v>
      </c>
      <c r="B5640">
        <v>1</v>
      </c>
    </row>
    <row r="5641" spans="1:2" x14ac:dyDescent="0.35">
      <c r="A5641">
        <v>256</v>
      </c>
      <c r="B5641">
        <v>1</v>
      </c>
    </row>
    <row r="5642" spans="1:2" x14ac:dyDescent="0.35">
      <c r="A5642">
        <v>256</v>
      </c>
      <c r="B5642">
        <v>1</v>
      </c>
    </row>
    <row r="5643" spans="1:2" x14ac:dyDescent="0.35">
      <c r="A5643">
        <v>257</v>
      </c>
      <c r="B5643">
        <v>1</v>
      </c>
    </row>
    <row r="5644" spans="1:2" x14ac:dyDescent="0.35">
      <c r="A5644">
        <v>257</v>
      </c>
      <c r="B5644">
        <v>1</v>
      </c>
    </row>
    <row r="5645" spans="1:2" x14ac:dyDescent="0.35">
      <c r="A5645">
        <v>257</v>
      </c>
      <c r="B5645">
        <v>1</v>
      </c>
    </row>
    <row r="5646" spans="1:2" x14ac:dyDescent="0.35">
      <c r="A5646">
        <v>257</v>
      </c>
      <c r="B5646">
        <v>1</v>
      </c>
    </row>
    <row r="5647" spans="1:2" x14ac:dyDescent="0.35">
      <c r="A5647">
        <v>257</v>
      </c>
      <c r="B5647">
        <v>1</v>
      </c>
    </row>
    <row r="5648" spans="1:2" x14ac:dyDescent="0.35">
      <c r="A5648">
        <v>257</v>
      </c>
      <c r="B5648">
        <v>1</v>
      </c>
    </row>
    <row r="5649" spans="1:2" x14ac:dyDescent="0.35">
      <c r="A5649">
        <v>257</v>
      </c>
      <c r="B5649">
        <v>1</v>
      </c>
    </row>
    <row r="5650" spans="1:2" x14ac:dyDescent="0.35">
      <c r="A5650">
        <v>257</v>
      </c>
      <c r="B5650">
        <v>1</v>
      </c>
    </row>
    <row r="5651" spans="1:2" x14ac:dyDescent="0.35">
      <c r="A5651">
        <v>257</v>
      </c>
      <c r="B5651">
        <v>1</v>
      </c>
    </row>
    <row r="5652" spans="1:2" x14ac:dyDescent="0.35">
      <c r="A5652">
        <v>257</v>
      </c>
      <c r="B5652">
        <v>1</v>
      </c>
    </row>
    <row r="5653" spans="1:2" x14ac:dyDescent="0.35">
      <c r="A5653">
        <v>258</v>
      </c>
      <c r="B5653">
        <v>1</v>
      </c>
    </row>
    <row r="5654" spans="1:2" x14ac:dyDescent="0.35">
      <c r="A5654">
        <v>258</v>
      </c>
      <c r="B5654">
        <v>1</v>
      </c>
    </row>
    <row r="5655" spans="1:2" x14ac:dyDescent="0.35">
      <c r="A5655">
        <v>258</v>
      </c>
      <c r="B5655">
        <v>1</v>
      </c>
    </row>
    <row r="5656" spans="1:2" x14ac:dyDescent="0.35">
      <c r="A5656">
        <v>258</v>
      </c>
      <c r="B5656">
        <v>1</v>
      </c>
    </row>
    <row r="5657" spans="1:2" x14ac:dyDescent="0.35">
      <c r="A5657">
        <v>258</v>
      </c>
      <c r="B5657">
        <v>1</v>
      </c>
    </row>
    <row r="5658" spans="1:2" x14ac:dyDescent="0.35">
      <c r="A5658">
        <v>258</v>
      </c>
      <c r="B5658">
        <v>1</v>
      </c>
    </row>
    <row r="5659" spans="1:2" x14ac:dyDescent="0.35">
      <c r="A5659">
        <v>258</v>
      </c>
      <c r="B5659">
        <v>1</v>
      </c>
    </row>
    <row r="5660" spans="1:2" x14ac:dyDescent="0.35">
      <c r="A5660">
        <v>258</v>
      </c>
      <c r="B5660">
        <v>1</v>
      </c>
    </row>
    <row r="5661" spans="1:2" x14ac:dyDescent="0.35">
      <c r="A5661">
        <v>258</v>
      </c>
      <c r="B5661">
        <v>1</v>
      </c>
    </row>
    <row r="5662" spans="1:2" x14ac:dyDescent="0.35">
      <c r="A5662">
        <v>259</v>
      </c>
      <c r="B5662">
        <v>1</v>
      </c>
    </row>
    <row r="5663" spans="1:2" x14ac:dyDescent="0.35">
      <c r="A5663">
        <v>259</v>
      </c>
      <c r="B5663">
        <v>1</v>
      </c>
    </row>
    <row r="5664" spans="1:2" x14ac:dyDescent="0.35">
      <c r="A5664">
        <v>259</v>
      </c>
      <c r="B5664">
        <v>1</v>
      </c>
    </row>
    <row r="5665" spans="1:2" x14ac:dyDescent="0.35">
      <c r="A5665">
        <v>260</v>
      </c>
      <c r="B5665">
        <v>1</v>
      </c>
    </row>
    <row r="5666" spans="1:2" x14ac:dyDescent="0.35">
      <c r="A5666">
        <v>260</v>
      </c>
      <c r="B5666">
        <v>1</v>
      </c>
    </row>
    <row r="5667" spans="1:2" x14ac:dyDescent="0.35">
      <c r="A5667">
        <v>260</v>
      </c>
      <c r="B5667">
        <v>1</v>
      </c>
    </row>
    <row r="5668" spans="1:2" x14ac:dyDescent="0.35">
      <c r="A5668">
        <v>260</v>
      </c>
      <c r="B5668">
        <v>1</v>
      </c>
    </row>
    <row r="5669" spans="1:2" x14ac:dyDescent="0.35">
      <c r="A5669">
        <v>260</v>
      </c>
      <c r="B5669">
        <v>1</v>
      </c>
    </row>
    <row r="5670" spans="1:2" x14ac:dyDescent="0.35">
      <c r="A5670">
        <v>260</v>
      </c>
      <c r="B5670">
        <v>1</v>
      </c>
    </row>
    <row r="5671" spans="1:2" x14ac:dyDescent="0.35">
      <c r="A5671">
        <v>260</v>
      </c>
      <c r="B5671">
        <v>1</v>
      </c>
    </row>
    <row r="5672" spans="1:2" x14ac:dyDescent="0.35">
      <c r="A5672">
        <v>260</v>
      </c>
      <c r="B5672">
        <v>1</v>
      </c>
    </row>
    <row r="5673" spans="1:2" x14ac:dyDescent="0.35">
      <c r="A5673">
        <v>260</v>
      </c>
      <c r="B5673">
        <v>1</v>
      </c>
    </row>
    <row r="5674" spans="1:2" x14ac:dyDescent="0.35">
      <c r="A5674">
        <v>260</v>
      </c>
      <c r="B5674">
        <v>1</v>
      </c>
    </row>
    <row r="5675" spans="1:2" x14ac:dyDescent="0.35">
      <c r="A5675">
        <v>260</v>
      </c>
      <c r="B5675">
        <v>1</v>
      </c>
    </row>
    <row r="5676" spans="1:2" x14ac:dyDescent="0.35">
      <c r="A5676">
        <v>261</v>
      </c>
      <c r="B5676">
        <v>1</v>
      </c>
    </row>
    <row r="5677" spans="1:2" x14ac:dyDescent="0.35">
      <c r="A5677">
        <v>261</v>
      </c>
      <c r="B5677">
        <v>1</v>
      </c>
    </row>
    <row r="5678" spans="1:2" x14ac:dyDescent="0.35">
      <c r="A5678">
        <v>261</v>
      </c>
      <c r="B5678">
        <v>1</v>
      </c>
    </row>
    <row r="5679" spans="1:2" x14ac:dyDescent="0.35">
      <c r="A5679">
        <v>261</v>
      </c>
      <c r="B5679">
        <v>1</v>
      </c>
    </row>
    <row r="5680" spans="1:2" x14ac:dyDescent="0.35">
      <c r="A5680">
        <v>261</v>
      </c>
      <c r="B5680">
        <v>1</v>
      </c>
    </row>
    <row r="5681" spans="1:2" x14ac:dyDescent="0.35">
      <c r="A5681">
        <v>261</v>
      </c>
      <c r="B5681">
        <v>1</v>
      </c>
    </row>
    <row r="5682" spans="1:2" x14ac:dyDescent="0.35">
      <c r="A5682">
        <v>261</v>
      </c>
      <c r="B5682">
        <v>1</v>
      </c>
    </row>
    <row r="5683" spans="1:2" x14ac:dyDescent="0.35">
      <c r="A5683">
        <v>261</v>
      </c>
      <c r="B5683">
        <v>1</v>
      </c>
    </row>
    <row r="5684" spans="1:2" x14ac:dyDescent="0.35">
      <c r="A5684">
        <v>261</v>
      </c>
      <c r="B5684">
        <v>1</v>
      </c>
    </row>
    <row r="5685" spans="1:2" x14ac:dyDescent="0.35">
      <c r="A5685">
        <v>261</v>
      </c>
      <c r="B5685">
        <v>1</v>
      </c>
    </row>
    <row r="5686" spans="1:2" x14ac:dyDescent="0.35">
      <c r="A5686">
        <v>261</v>
      </c>
      <c r="B5686">
        <v>1</v>
      </c>
    </row>
    <row r="5687" spans="1:2" x14ac:dyDescent="0.35">
      <c r="A5687">
        <v>261</v>
      </c>
      <c r="B5687">
        <v>1</v>
      </c>
    </row>
    <row r="5688" spans="1:2" x14ac:dyDescent="0.35">
      <c r="A5688">
        <v>261</v>
      </c>
      <c r="B5688">
        <v>1</v>
      </c>
    </row>
    <row r="5689" spans="1:2" x14ac:dyDescent="0.35">
      <c r="A5689">
        <v>261</v>
      </c>
      <c r="B5689">
        <v>1</v>
      </c>
    </row>
    <row r="5690" spans="1:2" x14ac:dyDescent="0.35">
      <c r="A5690">
        <v>261</v>
      </c>
      <c r="B5690">
        <v>1</v>
      </c>
    </row>
    <row r="5691" spans="1:2" x14ac:dyDescent="0.35">
      <c r="A5691">
        <v>262</v>
      </c>
      <c r="B5691">
        <v>1</v>
      </c>
    </row>
    <row r="5692" spans="1:2" x14ac:dyDescent="0.35">
      <c r="A5692">
        <v>262</v>
      </c>
      <c r="B5692">
        <v>1</v>
      </c>
    </row>
    <row r="5693" spans="1:2" x14ac:dyDescent="0.35">
      <c r="A5693">
        <v>262</v>
      </c>
      <c r="B5693">
        <v>1</v>
      </c>
    </row>
    <row r="5694" spans="1:2" x14ac:dyDescent="0.35">
      <c r="A5694">
        <v>262</v>
      </c>
      <c r="B5694">
        <v>1</v>
      </c>
    </row>
    <row r="5695" spans="1:2" x14ac:dyDescent="0.35">
      <c r="A5695">
        <v>262</v>
      </c>
      <c r="B5695">
        <v>1</v>
      </c>
    </row>
    <row r="5696" spans="1:2" x14ac:dyDescent="0.35">
      <c r="A5696">
        <v>262</v>
      </c>
      <c r="B5696">
        <v>1</v>
      </c>
    </row>
    <row r="5697" spans="1:2" x14ac:dyDescent="0.35">
      <c r="A5697">
        <v>262</v>
      </c>
      <c r="B5697">
        <v>1</v>
      </c>
    </row>
    <row r="5698" spans="1:2" x14ac:dyDescent="0.35">
      <c r="A5698">
        <v>262</v>
      </c>
      <c r="B5698">
        <v>1</v>
      </c>
    </row>
    <row r="5699" spans="1:2" x14ac:dyDescent="0.35">
      <c r="A5699">
        <v>262</v>
      </c>
      <c r="B5699">
        <v>1</v>
      </c>
    </row>
    <row r="5700" spans="1:2" x14ac:dyDescent="0.35">
      <c r="A5700">
        <v>262</v>
      </c>
      <c r="B5700">
        <v>1</v>
      </c>
    </row>
    <row r="5701" spans="1:2" x14ac:dyDescent="0.35">
      <c r="A5701">
        <v>262</v>
      </c>
      <c r="B5701">
        <v>1</v>
      </c>
    </row>
    <row r="5702" spans="1:2" x14ac:dyDescent="0.35">
      <c r="A5702">
        <v>262</v>
      </c>
      <c r="B5702">
        <v>1</v>
      </c>
    </row>
    <row r="5703" spans="1:2" x14ac:dyDescent="0.35">
      <c r="A5703">
        <v>262</v>
      </c>
      <c r="B5703">
        <v>1</v>
      </c>
    </row>
    <row r="5704" spans="1:2" x14ac:dyDescent="0.35">
      <c r="A5704">
        <v>262</v>
      </c>
      <c r="B5704">
        <v>1</v>
      </c>
    </row>
    <row r="5705" spans="1:2" x14ac:dyDescent="0.35">
      <c r="A5705">
        <v>262</v>
      </c>
      <c r="B5705">
        <v>1</v>
      </c>
    </row>
    <row r="5706" spans="1:2" x14ac:dyDescent="0.35">
      <c r="A5706">
        <v>263</v>
      </c>
      <c r="B5706">
        <v>1</v>
      </c>
    </row>
    <row r="5707" spans="1:2" x14ac:dyDescent="0.35">
      <c r="A5707">
        <v>263</v>
      </c>
      <c r="B5707">
        <v>1</v>
      </c>
    </row>
    <row r="5708" spans="1:2" x14ac:dyDescent="0.35">
      <c r="A5708">
        <v>263</v>
      </c>
      <c r="B5708">
        <v>1</v>
      </c>
    </row>
    <row r="5709" spans="1:2" x14ac:dyDescent="0.35">
      <c r="A5709">
        <v>263</v>
      </c>
      <c r="B5709">
        <v>1</v>
      </c>
    </row>
    <row r="5710" spans="1:2" x14ac:dyDescent="0.35">
      <c r="A5710">
        <v>263</v>
      </c>
      <c r="B5710">
        <v>1</v>
      </c>
    </row>
    <row r="5711" spans="1:2" x14ac:dyDescent="0.35">
      <c r="A5711">
        <v>263</v>
      </c>
      <c r="B5711">
        <v>1</v>
      </c>
    </row>
    <row r="5712" spans="1:2" x14ac:dyDescent="0.35">
      <c r="A5712">
        <v>263</v>
      </c>
      <c r="B5712">
        <v>1</v>
      </c>
    </row>
    <row r="5713" spans="1:2" x14ac:dyDescent="0.35">
      <c r="A5713">
        <v>263</v>
      </c>
      <c r="B5713">
        <v>1</v>
      </c>
    </row>
    <row r="5714" spans="1:2" x14ac:dyDescent="0.35">
      <c r="A5714">
        <v>263</v>
      </c>
      <c r="B5714">
        <v>1</v>
      </c>
    </row>
    <row r="5715" spans="1:2" x14ac:dyDescent="0.35">
      <c r="A5715">
        <v>263</v>
      </c>
      <c r="B5715">
        <v>1</v>
      </c>
    </row>
    <row r="5716" spans="1:2" x14ac:dyDescent="0.35">
      <c r="A5716">
        <v>263</v>
      </c>
      <c r="B5716">
        <v>1</v>
      </c>
    </row>
    <row r="5717" spans="1:2" x14ac:dyDescent="0.35">
      <c r="A5717">
        <v>263</v>
      </c>
      <c r="B5717">
        <v>1</v>
      </c>
    </row>
    <row r="5718" spans="1:2" x14ac:dyDescent="0.35">
      <c r="A5718">
        <v>263</v>
      </c>
      <c r="B5718">
        <v>1</v>
      </c>
    </row>
    <row r="5719" spans="1:2" x14ac:dyDescent="0.35">
      <c r="A5719">
        <v>264</v>
      </c>
      <c r="B5719">
        <v>1</v>
      </c>
    </row>
    <row r="5720" spans="1:2" x14ac:dyDescent="0.35">
      <c r="A5720">
        <v>264</v>
      </c>
      <c r="B5720">
        <v>1</v>
      </c>
    </row>
    <row r="5721" spans="1:2" x14ac:dyDescent="0.35">
      <c r="A5721">
        <v>264</v>
      </c>
      <c r="B5721">
        <v>1</v>
      </c>
    </row>
    <row r="5722" spans="1:2" x14ac:dyDescent="0.35">
      <c r="A5722">
        <v>264</v>
      </c>
      <c r="B5722">
        <v>1</v>
      </c>
    </row>
    <row r="5723" spans="1:2" x14ac:dyDescent="0.35">
      <c r="A5723">
        <v>264</v>
      </c>
      <c r="B5723">
        <v>1</v>
      </c>
    </row>
    <row r="5724" spans="1:2" x14ac:dyDescent="0.35">
      <c r="A5724">
        <v>264</v>
      </c>
      <c r="B5724">
        <v>1</v>
      </c>
    </row>
    <row r="5725" spans="1:2" x14ac:dyDescent="0.35">
      <c r="A5725">
        <v>264</v>
      </c>
      <c r="B5725">
        <v>1</v>
      </c>
    </row>
    <row r="5726" spans="1:2" x14ac:dyDescent="0.35">
      <c r="A5726">
        <v>264</v>
      </c>
      <c r="B5726">
        <v>1</v>
      </c>
    </row>
    <row r="5727" spans="1:2" x14ac:dyDescent="0.35">
      <c r="A5727">
        <v>264</v>
      </c>
      <c r="B5727">
        <v>1</v>
      </c>
    </row>
    <row r="5728" spans="1:2" x14ac:dyDescent="0.35">
      <c r="A5728">
        <v>264</v>
      </c>
      <c r="B5728">
        <v>1</v>
      </c>
    </row>
    <row r="5729" spans="1:2" x14ac:dyDescent="0.35">
      <c r="A5729">
        <v>264</v>
      </c>
      <c r="B5729">
        <v>1</v>
      </c>
    </row>
    <row r="5730" spans="1:2" x14ac:dyDescent="0.35">
      <c r="A5730">
        <v>264</v>
      </c>
      <c r="B5730">
        <v>1</v>
      </c>
    </row>
    <row r="5731" spans="1:2" x14ac:dyDescent="0.35">
      <c r="A5731">
        <v>264</v>
      </c>
      <c r="B5731">
        <v>1</v>
      </c>
    </row>
    <row r="5732" spans="1:2" x14ac:dyDescent="0.35">
      <c r="A5732">
        <v>264</v>
      </c>
      <c r="B5732">
        <v>1</v>
      </c>
    </row>
    <row r="5733" spans="1:2" x14ac:dyDescent="0.35">
      <c r="A5733">
        <v>265</v>
      </c>
      <c r="B5733">
        <v>1</v>
      </c>
    </row>
    <row r="5734" spans="1:2" x14ac:dyDescent="0.35">
      <c r="A5734">
        <v>265</v>
      </c>
      <c r="B5734">
        <v>1</v>
      </c>
    </row>
    <row r="5735" spans="1:2" x14ac:dyDescent="0.35">
      <c r="A5735">
        <v>265</v>
      </c>
      <c r="B5735">
        <v>1</v>
      </c>
    </row>
    <row r="5736" spans="1:2" x14ac:dyDescent="0.35">
      <c r="A5736">
        <v>265</v>
      </c>
      <c r="B5736">
        <v>1</v>
      </c>
    </row>
    <row r="5737" spans="1:2" x14ac:dyDescent="0.35">
      <c r="A5737">
        <v>265</v>
      </c>
      <c r="B5737">
        <v>1</v>
      </c>
    </row>
    <row r="5738" spans="1:2" x14ac:dyDescent="0.35">
      <c r="A5738">
        <v>265</v>
      </c>
      <c r="B5738">
        <v>1</v>
      </c>
    </row>
    <row r="5739" spans="1:2" x14ac:dyDescent="0.35">
      <c r="A5739">
        <v>265</v>
      </c>
      <c r="B5739">
        <v>1</v>
      </c>
    </row>
    <row r="5740" spans="1:2" x14ac:dyDescent="0.35">
      <c r="A5740">
        <v>265</v>
      </c>
      <c r="B5740">
        <v>1</v>
      </c>
    </row>
    <row r="5741" spans="1:2" x14ac:dyDescent="0.35">
      <c r="A5741">
        <v>265</v>
      </c>
      <c r="B5741">
        <v>1</v>
      </c>
    </row>
    <row r="5742" spans="1:2" x14ac:dyDescent="0.35">
      <c r="A5742">
        <v>265</v>
      </c>
      <c r="B5742">
        <v>1</v>
      </c>
    </row>
    <row r="5743" spans="1:2" x14ac:dyDescent="0.35">
      <c r="A5743">
        <v>266</v>
      </c>
      <c r="B5743">
        <v>1</v>
      </c>
    </row>
    <row r="5744" spans="1:2" x14ac:dyDescent="0.35">
      <c r="A5744">
        <v>266</v>
      </c>
      <c r="B5744">
        <v>1</v>
      </c>
    </row>
    <row r="5745" spans="1:2" x14ac:dyDescent="0.35">
      <c r="A5745">
        <v>266</v>
      </c>
      <c r="B5745">
        <v>1</v>
      </c>
    </row>
    <row r="5746" spans="1:2" x14ac:dyDescent="0.35">
      <c r="A5746">
        <v>266</v>
      </c>
      <c r="B5746">
        <v>1</v>
      </c>
    </row>
    <row r="5747" spans="1:2" x14ac:dyDescent="0.35">
      <c r="A5747">
        <v>266</v>
      </c>
      <c r="B5747">
        <v>1</v>
      </c>
    </row>
    <row r="5748" spans="1:2" x14ac:dyDescent="0.35">
      <c r="A5748">
        <v>267</v>
      </c>
      <c r="B5748">
        <v>1</v>
      </c>
    </row>
    <row r="5749" spans="1:2" x14ac:dyDescent="0.35">
      <c r="A5749">
        <v>267</v>
      </c>
      <c r="B5749">
        <v>1</v>
      </c>
    </row>
    <row r="5750" spans="1:2" x14ac:dyDescent="0.35">
      <c r="A5750">
        <v>267</v>
      </c>
      <c r="B5750">
        <v>1</v>
      </c>
    </row>
    <row r="5751" spans="1:2" x14ac:dyDescent="0.35">
      <c r="A5751">
        <v>267</v>
      </c>
      <c r="B5751">
        <v>1</v>
      </c>
    </row>
    <row r="5752" spans="1:2" x14ac:dyDescent="0.35">
      <c r="A5752">
        <v>267</v>
      </c>
      <c r="B5752">
        <v>1</v>
      </c>
    </row>
    <row r="5753" spans="1:2" x14ac:dyDescent="0.35">
      <c r="A5753">
        <v>267</v>
      </c>
      <c r="B5753">
        <v>1</v>
      </c>
    </row>
    <row r="5754" spans="1:2" x14ac:dyDescent="0.35">
      <c r="A5754">
        <v>267</v>
      </c>
      <c r="B5754">
        <v>1</v>
      </c>
    </row>
    <row r="5755" spans="1:2" x14ac:dyDescent="0.35">
      <c r="A5755">
        <v>267</v>
      </c>
      <c r="B5755">
        <v>1</v>
      </c>
    </row>
    <row r="5756" spans="1:2" x14ac:dyDescent="0.35">
      <c r="A5756">
        <v>267</v>
      </c>
      <c r="B5756">
        <v>1</v>
      </c>
    </row>
    <row r="5757" spans="1:2" x14ac:dyDescent="0.35">
      <c r="A5757">
        <v>267</v>
      </c>
      <c r="B5757">
        <v>1</v>
      </c>
    </row>
    <row r="5758" spans="1:2" x14ac:dyDescent="0.35">
      <c r="A5758">
        <v>267</v>
      </c>
      <c r="B5758">
        <v>1</v>
      </c>
    </row>
    <row r="5759" spans="1:2" x14ac:dyDescent="0.35">
      <c r="A5759">
        <v>267</v>
      </c>
      <c r="B5759">
        <v>1</v>
      </c>
    </row>
    <row r="5760" spans="1:2" x14ac:dyDescent="0.35">
      <c r="A5760">
        <v>267</v>
      </c>
      <c r="B5760">
        <v>1</v>
      </c>
    </row>
    <row r="5761" spans="1:2" x14ac:dyDescent="0.35">
      <c r="A5761">
        <v>267</v>
      </c>
      <c r="B5761">
        <v>1</v>
      </c>
    </row>
    <row r="5762" spans="1:2" x14ac:dyDescent="0.35">
      <c r="A5762">
        <v>267</v>
      </c>
      <c r="B5762">
        <v>1</v>
      </c>
    </row>
    <row r="5763" spans="1:2" x14ac:dyDescent="0.35">
      <c r="A5763">
        <v>268</v>
      </c>
      <c r="B5763">
        <v>1</v>
      </c>
    </row>
    <row r="5764" spans="1:2" x14ac:dyDescent="0.35">
      <c r="A5764">
        <v>268</v>
      </c>
      <c r="B5764">
        <v>1</v>
      </c>
    </row>
    <row r="5765" spans="1:2" x14ac:dyDescent="0.35">
      <c r="A5765">
        <v>268</v>
      </c>
      <c r="B5765">
        <v>1</v>
      </c>
    </row>
    <row r="5766" spans="1:2" x14ac:dyDescent="0.35">
      <c r="A5766">
        <v>268</v>
      </c>
      <c r="B5766">
        <v>1</v>
      </c>
    </row>
    <row r="5767" spans="1:2" x14ac:dyDescent="0.35">
      <c r="A5767">
        <v>268</v>
      </c>
      <c r="B5767">
        <v>1</v>
      </c>
    </row>
    <row r="5768" spans="1:2" x14ac:dyDescent="0.35">
      <c r="A5768">
        <v>268</v>
      </c>
      <c r="B5768">
        <v>1</v>
      </c>
    </row>
    <row r="5769" spans="1:2" x14ac:dyDescent="0.35">
      <c r="A5769">
        <v>268</v>
      </c>
      <c r="B5769">
        <v>1</v>
      </c>
    </row>
    <row r="5770" spans="1:2" x14ac:dyDescent="0.35">
      <c r="A5770">
        <v>268</v>
      </c>
      <c r="B5770">
        <v>1</v>
      </c>
    </row>
    <row r="5771" spans="1:2" x14ac:dyDescent="0.35">
      <c r="A5771">
        <v>268</v>
      </c>
      <c r="B5771">
        <v>1</v>
      </c>
    </row>
    <row r="5772" spans="1:2" x14ac:dyDescent="0.35">
      <c r="A5772">
        <v>269</v>
      </c>
      <c r="B5772">
        <v>1</v>
      </c>
    </row>
    <row r="5773" spans="1:2" x14ac:dyDescent="0.35">
      <c r="A5773">
        <v>269</v>
      </c>
      <c r="B5773">
        <v>1</v>
      </c>
    </row>
    <row r="5774" spans="1:2" x14ac:dyDescent="0.35">
      <c r="A5774">
        <v>269</v>
      </c>
      <c r="B5774">
        <v>1</v>
      </c>
    </row>
    <row r="5775" spans="1:2" x14ac:dyDescent="0.35">
      <c r="A5775">
        <v>269</v>
      </c>
      <c r="B5775">
        <v>1</v>
      </c>
    </row>
    <row r="5776" spans="1:2" x14ac:dyDescent="0.35">
      <c r="A5776">
        <v>269</v>
      </c>
      <c r="B5776">
        <v>1</v>
      </c>
    </row>
    <row r="5777" spans="1:2" x14ac:dyDescent="0.35">
      <c r="A5777">
        <v>269</v>
      </c>
      <c r="B5777">
        <v>1</v>
      </c>
    </row>
    <row r="5778" spans="1:2" x14ac:dyDescent="0.35">
      <c r="A5778">
        <v>269</v>
      </c>
      <c r="B5778">
        <v>1</v>
      </c>
    </row>
    <row r="5779" spans="1:2" x14ac:dyDescent="0.35">
      <c r="A5779">
        <v>269</v>
      </c>
      <c r="B5779">
        <v>1</v>
      </c>
    </row>
    <row r="5780" spans="1:2" x14ac:dyDescent="0.35">
      <c r="A5780">
        <v>269</v>
      </c>
      <c r="B5780">
        <v>1</v>
      </c>
    </row>
    <row r="5781" spans="1:2" x14ac:dyDescent="0.35">
      <c r="A5781">
        <v>269</v>
      </c>
      <c r="B5781">
        <v>1</v>
      </c>
    </row>
    <row r="5782" spans="1:2" x14ac:dyDescent="0.35">
      <c r="A5782">
        <v>269</v>
      </c>
      <c r="B5782">
        <v>1</v>
      </c>
    </row>
    <row r="5783" spans="1:2" x14ac:dyDescent="0.35">
      <c r="A5783">
        <v>269</v>
      </c>
      <c r="B5783">
        <v>1</v>
      </c>
    </row>
    <row r="5784" spans="1:2" x14ac:dyDescent="0.35">
      <c r="A5784">
        <v>270</v>
      </c>
      <c r="B5784">
        <v>1</v>
      </c>
    </row>
    <row r="5785" spans="1:2" x14ac:dyDescent="0.35">
      <c r="A5785">
        <v>270</v>
      </c>
      <c r="B5785">
        <v>1</v>
      </c>
    </row>
    <row r="5786" spans="1:2" x14ac:dyDescent="0.35">
      <c r="A5786">
        <v>270</v>
      </c>
      <c r="B5786">
        <v>1</v>
      </c>
    </row>
    <row r="5787" spans="1:2" x14ac:dyDescent="0.35">
      <c r="A5787">
        <v>270</v>
      </c>
      <c r="B5787">
        <v>1</v>
      </c>
    </row>
    <row r="5788" spans="1:2" x14ac:dyDescent="0.35">
      <c r="A5788">
        <v>270</v>
      </c>
      <c r="B5788">
        <v>1</v>
      </c>
    </row>
    <row r="5789" spans="1:2" x14ac:dyDescent="0.35">
      <c r="A5789">
        <v>270</v>
      </c>
      <c r="B5789">
        <v>1</v>
      </c>
    </row>
    <row r="5790" spans="1:2" x14ac:dyDescent="0.35">
      <c r="A5790">
        <v>270</v>
      </c>
      <c r="B5790">
        <v>1</v>
      </c>
    </row>
    <row r="5791" spans="1:2" x14ac:dyDescent="0.35">
      <c r="A5791">
        <v>270</v>
      </c>
      <c r="B5791">
        <v>1</v>
      </c>
    </row>
    <row r="5792" spans="1:2" x14ac:dyDescent="0.35">
      <c r="A5792">
        <v>270</v>
      </c>
      <c r="B5792">
        <v>1</v>
      </c>
    </row>
    <row r="5793" spans="1:2" x14ac:dyDescent="0.35">
      <c r="A5793">
        <v>270</v>
      </c>
      <c r="B5793">
        <v>1</v>
      </c>
    </row>
    <row r="5794" spans="1:2" x14ac:dyDescent="0.35">
      <c r="A5794">
        <v>271</v>
      </c>
      <c r="B5794">
        <v>1</v>
      </c>
    </row>
    <row r="5795" spans="1:2" x14ac:dyDescent="0.35">
      <c r="A5795">
        <v>271</v>
      </c>
      <c r="B5795">
        <v>1</v>
      </c>
    </row>
    <row r="5796" spans="1:2" x14ac:dyDescent="0.35">
      <c r="A5796">
        <v>271</v>
      </c>
      <c r="B5796">
        <v>1</v>
      </c>
    </row>
    <row r="5797" spans="1:2" x14ac:dyDescent="0.35">
      <c r="A5797">
        <v>271</v>
      </c>
      <c r="B5797">
        <v>1</v>
      </c>
    </row>
    <row r="5798" spans="1:2" x14ac:dyDescent="0.35">
      <c r="A5798">
        <v>271</v>
      </c>
      <c r="B5798">
        <v>1</v>
      </c>
    </row>
    <row r="5799" spans="1:2" x14ac:dyDescent="0.35">
      <c r="A5799">
        <v>271</v>
      </c>
      <c r="B5799">
        <v>1</v>
      </c>
    </row>
    <row r="5800" spans="1:2" x14ac:dyDescent="0.35">
      <c r="A5800">
        <v>271</v>
      </c>
      <c r="B5800">
        <v>1</v>
      </c>
    </row>
    <row r="5801" spans="1:2" x14ac:dyDescent="0.35">
      <c r="A5801">
        <v>271</v>
      </c>
      <c r="B5801">
        <v>1</v>
      </c>
    </row>
    <row r="5802" spans="1:2" x14ac:dyDescent="0.35">
      <c r="A5802">
        <v>272</v>
      </c>
      <c r="B5802">
        <v>1</v>
      </c>
    </row>
    <row r="5803" spans="1:2" x14ac:dyDescent="0.35">
      <c r="A5803">
        <v>272</v>
      </c>
      <c r="B5803">
        <v>1</v>
      </c>
    </row>
    <row r="5804" spans="1:2" x14ac:dyDescent="0.35">
      <c r="A5804">
        <v>272</v>
      </c>
      <c r="B5804">
        <v>1</v>
      </c>
    </row>
    <row r="5805" spans="1:2" x14ac:dyDescent="0.35">
      <c r="A5805">
        <v>272</v>
      </c>
      <c r="B5805">
        <v>1</v>
      </c>
    </row>
    <row r="5806" spans="1:2" x14ac:dyDescent="0.35">
      <c r="A5806">
        <v>272</v>
      </c>
      <c r="B5806">
        <v>1</v>
      </c>
    </row>
    <row r="5807" spans="1:2" x14ac:dyDescent="0.35">
      <c r="A5807">
        <v>272</v>
      </c>
      <c r="B5807">
        <v>1</v>
      </c>
    </row>
    <row r="5808" spans="1:2" x14ac:dyDescent="0.35">
      <c r="A5808">
        <v>272</v>
      </c>
      <c r="B5808">
        <v>1</v>
      </c>
    </row>
    <row r="5809" spans="1:2" x14ac:dyDescent="0.35">
      <c r="A5809">
        <v>272</v>
      </c>
      <c r="B5809">
        <v>1</v>
      </c>
    </row>
    <row r="5810" spans="1:2" x14ac:dyDescent="0.35">
      <c r="A5810">
        <v>272</v>
      </c>
      <c r="B5810">
        <v>1</v>
      </c>
    </row>
    <row r="5811" spans="1:2" x14ac:dyDescent="0.35">
      <c r="A5811">
        <v>272</v>
      </c>
      <c r="B5811">
        <v>1</v>
      </c>
    </row>
    <row r="5812" spans="1:2" x14ac:dyDescent="0.35">
      <c r="A5812">
        <v>273</v>
      </c>
      <c r="B5812">
        <v>1</v>
      </c>
    </row>
    <row r="5813" spans="1:2" x14ac:dyDescent="0.35">
      <c r="A5813">
        <v>273</v>
      </c>
      <c r="B5813">
        <v>1</v>
      </c>
    </row>
    <row r="5814" spans="1:2" x14ac:dyDescent="0.35">
      <c r="A5814">
        <v>273</v>
      </c>
      <c r="B5814">
        <v>1</v>
      </c>
    </row>
    <row r="5815" spans="1:2" x14ac:dyDescent="0.35">
      <c r="A5815">
        <v>273</v>
      </c>
      <c r="B5815">
        <v>1</v>
      </c>
    </row>
    <row r="5816" spans="1:2" x14ac:dyDescent="0.35">
      <c r="A5816">
        <v>273</v>
      </c>
      <c r="B5816">
        <v>1</v>
      </c>
    </row>
    <row r="5817" spans="1:2" x14ac:dyDescent="0.35">
      <c r="A5817">
        <v>273</v>
      </c>
      <c r="B5817">
        <v>1</v>
      </c>
    </row>
    <row r="5818" spans="1:2" x14ac:dyDescent="0.35">
      <c r="A5818">
        <v>273</v>
      </c>
      <c r="B5818">
        <v>1</v>
      </c>
    </row>
    <row r="5819" spans="1:2" x14ac:dyDescent="0.35">
      <c r="A5819">
        <v>273</v>
      </c>
      <c r="B5819">
        <v>1</v>
      </c>
    </row>
    <row r="5820" spans="1:2" x14ac:dyDescent="0.35">
      <c r="A5820">
        <v>273</v>
      </c>
      <c r="B5820">
        <v>1</v>
      </c>
    </row>
    <row r="5821" spans="1:2" x14ac:dyDescent="0.35">
      <c r="A5821">
        <v>273</v>
      </c>
      <c r="B5821">
        <v>1</v>
      </c>
    </row>
    <row r="5822" spans="1:2" x14ac:dyDescent="0.35">
      <c r="A5822">
        <v>273</v>
      </c>
      <c r="B5822">
        <v>1</v>
      </c>
    </row>
    <row r="5823" spans="1:2" x14ac:dyDescent="0.35">
      <c r="A5823">
        <v>273</v>
      </c>
      <c r="B5823">
        <v>1</v>
      </c>
    </row>
    <row r="5824" spans="1:2" x14ac:dyDescent="0.35">
      <c r="A5824">
        <v>273</v>
      </c>
      <c r="B5824">
        <v>1</v>
      </c>
    </row>
    <row r="5825" spans="1:2" x14ac:dyDescent="0.35">
      <c r="A5825">
        <v>273</v>
      </c>
      <c r="B5825">
        <v>1</v>
      </c>
    </row>
    <row r="5826" spans="1:2" x14ac:dyDescent="0.35">
      <c r="A5826">
        <v>274</v>
      </c>
      <c r="B5826">
        <v>1</v>
      </c>
    </row>
    <row r="5827" spans="1:2" x14ac:dyDescent="0.35">
      <c r="A5827">
        <v>274</v>
      </c>
      <c r="B5827">
        <v>1</v>
      </c>
    </row>
    <row r="5828" spans="1:2" x14ac:dyDescent="0.35">
      <c r="A5828">
        <v>274</v>
      </c>
      <c r="B5828">
        <v>1</v>
      </c>
    </row>
    <row r="5829" spans="1:2" x14ac:dyDescent="0.35">
      <c r="A5829">
        <v>274</v>
      </c>
      <c r="B5829">
        <v>1</v>
      </c>
    </row>
    <row r="5830" spans="1:2" x14ac:dyDescent="0.35">
      <c r="A5830">
        <v>274</v>
      </c>
      <c r="B5830">
        <v>1</v>
      </c>
    </row>
    <row r="5831" spans="1:2" x14ac:dyDescent="0.35">
      <c r="A5831">
        <v>274</v>
      </c>
      <c r="B5831">
        <v>1</v>
      </c>
    </row>
    <row r="5832" spans="1:2" x14ac:dyDescent="0.35">
      <c r="A5832">
        <v>274</v>
      </c>
      <c r="B5832">
        <v>1</v>
      </c>
    </row>
    <row r="5833" spans="1:2" x14ac:dyDescent="0.35">
      <c r="A5833">
        <v>275</v>
      </c>
      <c r="B5833">
        <v>1</v>
      </c>
    </row>
    <row r="5834" spans="1:2" x14ac:dyDescent="0.35">
      <c r="A5834">
        <v>275</v>
      </c>
      <c r="B5834">
        <v>1</v>
      </c>
    </row>
    <row r="5835" spans="1:2" x14ac:dyDescent="0.35">
      <c r="A5835">
        <v>275</v>
      </c>
      <c r="B5835">
        <v>1</v>
      </c>
    </row>
    <row r="5836" spans="1:2" x14ac:dyDescent="0.35">
      <c r="A5836">
        <v>275</v>
      </c>
      <c r="B5836">
        <v>1</v>
      </c>
    </row>
    <row r="5837" spans="1:2" x14ac:dyDescent="0.35">
      <c r="A5837">
        <v>275</v>
      </c>
      <c r="B5837">
        <v>1</v>
      </c>
    </row>
    <row r="5838" spans="1:2" x14ac:dyDescent="0.35">
      <c r="A5838">
        <v>275</v>
      </c>
      <c r="B5838">
        <v>1</v>
      </c>
    </row>
    <row r="5839" spans="1:2" x14ac:dyDescent="0.35">
      <c r="A5839">
        <v>275</v>
      </c>
      <c r="B5839">
        <v>1</v>
      </c>
    </row>
    <row r="5840" spans="1:2" x14ac:dyDescent="0.35">
      <c r="A5840">
        <v>275</v>
      </c>
      <c r="B5840">
        <v>1</v>
      </c>
    </row>
    <row r="5841" spans="1:2" x14ac:dyDescent="0.35">
      <c r="A5841">
        <v>275</v>
      </c>
      <c r="B5841">
        <v>1</v>
      </c>
    </row>
    <row r="5842" spans="1:2" x14ac:dyDescent="0.35">
      <c r="A5842">
        <v>275</v>
      </c>
      <c r="B5842">
        <v>1</v>
      </c>
    </row>
    <row r="5843" spans="1:2" x14ac:dyDescent="0.35">
      <c r="A5843">
        <v>275</v>
      </c>
      <c r="B5843">
        <v>1</v>
      </c>
    </row>
    <row r="5844" spans="1:2" x14ac:dyDescent="0.35">
      <c r="A5844">
        <v>275</v>
      </c>
      <c r="B5844">
        <v>1</v>
      </c>
    </row>
    <row r="5845" spans="1:2" x14ac:dyDescent="0.35">
      <c r="A5845">
        <v>276</v>
      </c>
      <c r="B5845">
        <v>1</v>
      </c>
    </row>
    <row r="5846" spans="1:2" x14ac:dyDescent="0.35">
      <c r="A5846">
        <v>276</v>
      </c>
      <c r="B5846">
        <v>1</v>
      </c>
    </row>
    <row r="5847" spans="1:2" x14ac:dyDescent="0.35">
      <c r="A5847">
        <v>276</v>
      </c>
      <c r="B5847">
        <v>1</v>
      </c>
    </row>
    <row r="5848" spans="1:2" x14ac:dyDescent="0.35">
      <c r="A5848">
        <v>276</v>
      </c>
      <c r="B5848">
        <v>1</v>
      </c>
    </row>
    <row r="5849" spans="1:2" x14ac:dyDescent="0.35">
      <c r="A5849">
        <v>276</v>
      </c>
      <c r="B5849">
        <v>1</v>
      </c>
    </row>
    <row r="5850" spans="1:2" x14ac:dyDescent="0.35">
      <c r="A5850">
        <v>276</v>
      </c>
      <c r="B5850">
        <v>1</v>
      </c>
    </row>
    <row r="5851" spans="1:2" x14ac:dyDescent="0.35">
      <c r="A5851">
        <v>276</v>
      </c>
      <c r="B5851">
        <v>1</v>
      </c>
    </row>
    <row r="5852" spans="1:2" x14ac:dyDescent="0.35">
      <c r="A5852">
        <v>276</v>
      </c>
      <c r="B5852">
        <v>1</v>
      </c>
    </row>
    <row r="5853" spans="1:2" x14ac:dyDescent="0.35">
      <c r="A5853">
        <v>276</v>
      </c>
      <c r="B5853">
        <v>1</v>
      </c>
    </row>
    <row r="5854" spans="1:2" x14ac:dyDescent="0.35">
      <c r="A5854">
        <v>276</v>
      </c>
      <c r="B5854">
        <v>1</v>
      </c>
    </row>
    <row r="5855" spans="1:2" x14ac:dyDescent="0.35">
      <c r="A5855">
        <v>276</v>
      </c>
      <c r="B5855">
        <v>1</v>
      </c>
    </row>
    <row r="5856" spans="1:2" x14ac:dyDescent="0.35">
      <c r="A5856">
        <v>276</v>
      </c>
      <c r="B5856">
        <v>1</v>
      </c>
    </row>
    <row r="5857" spans="1:2" x14ac:dyDescent="0.35">
      <c r="A5857">
        <v>276</v>
      </c>
      <c r="B5857">
        <v>1</v>
      </c>
    </row>
    <row r="5858" spans="1:2" x14ac:dyDescent="0.35">
      <c r="A5858">
        <v>276</v>
      </c>
      <c r="B5858">
        <v>1</v>
      </c>
    </row>
    <row r="5859" spans="1:2" x14ac:dyDescent="0.35">
      <c r="A5859">
        <v>276</v>
      </c>
      <c r="B5859">
        <v>1</v>
      </c>
    </row>
    <row r="5860" spans="1:2" x14ac:dyDescent="0.35">
      <c r="A5860">
        <v>277</v>
      </c>
      <c r="B5860">
        <v>1</v>
      </c>
    </row>
    <row r="5861" spans="1:2" x14ac:dyDescent="0.35">
      <c r="A5861">
        <v>277</v>
      </c>
      <c r="B5861">
        <v>1</v>
      </c>
    </row>
    <row r="5862" spans="1:2" x14ac:dyDescent="0.35">
      <c r="A5862">
        <v>277</v>
      </c>
      <c r="B5862">
        <v>1</v>
      </c>
    </row>
    <row r="5863" spans="1:2" x14ac:dyDescent="0.35">
      <c r="A5863">
        <v>277</v>
      </c>
      <c r="B5863">
        <v>1</v>
      </c>
    </row>
    <row r="5864" spans="1:2" x14ac:dyDescent="0.35">
      <c r="A5864">
        <v>277</v>
      </c>
      <c r="B5864">
        <v>1</v>
      </c>
    </row>
    <row r="5865" spans="1:2" x14ac:dyDescent="0.35">
      <c r="A5865">
        <v>277</v>
      </c>
      <c r="B5865">
        <v>1</v>
      </c>
    </row>
    <row r="5866" spans="1:2" x14ac:dyDescent="0.35">
      <c r="A5866">
        <v>277</v>
      </c>
      <c r="B5866">
        <v>1</v>
      </c>
    </row>
    <row r="5867" spans="1:2" x14ac:dyDescent="0.35">
      <c r="A5867">
        <v>277</v>
      </c>
      <c r="B5867">
        <v>1</v>
      </c>
    </row>
    <row r="5868" spans="1:2" x14ac:dyDescent="0.35">
      <c r="A5868">
        <v>277</v>
      </c>
      <c r="B5868">
        <v>1</v>
      </c>
    </row>
    <row r="5869" spans="1:2" x14ac:dyDescent="0.35">
      <c r="A5869">
        <v>277</v>
      </c>
      <c r="B5869">
        <v>1</v>
      </c>
    </row>
    <row r="5870" spans="1:2" x14ac:dyDescent="0.35">
      <c r="A5870">
        <v>277</v>
      </c>
      <c r="B5870">
        <v>1</v>
      </c>
    </row>
    <row r="5871" spans="1:2" x14ac:dyDescent="0.35">
      <c r="A5871">
        <v>277</v>
      </c>
      <c r="B5871">
        <v>1</v>
      </c>
    </row>
    <row r="5872" spans="1:2" x14ac:dyDescent="0.35">
      <c r="A5872">
        <v>277</v>
      </c>
      <c r="B5872">
        <v>1</v>
      </c>
    </row>
    <row r="5873" spans="1:2" x14ac:dyDescent="0.35">
      <c r="A5873">
        <v>278</v>
      </c>
      <c r="B5873">
        <v>1</v>
      </c>
    </row>
    <row r="5874" spans="1:2" x14ac:dyDescent="0.35">
      <c r="A5874">
        <v>278</v>
      </c>
      <c r="B5874">
        <v>1</v>
      </c>
    </row>
    <row r="5875" spans="1:2" x14ac:dyDescent="0.35">
      <c r="A5875">
        <v>278</v>
      </c>
      <c r="B5875">
        <v>1</v>
      </c>
    </row>
    <row r="5876" spans="1:2" x14ac:dyDescent="0.35">
      <c r="A5876">
        <v>278</v>
      </c>
      <c r="B5876">
        <v>1</v>
      </c>
    </row>
    <row r="5877" spans="1:2" x14ac:dyDescent="0.35">
      <c r="A5877">
        <v>278</v>
      </c>
      <c r="B5877">
        <v>1</v>
      </c>
    </row>
    <row r="5878" spans="1:2" x14ac:dyDescent="0.35">
      <c r="A5878">
        <v>279</v>
      </c>
      <c r="B5878">
        <v>1</v>
      </c>
    </row>
    <row r="5879" spans="1:2" x14ac:dyDescent="0.35">
      <c r="A5879">
        <v>279</v>
      </c>
      <c r="B5879">
        <v>1</v>
      </c>
    </row>
    <row r="5880" spans="1:2" x14ac:dyDescent="0.35">
      <c r="A5880">
        <v>279</v>
      </c>
      <c r="B5880">
        <v>1</v>
      </c>
    </row>
    <row r="5881" spans="1:2" x14ac:dyDescent="0.35">
      <c r="A5881">
        <v>279</v>
      </c>
      <c r="B5881">
        <v>1</v>
      </c>
    </row>
    <row r="5882" spans="1:2" x14ac:dyDescent="0.35">
      <c r="A5882">
        <v>279</v>
      </c>
      <c r="B5882">
        <v>1</v>
      </c>
    </row>
    <row r="5883" spans="1:2" x14ac:dyDescent="0.35">
      <c r="A5883">
        <v>279</v>
      </c>
      <c r="B5883">
        <v>1</v>
      </c>
    </row>
    <row r="5884" spans="1:2" x14ac:dyDescent="0.35">
      <c r="A5884">
        <v>279</v>
      </c>
      <c r="B5884">
        <v>1</v>
      </c>
    </row>
    <row r="5885" spans="1:2" x14ac:dyDescent="0.35">
      <c r="A5885">
        <v>279</v>
      </c>
      <c r="B5885">
        <v>1</v>
      </c>
    </row>
    <row r="5886" spans="1:2" x14ac:dyDescent="0.35">
      <c r="A5886">
        <v>279</v>
      </c>
      <c r="B5886">
        <v>1</v>
      </c>
    </row>
    <row r="5887" spans="1:2" x14ac:dyDescent="0.35">
      <c r="A5887">
        <v>279</v>
      </c>
      <c r="B5887">
        <v>1</v>
      </c>
    </row>
    <row r="5888" spans="1:2" x14ac:dyDescent="0.35">
      <c r="A5888">
        <v>280</v>
      </c>
      <c r="B5888">
        <v>1</v>
      </c>
    </row>
    <row r="5889" spans="1:2" x14ac:dyDescent="0.35">
      <c r="A5889">
        <v>280</v>
      </c>
      <c r="B5889">
        <v>1</v>
      </c>
    </row>
    <row r="5890" spans="1:2" x14ac:dyDescent="0.35">
      <c r="A5890">
        <v>280</v>
      </c>
      <c r="B5890">
        <v>1</v>
      </c>
    </row>
    <row r="5891" spans="1:2" x14ac:dyDescent="0.35">
      <c r="A5891">
        <v>280</v>
      </c>
      <c r="B5891">
        <v>1</v>
      </c>
    </row>
    <row r="5892" spans="1:2" x14ac:dyDescent="0.35">
      <c r="A5892">
        <v>280</v>
      </c>
      <c r="B5892">
        <v>1</v>
      </c>
    </row>
    <row r="5893" spans="1:2" x14ac:dyDescent="0.35">
      <c r="A5893">
        <v>280</v>
      </c>
      <c r="B5893">
        <v>1</v>
      </c>
    </row>
    <row r="5894" spans="1:2" x14ac:dyDescent="0.35">
      <c r="A5894">
        <v>280</v>
      </c>
      <c r="B5894">
        <v>1</v>
      </c>
    </row>
    <row r="5895" spans="1:2" x14ac:dyDescent="0.35">
      <c r="A5895">
        <v>280</v>
      </c>
      <c r="B5895">
        <v>1</v>
      </c>
    </row>
    <row r="5896" spans="1:2" x14ac:dyDescent="0.35">
      <c r="A5896">
        <v>280</v>
      </c>
      <c r="B5896">
        <v>1</v>
      </c>
    </row>
    <row r="5897" spans="1:2" x14ac:dyDescent="0.35">
      <c r="A5897">
        <v>280</v>
      </c>
      <c r="B5897">
        <v>1</v>
      </c>
    </row>
    <row r="5898" spans="1:2" x14ac:dyDescent="0.35">
      <c r="A5898">
        <v>281</v>
      </c>
      <c r="B5898">
        <v>1</v>
      </c>
    </row>
    <row r="5899" spans="1:2" x14ac:dyDescent="0.35">
      <c r="A5899">
        <v>281</v>
      </c>
      <c r="B5899">
        <v>1</v>
      </c>
    </row>
    <row r="5900" spans="1:2" x14ac:dyDescent="0.35">
      <c r="A5900">
        <v>281</v>
      </c>
      <c r="B5900">
        <v>1</v>
      </c>
    </row>
    <row r="5901" spans="1:2" x14ac:dyDescent="0.35">
      <c r="A5901">
        <v>281</v>
      </c>
      <c r="B5901">
        <v>1</v>
      </c>
    </row>
    <row r="5902" spans="1:2" x14ac:dyDescent="0.35">
      <c r="A5902">
        <v>281</v>
      </c>
      <c r="B5902">
        <v>1</v>
      </c>
    </row>
    <row r="5903" spans="1:2" x14ac:dyDescent="0.35">
      <c r="A5903">
        <v>281</v>
      </c>
      <c r="B5903">
        <v>1</v>
      </c>
    </row>
    <row r="5904" spans="1:2" x14ac:dyDescent="0.35">
      <c r="A5904">
        <v>281</v>
      </c>
      <c r="B5904">
        <v>1</v>
      </c>
    </row>
    <row r="5905" spans="1:2" x14ac:dyDescent="0.35">
      <c r="A5905">
        <v>281</v>
      </c>
      <c r="B5905">
        <v>1</v>
      </c>
    </row>
    <row r="5906" spans="1:2" x14ac:dyDescent="0.35">
      <c r="A5906">
        <v>281</v>
      </c>
      <c r="B5906">
        <v>1</v>
      </c>
    </row>
    <row r="5907" spans="1:2" x14ac:dyDescent="0.35">
      <c r="A5907">
        <v>281</v>
      </c>
      <c r="B5907">
        <v>1</v>
      </c>
    </row>
    <row r="5908" spans="1:2" x14ac:dyDescent="0.35">
      <c r="A5908">
        <v>281</v>
      </c>
      <c r="B5908">
        <v>1</v>
      </c>
    </row>
    <row r="5909" spans="1:2" x14ac:dyDescent="0.35">
      <c r="A5909">
        <v>282</v>
      </c>
      <c r="B5909">
        <v>1</v>
      </c>
    </row>
    <row r="5910" spans="1:2" x14ac:dyDescent="0.35">
      <c r="A5910">
        <v>282</v>
      </c>
      <c r="B5910">
        <v>1</v>
      </c>
    </row>
    <row r="5911" spans="1:2" x14ac:dyDescent="0.35">
      <c r="A5911">
        <v>282</v>
      </c>
      <c r="B5911">
        <v>1</v>
      </c>
    </row>
    <row r="5912" spans="1:2" x14ac:dyDescent="0.35">
      <c r="A5912">
        <v>282</v>
      </c>
      <c r="B5912">
        <v>1</v>
      </c>
    </row>
    <row r="5913" spans="1:2" x14ac:dyDescent="0.35">
      <c r="A5913">
        <v>282</v>
      </c>
      <c r="B5913">
        <v>1</v>
      </c>
    </row>
    <row r="5914" spans="1:2" x14ac:dyDescent="0.35">
      <c r="A5914">
        <v>282</v>
      </c>
      <c r="B5914">
        <v>1</v>
      </c>
    </row>
    <row r="5915" spans="1:2" x14ac:dyDescent="0.35">
      <c r="A5915">
        <v>282</v>
      </c>
      <c r="B5915">
        <v>1</v>
      </c>
    </row>
    <row r="5916" spans="1:2" x14ac:dyDescent="0.35">
      <c r="A5916">
        <v>282</v>
      </c>
      <c r="B5916">
        <v>1</v>
      </c>
    </row>
    <row r="5917" spans="1:2" x14ac:dyDescent="0.35">
      <c r="A5917">
        <v>282</v>
      </c>
      <c r="B5917">
        <v>1</v>
      </c>
    </row>
    <row r="5918" spans="1:2" x14ac:dyDescent="0.35">
      <c r="A5918">
        <v>282</v>
      </c>
      <c r="B5918">
        <v>1</v>
      </c>
    </row>
    <row r="5919" spans="1:2" x14ac:dyDescent="0.35">
      <c r="A5919">
        <v>282</v>
      </c>
      <c r="B5919">
        <v>1</v>
      </c>
    </row>
    <row r="5920" spans="1:2" x14ac:dyDescent="0.35">
      <c r="A5920">
        <v>282</v>
      </c>
      <c r="B5920">
        <v>1</v>
      </c>
    </row>
    <row r="5921" spans="1:2" x14ac:dyDescent="0.35">
      <c r="A5921">
        <v>282</v>
      </c>
      <c r="B5921">
        <v>1</v>
      </c>
    </row>
    <row r="5922" spans="1:2" x14ac:dyDescent="0.35">
      <c r="A5922">
        <v>283</v>
      </c>
      <c r="B5922">
        <v>1</v>
      </c>
    </row>
    <row r="5923" spans="1:2" x14ac:dyDescent="0.35">
      <c r="A5923">
        <v>283</v>
      </c>
      <c r="B5923">
        <v>1</v>
      </c>
    </row>
    <row r="5924" spans="1:2" x14ac:dyDescent="0.35">
      <c r="A5924">
        <v>283</v>
      </c>
      <c r="B5924">
        <v>1</v>
      </c>
    </row>
    <row r="5925" spans="1:2" x14ac:dyDescent="0.35">
      <c r="A5925">
        <v>283</v>
      </c>
      <c r="B5925">
        <v>1</v>
      </c>
    </row>
    <row r="5926" spans="1:2" x14ac:dyDescent="0.35">
      <c r="A5926">
        <v>283</v>
      </c>
      <c r="B5926">
        <v>1</v>
      </c>
    </row>
    <row r="5927" spans="1:2" x14ac:dyDescent="0.35">
      <c r="A5927">
        <v>283</v>
      </c>
      <c r="B5927">
        <v>1</v>
      </c>
    </row>
    <row r="5928" spans="1:2" x14ac:dyDescent="0.35">
      <c r="A5928">
        <v>283</v>
      </c>
      <c r="B5928">
        <v>1</v>
      </c>
    </row>
    <row r="5929" spans="1:2" x14ac:dyDescent="0.35">
      <c r="A5929">
        <v>284</v>
      </c>
      <c r="B5929">
        <v>1</v>
      </c>
    </row>
    <row r="5930" spans="1:2" x14ac:dyDescent="0.35">
      <c r="A5930">
        <v>284</v>
      </c>
      <c r="B5930">
        <v>1</v>
      </c>
    </row>
    <row r="5931" spans="1:2" x14ac:dyDescent="0.35">
      <c r="A5931">
        <v>284</v>
      </c>
      <c r="B5931">
        <v>1</v>
      </c>
    </row>
    <row r="5932" spans="1:2" x14ac:dyDescent="0.35">
      <c r="A5932">
        <v>284</v>
      </c>
      <c r="B5932">
        <v>1</v>
      </c>
    </row>
    <row r="5933" spans="1:2" x14ac:dyDescent="0.35">
      <c r="A5933">
        <v>284</v>
      </c>
      <c r="B5933">
        <v>1</v>
      </c>
    </row>
    <row r="5934" spans="1:2" x14ac:dyDescent="0.35">
      <c r="A5934">
        <v>284</v>
      </c>
      <c r="B5934">
        <v>1</v>
      </c>
    </row>
    <row r="5935" spans="1:2" x14ac:dyDescent="0.35">
      <c r="A5935">
        <v>284</v>
      </c>
      <c r="B5935">
        <v>1</v>
      </c>
    </row>
    <row r="5936" spans="1:2" x14ac:dyDescent="0.35">
      <c r="A5936">
        <v>284</v>
      </c>
      <c r="B5936">
        <v>1</v>
      </c>
    </row>
    <row r="5937" spans="1:2" x14ac:dyDescent="0.35">
      <c r="A5937">
        <v>284</v>
      </c>
      <c r="B5937">
        <v>1</v>
      </c>
    </row>
    <row r="5938" spans="1:2" x14ac:dyDescent="0.35">
      <c r="A5938">
        <v>284</v>
      </c>
      <c r="B5938">
        <v>1</v>
      </c>
    </row>
    <row r="5939" spans="1:2" x14ac:dyDescent="0.35">
      <c r="A5939">
        <v>284</v>
      </c>
      <c r="B5939">
        <v>1</v>
      </c>
    </row>
    <row r="5940" spans="1:2" x14ac:dyDescent="0.35">
      <c r="A5940">
        <v>284</v>
      </c>
      <c r="B5940">
        <v>1</v>
      </c>
    </row>
    <row r="5941" spans="1:2" x14ac:dyDescent="0.35">
      <c r="A5941">
        <v>285</v>
      </c>
      <c r="B5941">
        <v>1</v>
      </c>
    </row>
    <row r="5942" spans="1:2" x14ac:dyDescent="0.35">
      <c r="A5942">
        <v>285</v>
      </c>
      <c r="B5942">
        <v>1</v>
      </c>
    </row>
    <row r="5943" spans="1:2" x14ac:dyDescent="0.35">
      <c r="A5943">
        <v>285</v>
      </c>
      <c r="B5943">
        <v>1</v>
      </c>
    </row>
    <row r="5944" spans="1:2" x14ac:dyDescent="0.35">
      <c r="A5944">
        <v>285</v>
      </c>
      <c r="B5944">
        <v>1</v>
      </c>
    </row>
    <row r="5945" spans="1:2" x14ac:dyDescent="0.35">
      <c r="A5945">
        <v>285</v>
      </c>
      <c r="B5945">
        <v>1</v>
      </c>
    </row>
    <row r="5946" spans="1:2" x14ac:dyDescent="0.35">
      <c r="A5946">
        <v>285</v>
      </c>
      <c r="B5946">
        <v>1</v>
      </c>
    </row>
    <row r="5947" spans="1:2" x14ac:dyDescent="0.35">
      <c r="A5947">
        <v>285</v>
      </c>
      <c r="B5947">
        <v>1</v>
      </c>
    </row>
    <row r="5948" spans="1:2" x14ac:dyDescent="0.35">
      <c r="A5948">
        <v>285</v>
      </c>
      <c r="B5948">
        <v>1</v>
      </c>
    </row>
    <row r="5949" spans="1:2" x14ac:dyDescent="0.35">
      <c r="A5949">
        <v>285</v>
      </c>
      <c r="B5949">
        <v>1</v>
      </c>
    </row>
    <row r="5950" spans="1:2" x14ac:dyDescent="0.35">
      <c r="A5950">
        <v>285</v>
      </c>
      <c r="B5950">
        <v>1</v>
      </c>
    </row>
    <row r="5951" spans="1:2" x14ac:dyDescent="0.35">
      <c r="A5951">
        <v>286</v>
      </c>
      <c r="B5951">
        <v>1</v>
      </c>
    </row>
    <row r="5952" spans="1:2" x14ac:dyDescent="0.35">
      <c r="A5952">
        <v>286</v>
      </c>
      <c r="B5952">
        <v>1</v>
      </c>
    </row>
    <row r="5953" spans="1:2" x14ac:dyDescent="0.35">
      <c r="A5953">
        <v>286</v>
      </c>
      <c r="B5953">
        <v>1</v>
      </c>
    </row>
    <row r="5954" spans="1:2" x14ac:dyDescent="0.35">
      <c r="A5954">
        <v>286</v>
      </c>
      <c r="B5954">
        <v>1</v>
      </c>
    </row>
    <row r="5955" spans="1:2" x14ac:dyDescent="0.35">
      <c r="A5955">
        <v>286</v>
      </c>
      <c r="B5955">
        <v>1</v>
      </c>
    </row>
    <row r="5956" spans="1:2" x14ac:dyDescent="0.35">
      <c r="A5956">
        <v>286</v>
      </c>
      <c r="B5956">
        <v>1</v>
      </c>
    </row>
    <row r="5957" spans="1:2" x14ac:dyDescent="0.35">
      <c r="A5957">
        <v>286</v>
      </c>
      <c r="B5957">
        <v>1</v>
      </c>
    </row>
    <row r="5958" spans="1:2" x14ac:dyDescent="0.35">
      <c r="A5958">
        <v>286</v>
      </c>
      <c r="B5958">
        <v>1</v>
      </c>
    </row>
    <row r="5959" spans="1:2" x14ac:dyDescent="0.35">
      <c r="A5959">
        <v>286</v>
      </c>
      <c r="B5959">
        <v>1</v>
      </c>
    </row>
    <row r="5960" spans="1:2" x14ac:dyDescent="0.35">
      <c r="A5960">
        <v>286</v>
      </c>
      <c r="B5960">
        <v>1</v>
      </c>
    </row>
    <row r="5961" spans="1:2" x14ac:dyDescent="0.35">
      <c r="A5961">
        <v>287</v>
      </c>
      <c r="B5961">
        <v>1</v>
      </c>
    </row>
    <row r="5962" spans="1:2" x14ac:dyDescent="0.35">
      <c r="A5962">
        <v>287</v>
      </c>
      <c r="B5962">
        <v>1</v>
      </c>
    </row>
    <row r="5963" spans="1:2" x14ac:dyDescent="0.35">
      <c r="A5963">
        <v>287</v>
      </c>
      <c r="B5963">
        <v>1</v>
      </c>
    </row>
    <row r="5964" spans="1:2" x14ac:dyDescent="0.35">
      <c r="A5964">
        <v>287</v>
      </c>
      <c r="B5964">
        <v>1</v>
      </c>
    </row>
    <row r="5965" spans="1:2" x14ac:dyDescent="0.35">
      <c r="A5965">
        <v>287</v>
      </c>
      <c r="B5965">
        <v>1</v>
      </c>
    </row>
    <row r="5966" spans="1:2" x14ac:dyDescent="0.35">
      <c r="A5966">
        <v>287</v>
      </c>
      <c r="B5966">
        <v>1</v>
      </c>
    </row>
    <row r="5967" spans="1:2" x14ac:dyDescent="0.35">
      <c r="A5967">
        <v>287</v>
      </c>
      <c r="B5967">
        <v>1</v>
      </c>
    </row>
    <row r="5968" spans="1:2" x14ac:dyDescent="0.35">
      <c r="A5968">
        <v>288</v>
      </c>
      <c r="B5968">
        <v>1</v>
      </c>
    </row>
    <row r="5969" spans="1:2" x14ac:dyDescent="0.35">
      <c r="A5969">
        <v>288</v>
      </c>
      <c r="B5969">
        <v>1</v>
      </c>
    </row>
    <row r="5970" spans="1:2" x14ac:dyDescent="0.35">
      <c r="A5970">
        <v>288</v>
      </c>
      <c r="B5970">
        <v>1</v>
      </c>
    </row>
    <row r="5971" spans="1:2" x14ac:dyDescent="0.35">
      <c r="A5971">
        <v>288</v>
      </c>
      <c r="B5971">
        <v>1</v>
      </c>
    </row>
    <row r="5972" spans="1:2" x14ac:dyDescent="0.35">
      <c r="A5972">
        <v>288</v>
      </c>
      <c r="B5972">
        <v>1</v>
      </c>
    </row>
    <row r="5973" spans="1:2" x14ac:dyDescent="0.35">
      <c r="A5973">
        <v>288</v>
      </c>
      <c r="B5973">
        <v>1</v>
      </c>
    </row>
    <row r="5974" spans="1:2" x14ac:dyDescent="0.35">
      <c r="A5974">
        <v>288</v>
      </c>
      <c r="B5974">
        <v>1</v>
      </c>
    </row>
    <row r="5975" spans="1:2" x14ac:dyDescent="0.35">
      <c r="A5975">
        <v>289</v>
      </c>
      <c r="B5975">
        <v>1</v>
      </c>
    </row>
    <row r="5976" spans="1:2" x14ac:dyDescent="0.35">
      <c r="A5976">
        <v>289</v>
      </c>
      <c r="B5976">
        <v>1</v>
      </c>
    </row>
    <row r="5977" spans="1:2" x14ac:dyDescent="0.35">
      <c r="A5977">
        <v>289</v>
      </c>
      <c r="B5977">
        <v>1</v>
      </c>
    </row>
    <row r="5978" spans="1:2" x14ac:dyDescent="0.35">
      <c r="A5978">
        <v>289</v>
      </c>
      <c r="B5978">
        <v>1</v>
      </c>
    </row>
    <row r="5979" spans="1:2" x14ac:dyDescent="0.35">
      <c r="A5979">
        <v>289</v>
      </c>
      <c r="B5979">
        <v>1</v>
      </c>
    </row>
    <row r="5980" spans="1:2" x14ac:dyDescent="0.35">
      <c r="A5980">
        <v>289</v>
      </c>
      <c r="B5980">
        <v>1</v>
      </c>
    </row>
    <row r="5981" spans="1:2" x14ac:dyDescent="0.35">
      <c r="A5981">
        <v>289</v>
      </c>
      <c r="B5981">
        <v>1</v>
      </c>
    </row>
    <row r="5982" spans="1:2" x14ac:dyDescent="0.35">
      <c r="A5982">
        <v>289</v>
      </c>
      <c r="B5982">
        <v>1</v>
      </c>
    </row>
    <row r="5983" spans="1:2" x14ac:dyDescent="0.35">
      <c r="A5983">
        <v>289</v>
      </c>
      <c r="B5983">
        <v>1</v>
      </c>
    </row>
    <row r="5984" spans="1:2" x14ac:dyDescent="0.35">
      <c r="A5984">
        <v>289</v>
      </c>
      <c r="B5984">
        <v>1</v>
      </c>
    </row>
    <row r="5985" spans="1:2" x14ac:dyDescent="0.35">
      <c r="A5985">
        <v>289</v>
      </c>
      <c r="B5985">
        <v>1</v>
      </c>
    </row>
    <row r="5986" spans="1:2" x14ac:dyDescent="0.35">
      <c r="A5986">
        <v>290</v>
      </c>
      <c r="B5986">
        <v>1</v>
      </c>
    </row>
    <row r="5987" spans="1:2" x14ac:dyDescent="0.35">
      <c r="A5987">
        <v>290</v>
      </c>
      <c r="B5987">
        <v>1</v>
      </c>
    </row>
    <row r="5988" spans="1:2" x14ac:dyDescent="0.35">
      <c r="A5988">
        <v>290</v>
      </c>
      <c r="B5988">
        <v>1</v>
      </c>
    </row>
    <row r="5989" spans="1:2" x14ac:dyDescent="0.35">
      <c r="A5989">
        <v>290</v>
      </c>
      <c r="B5989">
        <v>1</v>
      </c>
    </row>
    <row r="5990" spans="1:2" x14ac:dyDescent="0.35">
      <c r="A5990">
        <v>290</v>
      </c>
      <c r="B5990">
        <v>1</v>
      </c>
    </row>
    <row r="5991" spans="1:2" x14ac:dyDescent="0.35">
      <c r="A5991">
        <v>290</v>
      </c>
      <c r="B5991">
        <v>1</v>
      </c>
    </row>
    <row r="5992" spans="1:2" x14ac:dyDescent="0.35">
      <c r="A5992">
        <v>290</v>
      </c>
      <c r="B5992">
        <v>1</v>
      </c>
    </row>
    <row r="5993" spans="1:2" x14ac:dyDescent="0.35">
      <c r="A5993">
        <v>290</v>
      </c>
      <c r="B5993">
        <v>1</v>
      </c>
    </row>
    <row r="5994" spans="1:2" x14ac:dyDescent="0.35">
      <c r="A5994">
        <v>290</v>
      </c>
      <c r="B5994">
        <v>1</v>
      </c>
    </row>
    <row r="5995" spans="1:2" x14ac:dyDescent="0.35">
      <c r="A5995">
        <v>291</v>
      </c>
      <c r="B5995">
        <v>1</v>
      </c>
    </row>
    <row r="5996" spans="1:2" x14ac:dyDescent="0.35">
      <c r="A5996">
        <v>291</v>
      </c>
      <c r="B5996">
        <v>1</v>
      </c>
    </row>
    <row r="5997" spans="1:2" x14ac:dyDescent="0.35">
      <c r="A5997">
        <v>291</v>
      </c>
      <c r="B5997">
        <v>1</v>
      </c>
    </row>
    <row r="5998" spans="1:2" x14ac:dyDescent="0.35">
      <c r="A5998">
        <v>291</v>
      </c>
      <c r="B5998">
        <v>1</v>
      </c>
    </row>
    <row r="5999" spans="1:2" x14ac:dyDescent="0.35">
      <c r="A5999">
        <v>291</v>
      </c>
      <c r="B5999">
        <v>1</v>
      </c>
    </row>
    <row r="6000" spans="1:2" x14ac:dyDescent="0.35">
      <c r="A6000">
        <v>291</v>
      </c>
      <c r="B6000">
        <v>1</v>
      </c>
    </row>
    <row r="6001" spans="1:2" x14ac:dyDescent="0.35">
      <c r="A6001">
        <v>291</v>
      </c>
      <c r="B6001">
        <v>1</v>
      </c>
    </row>
    <row r="6002" spans="1:2" x14ac:dyDescent="0.35">
      <c r="A6002">
        <v>291</v>
      </c>
      <c r="B6002">
        <v>1</v>
      </c>
    </row>
    <row r="6003" spans="1:2" x14ac:dyDescent="0.35">
      <c r="A6003">
        <v>291</v>
      </c>
      <c r="B6003">
        <v>1</v>
      </c>
    </row>
    <row r="6004" spans="1:2" x14ac:dyDescent="0.35">
      <c r="A6004">
        <v>291</v>
      </c>
      <c r="B6004">
        <v>1</v>
      </c>
    </row>
    <row r="6005" spans="1:2" x14ac:dyDescent="0.35">
      <c r="A6005">
        <v>291</v>
      </c>
      <c r="B6005">
        <v>1</v>
      </c>
    </row>
    <row r="6006" spans="1:2" x14ac:dyDescent="0.35">
      <c r="A6006">
        <v>291</v>
      </c>
      <c r="B6006">
        <v>1</v>
      </c>
    </row>
    <row r="6007" spans="1:2" x14ac:dyDescent="0.35">
      <c r="A6007">
        <v>292</v>
      </c>
      <c r="B6007">
        <v>1</v>
      </c>
    </row>
    <row r="6008" spans="1:2" x14ac:dyDescent="0.35">
      <c r="A6008">
        <v>292</v>
      </c>
      <c r="B6008">
        <v>1</v>
      </c>
    </row>
    <row r="6009" spans="1:2" x14ac:dyDescent="0.35">
      <c r="A6009">
        <v>292</v>
      </c>
      <c r="B6009">
        <v>1</v>
      </c>
    </row>
    <row r="6010" spans="1:2" x14ac:dyDescent="0.35">
      <c r="A6010">
        <v>292</v>
      </c>
      <c r="B6010">
        <v>1</v>
      </c>
    </row>
    <row r="6011" spans="1:2" x14ac:dyDescent="0.35">
      <c r="A6011">
        <v>292</v>
      </c>
      <c r="B6011">
        <v>1</v>
      </c>
    </row>
    <row r="6012" spans="1:2" x14ac:dyDescent="0.35">
      <c r="A6012">
        <v>292</v>
      </c>
      <c r="B6012">
        <v>1</v>
      </c>
    </row>
    <row r="6013" spans="1:2" x14ac:dyDescent="0.35">
      <c r="A6013">
        <v>292</v>
      </c>
      <c r="B6013">
        <v>1</v>
      </c>
    </row>
    <row r="6014" spans="1:2" x14ac:dyDescent="0.35">
      <c r="A6014">
        <v>292</v>
      </c>
      <c r="B6014">
        <v>1</v>
      </c>
    </row>
    <row r="6015" spans="1:2" x14ac:dyDescent="0.35">
      <c r="A6015">
        <v>292</v>
      </c>
      <c r="B6015">
        <v>1</v>
      </c>
    </row>
    <row r="6016" spans="1:2" x14ac:dyDescent="0.35">
      <c r="A6016">
        <v>292</v>
      </c>
      <c r="B6016">
        <v>1</v>
      </c>
    </row>
    <row r="6017" spans="1:2" x14ac:dyDescent="0.35">
      <c r="A6017">
        <v>292</v>
      </c>
      <c r="B6017">
        <v>1</v>
      </c>
    </row>
    <row r="6018" spans="1:2" x14ac:dyDescent="0.35">
      <c r="A6018">
        <v>293</v>
      </c>
      <c r="B6018">
        <v>1</v>
      </c>
    </row>
    <row r="6019" spans="1:2" x14ac:dyDescent="0.35">
      <c r="A6019">
        <v>293</v>
      </c>
      <c r="B6019">
        <v>1</v>
      </c>
    </row>
    <row r="6020" spans="1:2" x14ac:dyDescent="0.35">
      <c r="A6020">
        <v>293</v>
      </c>
      <c r="B6020">
        <v>1</v>
      </c>
    </row>
    <row r="6021" spans="1:2" x14ac:dyDescent="0.35">
      <c r="A6021">
        <v>293</v>
      </c>
      <c r="B6021">
        <v>1</v>
      </c>
    </row>
    <row r="6022" spans="1:2" x14ac:dyDescent="0.35">
      <c r="A6022">
        <v>293</v>
      </c>
      <c r="B6022">
        <v>1</v>
      </c>
    </row>
    <row r="6023" spans="1:2" x14ac:dyDescent="0.35">
      <c r="A6023">
        <v>294</v>
      </c>
      <c r="B6023">
        <v>1</v>
      </c>
    </row>
    <row r="6024" spans="1:2" x14ac:dyDescent="0.35">
      <c r="A6024">
        <v>294</v>
      </c>
      <c r="B6024">
        <v>1</v>
      </c>
    </row>
    <row r="6025" spans="1:2" x14ac:dyDescent="0.35">
      <c r="A6025">
        <v>294</v>
      </c>
      <c r="B6025">
        <v>1</v>
      </c>
    </row>
    <row r="6026" spans="1:2" x14ac:dyDescent="0.35">
      <c r="A6026">
        <v>294</v>
      </c>
      <c r="B6026">
        <v>1</v>
      </c>
    </row>
    <row r="6027" spans="1:2" x14ac:dyDescent="0.35">
      <c r="A6027">
        <v>294</v>
      </c>
      <c r="B6027">
        <v>1</v>
      </c>
    </row>
    <row r="6028" spans="1:2" x14ac:dyDescent="0.35">
      <c r="A6028">
        <v>294</v>
      </c>
      <c r="B6028">
        <v>1</v>
      </c>
    </row>
    <row r="6029" spans="1:2" x14ac:dyDescent="0.35">
      <c r="A6029">
        <v>294</v>
      </c>
      <c r="B6029">
        <v>1</v>
      </c>
    </row>
    <row r="6030" spans="1:2" x14ac:dyDescent="0.35">
      <c r="A6030">
        <v>294</v>
      </c>
      <c r="B6030">
        <v>1</v>
      </c>
    </row>
    <row r="6031" spans="1:2" x14ac:dyDescent="0.35">
      <c r="A6031">
        <v>294</v>
      </c>
      <c r="B6031">
        <v>1</v>
      </c>
    </row>
    <row r="6032" spans="1:2" x14ac:dyDescent="0.35">
      <c r="A6032">
        <v>294</v>
      </c>
      <c r="B6032">
        <v>1</v>
      </c>
    </row>
    <row r="6033" spans="1:2" x14ac:dyDescent="0.35">
      <c r="A6033">
        <v>294</v>
      </c>
      <c r="B6033">
        <v>1</v>
      </c>
    </row>
    <row r="6034" spans="1:2" x14ac:dyDescent="0.35">
      <c r="A6034">
        <v>294</v>
      </c>
      <c r="B6034">
        <v>1</v>
      </c>
    </row>
    <row r="6035" spans="1:2" x14ac:dyDescent="0.35">
      <c r="A6035">
        <v>295</v>
      </c>
      <c r="B6035">
        <v>1</v>
      </c>
    </row>
    <row r="6036" spans="1:2" x14ac:dyDescent="0.35">
      <c r="A6036">
        <v>295</v>
      </c>
      <c r="B6036">
        <v>1</v>
      </c>
    </row>
    <row r="6037" spans="1:2" x14ac:dyDescent="0.35">
      <c r="A6037">
        <v>295</v>
      </c>
      <c r="B6037">
        <v>1</v>
      </c>
    </row>
    <row r="6038" spans="1:2" x14ac:dyDescent="0.35">
      <c r="A6038">
        <v>295</v>
      </c>
      <c r="B6038">
        <v>1</v>
      </c>
    </row>
    <row r="6039" spans="1:2" x14ac:dyDescent="0.35">
      <c r="A6039">
        <v>295</v>
      </c>
      <c r="B6039">
        <v>1</v>
      </c>
    </row>
    <row r="6040" spans="1:2" x14ac:dyDescent="0.35">
      <c r="A6040">
        <v>296</v>
      </c>
      <c r="B6040">
        <v>1</v>
      </c>
    </row>
    <row r="6041" spans="1:2" x14ac:dyDescent="0.35">
      <c r="A6041">
        <v>296</v>
      </c>
      <c r="B6041">
        <v>1</v>
      </c>
    </row>
    <row r="6042" spans="1:2" x14ac:dyDescent="0.35">
      <c r="A6042">
        <v>296</v>
      </c>
      <c r="B6042">
        <v>1</v>
      </c>
    </row>
    <row r="6043" spans="1:2" x14ac:dyDescent="0.35">
      <c r="A6043">
        <v>296</v>
      </c>
      <c r="B6043">
        <v>1</v>
      </c>
    </row>
    <row r="6044" spans="1:2" x14ac:dyDescent="0.35">
      <c r="A6044">
        <v>296</v>
      </c>
      <c r="B6044">
        <v>1</v>
      </c>
    </row>
    <row r="6045" spans="1:2" x14ac:dyDescent="0.35">
      <c r="A6045">
        <v>296</v>
      </c>
      <c r="B6045">
        <v>1</v>
      </c>
    </row>
    <row r="6046" spans="1:2" x14ac:dyDescent="0.35">
      <c r="A6046">
        <v>296</v>
      </c>
      <c r="B6046">
        <v>1</v>
      </c>
    </row>
    <row r="6047" spans="1:2" x14ac:dyDescent="0.35">
      <c r="A6047">
        <v>296</v>
      </c>
      <c r="B6047">
        <v>1</v>
      </c>
    </row>
    <row r="6048" spans="1:2" x14ac:dyDescent="0.35">
      <c r="A6048">
        <v>296</v>
      </c>
      <c r="B6048">
        <v>1</v>
      </c>
    </row>
    <row r="6049" spans="1:2" x14ac:dyDescent="0.35">
      <c r="A6049">
        <v>296</v>
      </c>
      <c r="B6049">
        <v>1</v>
      </c>
    </row>
    <row r="6050" spans="1:2" x14ac:dyDescent="0.35">
      <c r="A6050">
        <v>296</v>
      </c>
      <c r="B6050">
        <v>1</v>
      </c>
    </row>
    <row r="6051" spans="1:2" x14ac:dyDescent="0.35">
      <c r="A6051">
        <v>297</v>
      </c>
      <c r="B6051">
        <v>1</v>
      </c>
    </row>
    <row r="6052" spans="1:2" x14ac:dyDescent="0.35">
      <c r="A6052">
        <v>297</v>
      </c>
      <c r="B6052">
        <v>1</v>
      </c>
    </row>
    <row r="6053" spans="1:2" x14ac:dyDescent="0.35">
      <c r="A6053">
        <v>297</v>
      </c>
      <c r="B6053">
        <v>1</v>
      </c>
    </row>
    <row r="6054" spans="1:2" x14ac:dyDescent="0.35">
      <c r="A6054">
        <v>297</v>
      </c>
      <c r="B6054">
        <v>1</v>
      </c>
    </row>
    <row r="6055" spans="1:2" x14ac:dyDescent="0.35">
      <c r="A6055">
        <v>297</v>
      </c>
      <c r="B6055">
        <v>1</v>
      </c>
    </row>
    <row r="6056" spans="1:2" x14ac:dyDescent="0.35">
      <c r="A6056">
        <v>297</v>
      </c>
      <c r="B6056">
        <v>1</v>
      </c>
    </row>
    <row r="6057" spans="1:2" x14ac:dyDescent="0.35">
      <c r="A6057">
        <v>297</v>
      </c>
      <c r="B6057">
        <v>1</v>
      </c>
    </row>
    <row r="6058" spans="1:2" x14ac:dyDescent="0.35">
      <c r="A6058">
        <v>297</v>
      </c>
      <c r="B6058">
        <v>1</v>
      </c>
    </row>
    <row r="6059" spans="1:2" x14ac:dyDescent="0.35">
      <c r="A6059">
        <v>297</v>
      </c>
      <c r="B6059">
        <v>1</v>
      </c>
    </row>
    <row r="6060" spans="1:2" x14ac:dyDescent="0.35">
      <c r="A6060">
        <v>297</v>
      </c>
      <c r="B6060">
        <v>1</v>
      </c>
    </row>
    <row r="6061" spans="1:2" x14ac:dyDescent="0.35">
      <c r="A6061">
        <v>297</v>
      </c>
      <c r="B6061">
        <v>1</v>
      </c>
    </row>
    <row r="6062" spans="1:2" x14ac:dyDescent="0.35">
      <c r="A6062">
        <v>298</v>
      </c>
      <c r="B6062">
        <v>1</v>
      </c>
    </row>
    <row r="6063" spans="1:2" x14ac:dyDescent="0.35">
      <c r="A6063">
        <v>298</v>
      </c>
      <c r="B6063">
        <v>1</v>
      </c>
    </row>
    <row r="6064" spans="1:2" x14ac:dyDescent="0.35">
      <c r="A6064">
        <v>298</v>
      </c>
      <c r="B6064">
        <v>1</v>
      </c>
    </row>
    <row r="6065" spans="1:2" x14ac:dyDescent="0.35">
      <c r="A6065">
        <v>298</v>
      </c>
      <c r="B6065">
        <v>1</v>
      </c>
    </row>
    <row r="6066" spans="1:2" x14ac:dyDescent="0.35">
      <c r="A6066">
        <v>298</v>
      </c>
      <c r="B6066">
        <v>1</v>
      </c>
    </row>
    <row r="6067" spans="1:2" x14ac:dyDescent="0.35">
      <c r="A6067">
        <v>298</v>
      </c>
      <c r="B6067">
        <v>1</v>
      </c>
    </row>
    <row r="6068" spans="1:2" x14ac:dyDescent="0.35">
      <c r="A6068">
        <v>298</v>
      </c>
      <c r="B6068">
        <v>1</v>
      </c>
    </row>
    <row r="6069" spans="1:2" x14ac:dyDescent="0.35">
      <c r="A6069">
        <v>298</v>
      </c>
      <c r="B6069">
        <v>1</v>
      </c>
    </row>
    <row r="6070" spans="1:2" x14ac:dyDescent="0.35">
      <c r="A6070">
        <v>298</v>
      </c>
      <c r="B6070">
        <v>1</v>
      </c>
    </row>
    <row r="6071" spans="1:2" x14ac:dyDescent="0.35">
      <c r="A6071">
        <v>298</v>
      </c>
      <c r="B6071">
        <v>1</v>
      </c>
    </row>
    <row r="6072" spans="1:2" x14ac:dyDescent="0.35">
      <c r="A6072">
        <v>298</v>
      </c>
      <c r="B6072">
        <v>1</v>
      </c>
    </row>
    <row r="6073" spans="1:2" x14ac:dyDescent="0.35">
      <c r="A6073">
        <v>298</v>
      </c>
      <c r="B6073">
        <v>1</v>
      </c>
    </row>
    <row r="6074" spans="1:2" x14ac:dyDescent="0.35">
      <c r="A6074">
        <v>298</v>
      </c>
      <c r="B6074">
        <v>1</v>
      </c>
    </row>
    <row r="6075" spans="1:2" x14ac:dyDescent="0.35">
      <c r="A6075">
        <v>298</v>
      </c>
      <c r="B6075">
        <v>1</v>
      </c>
    </row>
    <row r="6076" spans="1:2" x14ac:dyDescent="0.35">
      <c r="A6076">
        <v>298</v>
      </c>
      <c r="B6076">
        <v>1</v>
      </c>
    </row>
    <row r="6077" spans="1:2" x14ac:dyDescent="0.35">
      <c r="A6077">
        <v>298</v>
      </c>
      <c r="B6077">
        <v>1</v>
      </c>
    </row>
    <row r="6078" spans="1:2" x14ac:dyDescent="0.35">
      <c r="A6078">
        <v>298</v>
      </c>
      <c r="B6078">
        <v>1</v>
      </c>
    </row>
    <row r="6079" spans="1:2" x14ac:dyDescent="0.35">
      <c r="A6079">
        <v>298</v>
      </c>
      <c r="B6079">
        <v>1</v>
      </c>
    </row>
    <row r="6080" spans="1:2" x14ac:dyDescent="0.35">
      <c r="A6080">
        <v>298</v>
      </c>
      <c r="B6080">
        <v>1</v>
      </c>
    </row>
    <row r="6081" spans="1:2" x14ac:dyDescent="0.35">
      <c r="A6081">
        <v>298</v>
      </c>
      <c r="B6081">
        <v>1</v>
      </c>
    </row>
    <row r="6082" spans="1:2" x14ac:dyDescent="0.35">
      <c r="A6082">
        <v>299</v>
      </c>
      <c r="B6082">
        <v>1</v>
      </c>
    </row>
    <row r="6083" spans="1:2" x14ac:dyDescent="0.35">
      <c r="A6083">
        <v>299</v>
      </c>
      <c r="B6083">
        <v>1</v>
      </c>
    </row>
    <row r="6084" spans="1:2" x14ac:dyDescent="0.35">
      <c r="A6084">
        <v>299</v>
      </c>
      <c r="B6084">
        <v>1</v>
      </c>
    </row>
    <row r="6085" spans="1:2" x14ac:dyDescent="0.35">
      <c r="A6085">
        <v>299</v>
      </c>
      <c r="B6085">
        <v>1</v>
      </c>
    </row>
    <row r="6086" spans="1:2" x14ac:dyDescent="0.35">
      <c r="A6086">
        <v>299</v>
      </c>
      <c r="B6086">
        <v>1</v>
      </c>
    </row>
    <row r="6087" spans="1:2" x14ac:dyDescent="0.35">
      <c r="A6087">
        <v>299</v>
      </c>
      <c r="B6087">
        <v>1</v>
      </c>
    </row>
    <row r="6088" spans="1:2" x14ac:dyDescent="0.35">
      <c r="A6088">
        <v>299</v>
      </c>
      <c r="B6088">
        <v>1</v>
      </c>
    </row>
    <row r="6089" spans="1:2" x14ac:dyDescent="0.35">
      <c r="A6089">
        <v>299</v>
      </c>
      <c r="B6089">
        <v>1</v>
      </c>
    </row>
    <row r="6090" spans="1:2" x14ac:dyDescent="0.35">
      <c r="A6090">
        <v>300</v>
      </c>
      <c r="B6090">
        <v>1</v>
      </c>
    </row>
    <row r="6091" spans="1:2" x14ac:dyDescent="0.35">
      <c r="A6091">
        <v>300</v>
      </c>
      <c r="B6091">
        <v>1</v>
      </c>
    </row>
    <row r="6092" spans="1:2" x14ac:dyDescent="0.35">
      <c r="A6092">
        <v>300</v>
      </c>
      <c r="B6092">
        <v>1</v>
      </c>
    </row>
    <row r="6093" spans="1:2" x14ac:dyDescent="0.35">
      <c r="A6093">
        <v>300</v>
      </c>
      <c r="B6093">
        <v>1</v>
      </c>
    </row>
    <row r="6094" spans="1:2" x14ac:dyDescent="0.35">
      <c r="A6094">
        <v>300</v>
      </c>
      <c r="B6094">
        <v>1</v>
      </c>
    </row>
    <row r="6095" spans="1:2" x14ac:dyDescent="0.35">
      <c r="A6095">
        <v>300</v>
      </c>
      <c r="B6095">
        <v>1</v>
      </c>
    </row>
    <row r="6096" spans="1:2" x14ac:dyDescent="0.35">
      <c r="A6096">
        <v>300</v>
      </c>
      <c r="B6096">
        <v>1</v>
      </c>
    </row>
    <row r="6097" spans="1:2" x14ac:dyDescent="0.35">
      <c r="A6097">
        <v>301</v>
      </c>
      <c r="B6097">
        <v>1</v>
      </c>
    </row>
    <row r="6098" spans="1:2" x14ac:dyDescent="0.35">
      <c r="A6098">
        <v>301</v>
      </c>
      <c r="B6098">
        <v>1</v>
      </c>
    </row>
    <row r="6099" spans="1:2" x14ac:dyDescent="0.35">
      <c r="A6099">
        <v>302</v>
      </c>
      <c r="B6099">
        <v>1</v>
      </c>
    </row>
    <row r="6100" spans="1:2" x14ac:dyDescent="0.35">
      <c r="A6100">
        <v>302</v>
      </c>
      <c r="B6100">
        <v>1</v>
      </c>
    </row>
    <row r="6101" spans="1:2" x14ac:dyDescent="0.35">
      <c r="A6101">
        <v>302</v>
      </c>
      <c r="B6101">
        <v>1</v>
      </c>
    </row>
    <row r="6102" spans="1:2" x14ac:dyDescent="0.35">
      <c r="A6102">
        <v>302</v>
      </c>
      <c r="B6102">
        <v>1</v>
      </c>
    </row>
    <row r="6103" spans="1:2" x14ac:dyDescent="0.35">
      <c r="A6103">
        <v>302</v>
      </c>
      <c r="B6103">
        <v>1</v>
      </c>
    </row>
    <row r="6104" spans="1:2" x14ac:dyDescent="0.35">
      <c r="A6104">
        <v>302</v>
      </c>
      <c r="B6104">
        <v>1</v>
      </c>
    </row>
    <row r="6105" spans="1:2" x14ac:dyDescent="0.35">
      <c r="A6105">
        <v>302</v>
      </c>
      <c r="B6105">
        <v>1</v>
      </c>
    </row>
    <row r="6106" spans="1:2" x14ac:dyDescent="0.35">
      <c r="A6106">
        <v>302</v>
      </c>
      <c r="B6106">
        <v>1</v>
      </c>
    </row>
    <row r="6107" spans="1:2" x14ac:dyDescent="0.35">
      <c r="A6107">
        <v>302</v>
      </c>
      <c r="B6107">
        <v>1</v>
      </c>
    </row>
    <row r="6108" spans="1:2" x14ac:dyDescent="0.35">
      <c r="A6108">
        <v>302</v>
      </c>
      <c r="B6108">
        <v>1</v>
      </c>
    </row>
    <row r="6109" spans="1:2" x14ac:dyDescent="0.35">
      <c r="A6109">
        <v>302</v>
      </c>
      <c r="B6109">
        <v>1</v>
      </c>
    </row>
    <row r="6110" spans="1:2" x14ac:dyDescent="0.35">
      <c r="A6110">
        <v>302</v>
      </c>
      <c r="B6110">
        <v>1</v>
      </c>
    </row>
    <row r="6111" spans="1:2" x14ac:dyDescent="0.35">
      <c r="A6111">
        <v>303</v>
      </c>
      <c r="B6111">
        <v>1</v>
      </c>
    </row>
    <row r="6112" spans="1:2" x14ac:dyDescent="0.35">
      <c r="A6112">
        <v>303</v>
      </c>
      <c r="B6112">
        <v>1</v>
      </c>
    </row>
    <row r="6113" spans="1:2" x14ac:dyDescent="0.35">
      <c r="A6113">
        <v>303</v>
      </c>
      <c r="B6113">
        <v>1</v>
      </c>
    </row>
    <row r="6114" spans="1:2" x14ac:dyDescent="0.35">
      <c r="A6114">
        <v>303</v>
      </c>
      <c r="B6114">
        <v>1</v>
      </c>
    </row>
    <row r="6115" spans="1:2" x14ac:dyDescent="0.35">
      <c r="A6115">
        <v>303</v>
      </c>
      <c r="B6115">
        <v>1</v>
      </c>
    </row>
    <row r="6116" spans="1:2" x14ac:dyDescent="0.35">
      <c r="A6116">
        <v>303</v>
      </c>
      <c r="B6116">
        <v>1</v>
      </c>
    </row>
    <row r="6117" spans="1:2" x14ac:dyDescent="0.35">
      <c r="A6117">
        <v>303</v>
      </c>
      <c r="B6117">
        <v>1</v>
      </c>
    </row>
    <row r="6118" spans="1:2" x14ac:dyDescent="0.35">
      <c r="A6118">
        <v>304</v>
      </c>
      <c r="B6118">
        <v>1</v>
      </c>
    </row>
    <row r="6119" spans="1:2" x14ac:dyDescent="0.35">
      <c r="A6119">
        <v>304</v>
      </c>
      <c r="B6119">
        <v>1</v>
      </c>
    </row>
    <row r="6120" spans="1:2" x14ac:dyDescent="0.35">
      <c r="A6120">
        <v>304</v>
      </c>
      <c r="B6120">
        <v>1</v>
      </c>
    </row>
    <row r="6121" spans="1:2" x14ac:dyDescent="0.35">
      <c r="A6121">
        <v>304</v>
      </c>
      <c r="B6121">
        <v>1</v>
      </c>
    </row>
    <row r="6122" spans="1:2" x14ac:dyDescent="0.35">
      <c r="A6122">
        <v>304</v>
      </c>
      <c r="B6122">
        <v>1</v>
      </c>
    </row>
    <row r="6123" spans="1:2" x14ac:dyDescent="0.35">
      <c r="A6123">
        <v>304</v>
      </c>
      <c r="B6123">
        <v>1</v>
      </c>
    </row>
    <row r="6124" spans="1:2" x14ac:dyDescent="0.35">
      <c r="A6124">
        <v>304</v>
      </c>
      <c r="B6124">
        <v>1</v>
      </c>
    </row>
    <row r="6125" spans="1:2" x14ac:dyDescent="0.35">
      <c r="A6125">
        <v>305</v>
      </c>
      <c r="B6125">
        <v>1</v>
      </c>
    </row>
    <row r="6126" spans="1:2" x14ac:dyDescent="0.35">
      <c r="A6126">
        <v>305</v>
      </c>
      <c r="B6126">
        <v>1</v>
      </c>
    </row>
    <row r="6127" spans="1:2" x14ac:dyDescent="0.35">
      <c r="A6127">
        <v>305</v>
      </c>
      <c r="B6127">
        <v>1</v>
      </c>
    </row>
    <row r="6128" spans="1:2" x14ac:dyDescent="0.35">
      <c r="A6128">
        <v>305</v>
      </c>
      <c r="B6128">
        <v>1</v>
      </c>
    </row>
    <row r="6129" spans="1:2" x14ac:dyDescent="0.35">
      <c r="A6129">
        <v>305</v>
      </c>
      <c r="B6129">
        <v>1</v>
      </c>
    </row>
    <row r="6130" spans="1:2" x14ac:dyDescent="0.35">
      <c r="A6130">
        <v>305</v>
      </c>
      <c r="B6130">
        <v>1</v>
      </c>
    </row>
    <row r="6131" spans="1:2" x14ac:dyDescent="0.35">
      <c r="A6131">
        <v>305</v>
      </c>
      <c r="B6131">
        <v>1</v>
      </c>
    </row>
    <row r="6132" spans="1:2" x14ac:dyDescent="0.35">
      <c r="A6132">
        <v>305</v>
      </c>
      <c r="B6132">
        <v>1</v>
      </c>
    </row>
    <row r="6133" spans="1:2" x14ac:dyDescent="0.35">
      <c r="A6133">
        <v>305</v>
      </c>
      <c r="B6133">
        <v>1</v>
      </c>
    </row>
    <row r="6134" spans="1:2" x14ac:dyDescent="0.35">
      <c r="A6134">
        <v>306</v>
      </c>
      <c r="B6134">
        <v>1</v>
      </c>
    </row>
    <row r="6135" spans="1:2" x14ac:dyDescent="0.35">
      <c r="A6135">
        <v>306</v>
      </c>
      <c r="B6135">
        <v>1</v>
      </c>
    </row>
    <row r="6136" spans="1:2" x14ac:dyDescent="0.35">
      <c r="A6136">
        <v>306</v>
      </c>
      <c r="B6136">
        <v>1</v>
      </c>
    </row>
    <row r="6137" spans="1:2" x14ac:dyDescent="0.35">
      <c r="A6137">
        <v>306</v>
      </c>
      <c r="B6137">
        <v>1</v>
      </c>
    </row>
    <row r="6138" spans="1:2" x14ac:dyDescent="0.35">
      <c r="A6138">
        <v>306</v>
      </c>
      <c r="B6138">
        <v>1</v>
      </c>
    </row>
    <row r="6139" spans="1:2" x14ac:dyDescent="0.35">
      <c r="A6139">
        <v>306</v>
      </c>
      <c r="B6139">
        <v>1</v>
      </c>
    </row>
    <row r="6140" spans="1:2" x14ac:dyDescent="0.35">
      <c r="A6140">
        <v>307</v>
      </c>
      <c r="B6140">
        <v>1</v>
      </c>
    </row>
    <row r="6141" spans="1:2" x14ac:dyDescent="0.35">
      <c r="A6141">
        <v>307</v>
      </c>
      <c r="B6141">
        <v>1</v>
      </c>
    </row>
    <row r="6142" spans="1:2" x14ac:dyDescent="0.35">
      <c r="A6142">
        <v>307</v>
      </c>
      <c r="B6142">
        <v>1</v>
      </c>
    </row>
    <row r="6143" spans="1:2" x14ac:dyDescent="0.35">
      <c r="A6143">
        <v>307</v>
      </c>
      <c r="B6143">
        <v>1</v>
      </c>
    </row>
    <row r="6144" spans="1:2" x14ac:dyDescent="0.35">
      <c r="A6144">
        <v>308</v>
      </c>
      <c r="B6144">
        <v>1</v>
      </c>
    </row>
    <row r="6145" spans="1:2" x14ac:dyDescent="0.35">
      <c r="A6145">
        <v>308</v>
      </c>
      <c r="B6145">
        <v>1</v>
      </c>
    </row>
    <row r="6146" spans="1:2" x14ac:dyDescent="0.35">
      <c r="A6146">
        <v>308</v>
      </c>
      <c r="B6146">
        <v>1</v>
      </c>
    </row>
    <row r="6147" spans="1:2" x14ac:dyDescent="0.35">
      <c r="A6147">
        <v>308</v>
      </c>
      <c r="B6147">
        <v>1</v>
      </c>
    </row>
    <row r="6148" spans="1:2" x14ac:dyDescent="0.35">
      <c r="A6148">
        <v>308</v>
      </c>
      <c r="B6148">
        <v>1</v>
      </c>
    </row>
    <row r="6149" spans="1:2" x14ac:dyDescent="0.35">
      <c r="A6149">
        <v>308</v>
      </c>
      <c r="B6149">
        <v>1</v>
      </c>
    </row>
    <row r="6150" spans="1:2" x14ac:dyDescent="0.35">
      <c r="A6150">
        <v>308</v>
      </c>
      <c r="B6150">
        <v>1</v>
      </c>
    </row>
    <row r="6151" spans="1:2" x14ac:dyDescent="0.35">
      <c r="A6151">
        <v>308</v>
      </c>
      <c r="B6151">
        <v>1</v>
      </c>
    </row>
    <row r="6152" spans="1:2" x14ac:dyDescent="0.35">
      <c r="A6152">
        <v>308</v>
      </c>
      <c r="B6152">
        <v>1</v>
      </c>
    </row>
    <row r="6153" spans="1:2" x14ac:dyDescent="0.35">
      <c r="A6153">
        <v>308</v>
      </c>
      <c r="B6153">
        <v>1</v>
      </c>
    </row>
    <row r="6154" spans="1:2" x14ac:dyDescent="0.35">
      <c r="A6154">
        <v>309</v>
      </c>
      <c r="B6154">
        <v>1</v>
      </c>
    </row>
    <row r="6155" spans="1:2" x14ac:dyDescent="0.35">
      <c r="A6155">
        <v>309</v>
      </c>
      <c r="B6155">
        <v>1</v>
      </c>
    </row>
    <row r="6156" spans="1:2" x14ac:dyDescent="0.35">
      <c r="A6156">
        <v>309</v>
      </c>
      <c r="B6156">
        <v>1</v>
      </c>
    </row>
    <row r="6157" spans="1:2" x14ac:dyDescent="0.35">
      <c r="A6157">
        <v>309</v>
      </c>
      <c r="B6157">
        <v>1</v>
      </c>
    </row>
    <row r="6158" spans="1:2" x14ac:dyDescent="0.35">
      <c r="A6158">
        <v>310</v>
      </c>
      <c r="B6158">
        <v>1</v>
      </c>
    </row>
    <row r="6159" spans="1:2" x14ac:dyDescent="0.35">
      <c r="A6159">
        <v>310</v>
      </c>
      <c r="B6159">
        <v>1</v>
      </c>
    </row>
    <row r="6160" spans="1:2" x14ac:dyDescent="0.35">
      <c r="A6160">
        <v>310</v>
      </c>
      <c r="B6160">
        <v>1</v>
      </c>
    </row>
    <row r="6161" spans="1:2" x14ac:dyDescent="0.35">
      <c r="A6161">
        <v>310</v>
      </c>
      <c r="B6161">
        <v>1</v>
      </c>
    </row>
    <row r="6162" spans="1:2" x14ac:dyDescent="0.35">
      <c r="A6162">
        <v>310</v>
      </c>
      <c r="B6162">
        <v>1</v>
      </c>
    </row>
    <row r="6163" spans="1:2" x14ac:dyDescent="0.35">
      <c r="A6163">
        <v>310</v>
      </c>
      <c r="B6163">
        <v>1</v>
      </c>
    </row>
    <row r="6164" spans="1:2" x14ac:dyDescent="0.35">
      <c r="A6164">
        <v>310</v>
      </c>
      <c r="B6164">
        <v>1</v>
      </c>
    </row>
    <row r="6165" spans="1:2" x14ac:dyDescent="0.35">
      <c r="A6165">
        <v>310</v>
      </c>
      <c r="B6165">
        <v>1</v>
      </c>
    </row>
    <row r="6166" spans="1:2" x14ac:dyDescent="0.35">
      <c r="A6166">
        <v>310</v>
      </c>
      <c r="B6166">
        <v>1</v>
      </c>
    </row>
    <row r="6167" spans="1:2" x14ac:dyDescent="0.35">
      <c r="A6167">
        <v>310</v>
      </c>
      <c r="B6167">
        <v>1</v>
      </c>
    </row>
    <row r="6168" spans="1:2" x14ac:dyDescent="0.35">
      <c r="A6168">
        <v>310</v>
      </c>
      <c r="B6168">
        <v>1</v>
      </c>
    </row>
    <row r="6169" spans="1:2" x14ac:dyDescent="0.35">
      <c r="A6169">
        <v>310</v>
      </c>
      <c r="B6169">
        <v>1</v>
      </c>
    </row>
    <row r="6170" spans="1:2" x14ac:dyDescent="0.35">
      <c r="A6170">
        <v>310</v>
      </c>
      <c r="B6170">
        <v>1</v>
      </c>
    </row>
    <row r="6171" spans="1:2" x14ac:dyDescent="0.35">
      <c r="A6171">
        <v>311</v>
      </c>
      <c r="B6171">
        <v>1</v>
      </c>
    </row>
    <row r="6172" spans="1:2" x14ac:dyDescent="0.35">
      <c r="A6172">
        <v>311</v>
      </c>
      <c r="B6172">
        <v>1</v>
      </c>
    </row>
    <row r="6173" spans="1:2" x14ac:dyDescent="0.35">
      <c r="A6173">
        <v>311</v>
      </c>
      <c r="B6173">
        <v>1</v>
      </c>
    </row>
    <row r="6174" spans="1:2" x14ac:dyDescent="0.35">
      <c r="A6174">
        <v>311</v>
      </c>
      <c r="B6174">
        <v>1</v>
      </c>
    </row>
    <row r="6175" spans="1:2" x14ac:dyDescent="0.35">
      <c r="A6175">
        <v>311</v>
      </c>
      <c r="B6175">
        <v>1</v>
      </c>
    </row>
    <row r="6176" spans="1:2" x14ac:dyDescent="0.35">
      <c r="A6176">
        <v>311</v>
      </c>
      <c r="B6176">
        <v>1</v>
      </c>
    </row>
    <row r="6177" spans="1:2" x14ac:dyDescent="0.35">
      <c r="A6177">
        <v>311</v>
      </c>
      <c r="B6177">
        <v>1</v>
      </c>
    </row>
    <row r="6178" spans="1:2" x14ac:dyDescent="0.35">
      <c r="A6178">
        <v>311</v>
      </c>
      <c r="B6178">
        <v>1</v>
      </c>
    </row>
    <row r="6179" spans="1:2" x14ac:dyDescent="0.35">
      <c r="A6179">
        <v>311</v>
      </c>
      <c r="B6179">
        <v>1</v>
      </c>
    </row>
    <row r="6180" spans="1:2" x14ac:dyDescent="0.35">
      <c r="A6180">
        <v>312</v>
      </c>
      <c r="B6180">
        <v>1</v>
      </c>
    </row>
    <row r="6181" spans="1:2" x14ac:dyDescent="0.35">
      <c r="A6181">
        <v>312</v>
      </c>
      <c r="B6181">
        <v>1</v>
      </c>
    </row>
    <row r="6182" spans="1:2" x14ac:dyDescent="0.35">
      <c r="A6182">
        <v>312</v>
      </c>
      <c r="B6182">
        <v>1</v>
      </c>
    </row>
    <row r="6183" spans="1:2" x14ac:dyDescent="0.35">
      <c r="A6183">
        <v>312</v>
      </c>
      <c r="B6183">
        <v>1</v>
      </c>
    </row>
    <row r="6184" spans="1:2" x14ac:dyDescent="0.35">
      <c r="A6184">
        <v>312</v>
      </c>
      <c r="B6184">
        <v>1</v>
      </c>
    </row>
    <row r="6185" spans="1:2" x14ac:dyDescent="0.35">
      <c r="A6185">
        <v>312</v>
      </c>
      <c r="B6185">
        <v>1</v>
      </c>
    </row>
    <row r="6186" spans="1:2" x14ac:dyDescent="0.35">
      <c r="A6186">
        <v>312</v>
      </c>
      <c r="B6186">
        <v>1</v>
      </c>
    </row>
    <row r="6187" spans="1:2" x14ac:dyDescent="0.35">
      <c r="A6187">
        <v>313</v>
      </c>
      <c r="B6187">
        <v>1</v>
      </c>
    </row>
    <row r="6188" spans="1:2" x14ac:dyDescent="0.35">
      <c r="A6188">
        <v>313</v>
      </c>
      <c r="B6188">
        <v>1</v>
      </c>
    </row>
    <row r="6189" spans="1:2" x14ac:dyDescent="0.35">
      <c r="A6189">
        <v>313</v>
      </c>
      <c r="B6189">
        <v>1</v>
      </c>
    </row>
    <row r="6190" spans="1:2" x14ac:dyDescent="0.35">
      <c r="A6190">
        <v>313</v>
      </c>
      <c r="B6190">
        <v>1</v>
      </c>
    </row>
    <row r="6191" spans="1:2" x14ac:dyDescent="0.35">
      <c r="A6191">
        <v>313</v>
      </c>
      <c r="B6191">
        <v>1</v>
      </c>
    </row>
    <row r="6192" spans="1:2" x14ac:dyDescent="0.35">
      <c r="A6192">
        <v>313</v>
      </c>
      <c r="B6192">
        <v>1</v>
      </c>
    </row>
    <row r="6193" spans="1:2" x14ac:dyDescent="0.35">
      <c r="A6193">
        <v>313</v>
      </c>
      <c r="B6193">
        <v>1</v>
      </c>
    </row>
    <row r="6194" spans="1:2" x14ac:dyDescent="0.35">
      <c r="A6194">
        <v>313</v>
      </c>
      <c r="B6194">
        <v>1</v>
      </c>
    </row>
    <row r="6195" spans="1:2" x14ac:dyDescent="0.35">
      <c r="A6195">
        <v>313</v>
      </c>
      <c r="B6195">
        <v>1</v>
      </c>
    </row>
    <row r="6196" spans="1:2" x14ac:dyDescent="0.35">
      <c r="A6196">
        <v>313</v>
      </c>
      <c r="B6196">
        <v>1</v>
      </c>
    </row>
    <row r="6197" spans="1:2" x14ac:dyDescent="0.35">
      <c r="A6197">
        <v>313</v>
      </c>
      <c r="B6197">
        <v>1</v>
      </c>
    </row>
    <row r="6198" spans="1:2" x14ac:dyDescent="0.35">
      <c r="A6198">
        <v>314</v>
      </c>
      <c r="B6198">
        <v>1</v>
      </c>
    </row>
    <row r="6199" spans="1:2" x14ac:dyDescent="0.35">
      <c r="A6199">
        <v>314</v>
      </c>
      <c r="B6199">
        <v>1</v>
      </c>
    </row>
    <row r="6200" spans="1:2" x14ac:dyDescent="0.35">
      <c r="A6200">
        <v>314</v>
      </c>
      <c r="B6200">
        <v>1</v>
      </c>
    </row>
    <row r="6201" spans="1:2" x14ac:dyDescent="0.35">
      <c r="A6201">
        <v>314</v>
      </c>
      <c r="B6201">
        <v>1</v>
      </c>
    </row>
    <row r="6202" spans="1:2" x14ac:dyDescent="0.35">
      <c r="A6202">
        <v>314</v>
      </c>
      <c r="B6202">
        <v>1</v>
      </c>
    </row>
    <row r="6203" spans="1:2" x14ac:dyDescent="0.35">
      <c r="A6203">
        <v>314</v>
      </c>
      <c r="B6203">
        <v>1</v>
      </c>
    </row>
    <row r="6204" spans="1:2" x14ac:dyDescent="0.35">
      <c r="A6204">
        <v>314</v>
      </c>
      <c r="B6204">
        <v>1</v>
      </c>
    </row>
    <row r="6205" spans="1:2" x14ac:dyDescent="0.35">
      <c r="A6205">
        <v>314</v>
      </c>
      <c r="B6205">
        <v>1</v>
      </c>
    </row>
    <row r="6206" spans="1:2" x14ac:dyDescent="0.35">
      <c r="A6206">
        <v>314</v>
      </c>
      <c r="B6206">
        <v>1</v>
      </c>
    </row>
    <row r="6207" spans="1:2" x14ac:dyDescent="0.35">
      <c r="A6207">
        <v>315</v>
      </c>
      <c r="B6207">
        <v>1</v>
      </c>
    </row>
    <row r="6208" spans="1:2" x14ac:dyDescent="0.35">
      <c r="A6208">
        <v>315</v>
      </c>
      <c r="B6208">
        <v>1</v>
      </c>
    </row>
    <row r="6209" spans="1:2" x14ac:dyDescent="0.35">
      <c r="A6209">
        <v>315</v>
      </c>
      <c r="B6209">
        <v>1</v>
      </c>
    </row>
    <row r="6210" spans="1:2" x14ac:dyDescent="0.35">
      <c r="A6210">
        <v>315</v>
      </c>
      <c r="B6210">
        <v>1</v>
      </c>
    </row>
    <row r="6211" spans="1:2" x14ac:dyDescent="0.35">
      <c r="A6211">
        <v>315</v>
      </c>
      <c r="B6211">
        <v>1</v>
      </c>
    </row>
    <row r="6212" spans="1:2" x14ac:dyDescent="0.35">
      <c r="A6212">
        <v>315</v>
      </c>
      <c r="B6212">
        <v>1</v>
      </c>
    </row>
    <row r="6213" spans="1:2" x14ac:dyDescent="0.35">
      <c r="A6213">
        <v>316</v>
      </c>
      <c r="B6213">
        <v>1</v>
      </c>
    </row>
    <row r="6214" spans="1:2" x14ac:dyDescent="0.35">
      <c r="A6214">
        <v>316</v>
      </c>
      <c r="B6214">
        <v>1</v>
      </c>
    </row>
    <row r="6215" spans="1:2" x14ac:dyDescent="0.35">
      <c r="A6215">
        <v>316</v>
      </c>
      <c r="B6215">
        <v>1</v>
      </c>
    </row>
    <row r="6216" spans="1:2" x14ac:dyDescent="0.35">
      <c r="A6216">
        <v>316</v>
      </c>
      <c r="B6216">
        <v>1</v>
      </c>
    </row>
    <row r="6217" spans="1:2" x14ac:dyDescent="0.35">
      <c r="A6217">
        <v>316</v>
      </c>
      <c r="B6217">
        <v>1</v>
      </c>
    </row>
    <row r="6218" spans="1:2" x14ac:dyDescent="0.35">
      <c r="A6218">
        <v>316</v>
      </c>
      <c r="B6218">
        <v>1</v>
      </c>
    </row>
    <row r="6219" spans="1:2" x14ac:dyDescent="0.35">
      <c r="A6219">
        <v>316</v>
      </c>
      <c r="B6219">
        <v>1</v>
      </c>
    </row>
    <row r="6220" spans="1:2" x14ac:dyDescent="0.35">
      <c r="A6220">
        <v>316</v>
      </c>
      <c r="B6220">
        <v>1</v>
      </c>
    </row>
    <row r="6221" spans="1:2" x14ac:dyDescent="0.35">
      <c r="A6221">
        <v>317</v>
      </c>
      <c r="B6221">
        <v>1</v>
      </c>
    </row>
    <row r="6222" spans="1:2" x14ac:dyDescent="0.35">
      <c r="A6222">
        <v>317</v>
      </c>
      <c r="B6222">
        <v>1</v>
      </c>
    </row>
    <row r="6223" spans="1:2" x14ac:dyDescent="0.35">
      <c r="A6223">
        <v>317</v>
      </c>
      <c r="B6223">
        <v>1</v>
      </c>
    </row>
    <row r="6224" spans="1:2" x14ac:dyDescent="0.35">
      <c r="A6224">
        <v>317</v>
      </c>
      <c r="B6224">
        <v>1</v>
      </c>
    </row>
    <row r="6225" spans="1:2" x14ac:dyDescent="0.35">
      <c r="A6225">
        <v>317</v>
      </c>
      <c r="B6225">
        <v>1</v>
      </c>
    </row>
    <row r="6226" spans="1:2" x14ac:dyDescent="0.35">
      <c r="A6226">
        <v>317</v>
      </c>
      <c r="B6226">
        <v>1</v>
      </c>
    </row>
    <row r="6227" spans="1:2" x14ac:dyDescent="0.35">
      <c r="A6227">
        <v>317</v>
      </c>
      <c r="B6227">
        <v>1</v>
      </c>
    </row>
    <row r="6228" spans="1:2" x14ac:dyDescent="0.35">
      <c r="A6228">
        <v>318</v>
      </c>
      <c r="B6228">
        <v>1</v>
      </c>
    </row>
    <row r="6229" spans="1:2" x14ac:dyDescent="0.35">
      <c r="A6229">
        <v>318</v>
      </c>
      <c r="B6229">
        <v>1</v>
      </c>
    </row>
    <row r="6230" spans="1:2" x14ac:dyDescent="0.35">
      <c r="A6230">
        <v>318</v>
      </c>
      <c r="B6230">
        <v>1</v>
      </c>
    </row>
    <row r="6231" spans="1:2" x14ac:dyDescent="0.35">
      <c r="A6231">
        <v>318</v>
      </c>
      <c r="B6231">
        <v>1</v>
      </c>
    </row>
    <row r="6232" spans="1:2" x14ac:dyDescent="0.35">
      <c r="A6232">
        <v>318</v>
      </c>
      <c r="B6232">
        <v>1</v>
      </c>
    </row>
    <row r="6233" spans="1:2" x14ac:dyDescent="0.35">
      <c r="A6233">
        <v>318</v>
      </c>
      <c r="B6233">
        <v>1</v>
      </c>
    </row>
    <row r="6234" spans="1:2" x14ac:dyDescent="0.35">
      <c r="A6234">
        <v>318</v>
      </c>
      <c r="B6234">
        <v>1</v>
      </c>
    </row>
    <row r="6235" spans="1:2" x14ac:dyDescent="0.35">
      <c r="A6235">
        <v>318</v>
      </c>
      <c r="B6235">
        <v>1</v>
      </c>
    </row>
    <row r="6236" spans="1:2" x14ac:dyDescent="0.35">
      <c r="A6236">
        <v>319</v>
      </c>
      <c r="B6236">
        <v>1</v>
      </c>
    </row>
    <row r="6237" spans="1:2" x14ac:dyDescent="0.35">
      <c r="A6237">
        <v>319</v>
      </c>
      <c r="B6237">
        <v>1</v>
      </c>
    </row>
    <row r="6238" spans="1:2" x14ac:dyDescent="0.35">
      <c r="A6238">
        <v>319</v>
      </c>
      <c r="B6238">
        <v>1</v>
      </c>
    </row>
    <row r="6239" spans="1:2" x14ac:dyDescent="0.35">
      <c r="A6239">
        <v>319</v>
      </c>
      <c r="B6239">
        <v>1</v>
      </c>
    </row>
    <row r="6240" spans="1:2" x14ac:dyDescent="0.35">
      <c r="A6240">
        <v>319</v>
      </c>
      <c r="B6240">
        <v>1</v>
      </c>
    </row>
    <row r="6241" spans="1:2" x14ac:dyDescent="0.35">
      <c r="A6241">
        <v>320</v>
      </c>
      <c r="B6241">
        <v>1</v>
      </c>
    </row>
    <row r="6242" spans="1:2" x14ac:dyDescent="0.35">
      <c r="A6242">
        <v>320</v>
      </c>
      <c r="B6242">
        <v>1</v>
      </c>
    </row>
    <row r="6243" spans="1:2" x14ac:dyDescent="0.35">
      <c r="A6243">
        <v>320</v>
      </c>
      <c r="B6243">
        <v>1</v>
      </c>
    </row>
    <row r="6244" spans="1:2" x14ac:dyDescent="0.35">
      <c r="A6244">
        <v>320</v>
      </c>
      <c r="B6244">
        <v>1</v>
      </c>
    </row>
    <row r="6245" spans="1:2" x14ac:dyDescent="0.35">
      <c r="A6245">
        <v>320</v>
      </c>
      <c r="B6245">
        <v>1</v>
      </c>
    </row>
    <row r="6246" spans="1:2" x14ac:dyDescent="0.35">
      <c r="A6246">
        <v>320</v>
      </c>
      <c r="B6246">
        <v>1</v>
      </c>
    </row>
    <row r="6247" spans="1:2" x14ac:dyDescent="0.35">
      <c r="A6247">
        <v>320</v>
      </c>
      <c r="B6247">
        <v>1</v>
      </c>
    </row>
    <row r="6248" spans="1:2" x14ac:dyDescent="0.35">
      <c r="A6248">
        <v>321</v>
      </c>
      <c r="B6248">
        <v>1</v>
      </c>
    </row>
    <row r="6249" spans="1:2" x14ac:dyDescent="0.35">
      <c r="A6249">
        <v>321</v>
      </c>
      <c r="B6249">
        <v>1</v>
      </c>
    </row>
    <row r="6250" spans="1:2" x14ac:dyDescent="0.35">
      <c r="A6250">
        <v>321</v>
      </c>
      <c r="B6250">
        <v>1</v>
      </c>
    </row>
    <row r="6251" spans="1:2" x14ac:dyDescent="0.35">
      <c r="A6251">
        <v>321</v>
      </c>
      <c r="B6251">
        <v>1</v>
      </c>
    </row>
    <row r="6252" spans="1:2" x14ac:dyDescent="0.35">
      <c r="A6252">
        <v>321</v>
      </c>
      <c r="B6252">
        <v>1</v>
      </c>
    </row>
    <row r="6253" spans="1:2" x14ac:dyDescent="0.35">
      <c r="A6253">
        <v>321</v>
      </c>
      <c r="B6253">
        <v>1</v>
      </c>
    </row>
    <row r="6254" spans="1:2" x14ac:dyDescent="0.35">
      <c r="A6254">
        <v>321</v>
      </c>
      <c r="B6254">
        <v>1</v>
      </c>
    </row>
    <row r="6255" spans="1:2" x14ac:dyDescent="0.35">
      <c r="A6255">
        <v>321</v>
      </c>
      <c r="B6255">
        <v>1</v>
      </c>
    </row>
    <row r="6256" spans="1:2" x14ac:dyDescent="0.35">
      <c r="A6256">
        <v>321</v>
      </c>
      <c r="B6256">
        <v>1</v>
      </c>
    </row>
    <row r="6257" spans="1:2" x14ac:dyDescent="0.35">
      <c r="A6257">
        <v>321</v>
      </c>
      <c r="B6257">
        <v>1</v>
      </c>
    </row>
    <row r="6258" spans="1:2" x14ac:dyDescent="0.35">
      <c r="A6258">
        <v>321</v>
      </c>
      <c r="B6258">
        <v>1</v>
      </c>
    </row>
    <row r="6259" spans="1:2" x14ac:dyDescent="0.35">
      <c r="A6259">
        <v>321</v>
      </c>
      <c r="B6259">
        <v>1</v>
      </c>
    </row>
    <row r="6260" spans="1:2" x14ac:dyDescent="0.35">
      <c r="A6260">
        <v>321</v>
      </c>
      <c r="B6260">
        <v>1</v>
      </c>
    </row>
    <row r="6261" spans="1:2" x14ac:dyDescent="0.35">
      <c r="A6261">
        <v>321</v>
      </c>
      <c r="B6261">
        <v>1</v>
      </c>
    </row>
    <row r="6262" spans="1:2" x14ac:dyDescent="0.35">
      <c r="A6262">
        <v>322</v>
      </c>
      <c r="B6262">
        <v>1</v>
      </c>
    </row>
    <row r="6263" spans="1:2" x14ac:dyDescent="0.35">
      <c r="A6263">
        <v>322</v>
      </c>
      <c r="B6263">
        <v>1</v>
      </c>
    </row>
    <row r="6264" spans="1:2" x14ac:dyDescent="0.35">
      <c r="A6264">
        <v>322</v>
      </c>
      <c r="B6264">
        <v>1</v>
      </c>
    </row>
    <row r="6265" spans="1:2" x14ac:dyDescent="0.35">
      <c r="A6265">
        <v>322</v>
      </c>
      <c r="B6265">
        <v>1</v>
      </c>
    </row>
    <row r="6266" spans="1:2" x14ac:dyDescent="0.35">
      <c r="A6266">
        <v>322</v>
      </c>
      <c r="B6266">
        <v>1</v>
      </c>
    </row>
    <row r="6267" spans="1:2" x14ac:dyDescent="0.35">
      <c r="A6267">
        <v>322</v>
      </c>
      <c r="B6267">
        <v>1</v>
      </c>
    </row>
    <row r="6268" spans="1:2" x14ac:dyDescent="0.35">
      <c r="A6268">
        <v>322</v>
      </c>
      <c r="B6268">
        <v>1</v>
      </c>
    </row>
    <row r="6269" spans="1:2" x14ac:dyDescent="0.35">
      <c r="A6269">
        <v>322</v>
      </c>
      <c r="B6269">
        <v>1</v>
      </c>
    </row>
    <row r="6270" spans="1:2" x14ac:dyDescent="0.35">
      <c r="A6270">
        <v>322</v>
      </c>
      <c r="B6270">
        <v>1</v>
      </c>
    </row>
    <row r="6271" spans="1:2" x14ac:dyDescent="0.35">
      <c r="A6271">
        <v>322</v>
      </c>
      <c r="B6271">
        <v>1</v>
      </c>
    </row>
    <row r="6272" spans="1:2" x14ac:dyDescent="0.35">
      <c r="A6272">
        <v>322</v>
      </c>
      <c r="B6272">
        <v>1</v>
      </c>
    </row>
    <row r="6273" spans="1:2" x14ac:dyDescent="0.35">
      <c r="A6273">
        <v>323</v>
      </c>
      <c r="B6273">
        <v>1</v>
      </c>
    </row>
    <row r="6274" spans="1:2" x14ac:dyDescent="0.35">
      <c r="A6274">
        <v>323</v>
      </c>
      <c r="B6274">
        <v>1</v>
      </c>
    </row>
    <row r="6275" spans="1:2" x14ac:dyDescent="0.35">
      <c r="A6275">
        <v>323</v>
      </c>
      <c r="B6275">
        <v>1</v>
      </c>
    </row>
    <row r="6276" spans="1:2" x14ac:dyDescent="0.35">
      <c r="A6276">
        <v>323</v>
      </c>
      <c r="B6276">
        <v>1</v>
      </c>
    </row>
    <row r="6277" spans="1:2" x14ac:dyDescent="0.35">
      <c r="A6277">
        <v>324</v>
      </c>
      <c r="B6277">
        <v>1</v>
      </c>
    </row>
    <row r="6278" spans="1:2" x14ac:dyDescent="0.35">
      <c r="A6278">
        <v>324</v>
      </c>
      <c r="B6278">
        <v>1</v>
      </c>
    </row>
    <row r="6279" spans="1:2" x14ac:dyDescent="0.35">
      <c r="A6279">
        <v>324</v>
      </c>
      <c r="B6279">
        <v>1</v>
      </c>
    </row>
    <row r="6280" spans="1:2" x14ac:dyDescent="0.35">
      <c r="A6280">
        <v>324</v>
      </c>
      <c r="B6280">
        <v>1</v>
      </c>
    </row>
    <row r="6281" spans="1:2" x14ac:dyDescent="0.35">
      <c r="A6281">
        <v>324</v>
      </c>
      <c r="B6281">
        <v>1</v>
      </c>
    </row>
    <row r="6282" spans="1:2" x14ac:dyDescent="0.35">
      <c r="A6282">
        <v>325</v>
      </c>
      <c r="B6282">
        <v>1</v>
      </c>
    </row>
    <row r="6283" spans="1:2" x14ac:dyDescent="0.35">
      <c r="A6283">
        <v>325</v>
      </c>
      <c r="B6283">
        <v>1</v>
      </c>
    </row>
    <row r="6284" spans="1:2" x14ac:dyDescent="0.35">
      <c r="A6284">
        <v>325</v>
      </c>
      <c r="B6284">
        <v>1</v>
      </c>
    </row>
    <row r="6285" spans="1:2" x14ac:dyDescent="0.35">
      <c r="A6285">
        <v>325</v>
      </c>
      <c r="B6285">
        <v>1</v>
      </c>
    </row>
    <row r="6286" spans="1:2" x14ac:dyDescent="0.35">
      <c r="A6286">
        <v>325</v>
      </c>
      <c r="B6286">
        <v>1</v>
      </c>
    </row>
    <row r="6287" spans="1:2" x14ac:dyDescent="0.35">
      <c r="A6287">
        <v>325</v>
      </c>
      <c r="B6287">
        <v>1</v>
      </c>
    </row>
    <row r="6288" spans="1:2" x14ac:dyDescent="0.35">
      <c r="A6288">
        <v>325</v>
      </c>
      <c r="B6288">
        <v>1</v>
      </c>
    </row>
    <row r="6289" spans="1:2" x14ac:dyDescent="0.35">
      <c r="A6289">
        <v>325</v>
      </c>
      <c r="B6289">
        <v>1</v>
      </c>
    </row>
    <row r="6290" spans="1:2" x14ac:dyDescent="0.35">
      <c r="A6290">
        <v>326</v>
      </c>
      <c r="B6290">
        <v>1</v>
      </c>
    </row>
    <row r="6291" spans="1:2" x14ac:dyDescent="0.35">
      <c r="A6291">
        <v>326</v>
      </c>
      <c r="B6291">
        <v>1</v>
      </c>
    </row>
    <row r="6292" spans="1:2" x14ac:dyDescent="0.35">
      <c r="A6292">
        <v>326</v>
      </c>
      <c r="B6292">
        <v>1</v>
      </c>
    </row>
    <row r="6293" spans="1:2" x14ac:dyDescent="0.35">
      <c r="A6293">
        <v>326</v>
      </c>
      <c r="B6293">
        <v>1</v>
      </c>
    </row>
    <row r="6294" spans="1:2" x14ac:dyDescent="0.35">
      <c r="A6294">
        <v>326</v>
      </c>
      <c r="B6294">
        <v>1</v>
      </c>
    </row>
    <row r="6295" spans="1:2" x14ac:dyDescent="0.35">
      <c r="A6295">
        <v>326</v>
      </c>
      <c r="B6295">
        <v>1</v>
      </c>
    </row>
    <row r="6296" spans="1:2" x14ac:dyDescent="0.35">
      <c r="A6296">
        <v>326</v>
      </c>
      <c r="B6296">
        <v>1</v>
      </c>
    </row>
    <row r="6297" spans="1:2" x14ac:dyDescent="0.35">
      <c r="A6297">
        <v>327</v>
      </c>
      <c r="B6297">
        <v>1</v>
      </c>
    </row>
    <row r="6298" spans="1:2" x14ac:dyDescent="0.35">
      <c r="A6298">
        <v>327</v>
      </c>
      <c r="B6298">
        <v>1</v>
      </c>
    </row>
    <row r="6299" spans="1:2" x14ac:dyDescent="0.35">
      <c r="A6299">
        <v>327</v>
      </c>
      <c r="B6299">
        <v>1</v>
      </c>
    </row>
    <row r="6300" spans="1:2" x14ac:dyDescent="0.35">
      <c r="A6300">
        <v>327</v>
      </c>
      <c r="B6300">
        <v>1</v>
      </c>
    </row>
    <row r="6301" spans="1:2" x14ac:dyDescent="0.35">
      <c r="A6301">
        <v>327</v>
      </c>
      <c r="B6301">
        <v>1</v>
      </c>
    </row>
    <row r="6302" spans="1:2" x14ac:dyDescent="0.35">
      <c r="A6302">
        <v>327</v>
      </c>
      <c r="B6302">
        <v>1</v>
      </c>
    </row>
    <row r="6303" spans="1:2" x14ac:dyDescent="0.35">
      <c r="A6303">
        <v>327</v>
      </c>
      <c r="B6303">
        <v>1</v>
      </c>
    </row>
    <row r="6304" spans="1:2" x14ac:dyDescent="0.35">
      <c r="A6304">
        <v>327</v>
      </c>
      <c r="B6304">
        <v>1</v>
      </c>
    </row>
    <row r="6305" spans="1:2" x14ac:dyDescent="0.35">
      <c r="A6305">
        <v>328</v>
      </c>
      <c r="B6305">
        <v>1</v>
      </c>
    </row>
    <row r="6306" spans="1:2" x14ac:dyDescent="0.35">
      <c r="A6306">
        <v>328</v>
      </c>
      <c r="B6306">
        <v>1</v>
      </c>
    </row>
    <row r="6307" spans="1:2" x14ac:dyDescent="0.35">
      <c r="A6307">
        <v>328</v>
      </c>
      <c r="B6307">
        <v>1</v>
      </c>
    </row>
    <row r="6308" spans="1:2" x14ac:dyDescent="0.35">
      <c r="A6308">
        <v>328</v>
      </c>
      <c r="B6308">
        <v>1</v>
      </c>
    </row>
    <row r="6309" spans="1:2" x14ac:dyDescent="0.35">
      <c r="A6309">
        <v>328</v>
      </c>
      <c r="B6309">
        <v>1</v>
      </c>
    </row>
    <row r="6310" spans="1:2" x14ac:dyDescent="0.35">
      <c r="A6310">
        <v>329</v>
      </c>
      <c r="B6310">
        <v>1</v>
      </c>
    </row>
    <row r="6311" spans="1:2" x14ac:dyDescent="0.35">
      <c r="A6311">
        <v>329</v>
      </c>
      <c r="B6311">
        <v>1</v>
      </c>
    </row>
    <row r="6312" spans="1:2" x14ac:dyDescent="0.35">
      <c r="A6312">
        <v>329</v>
      </c>
      <c r="B6312">
        <v>1</v>
      </c>
    </row>
    <row r="6313" spans="1:2" x14ac:dyDescent="0.35">
      <c r="A6313">
        <v>329</v>
      </c>
      <c r="B6313">
        <v>1</v>
      </c>
    </row>
    <row r="6314" spans="1:2" x14ac:dyDescent="0.35">
      <c r="A6314">
        <v>329</v>
      </c>
      <c r="B6314">
        <v>1</v>
      </c>
    </row>
    <row r="6315" spans="1:2" x14ac:dyDescent="0.35">
      <c r="A6315">
        <v>329</v>
      </c>
      <c r="B6315">
        <v>1</v>
      </c>
    </row>
    <row r="6316" spans="1:2" x14ac:dyDescent="0.35">
      <c r="A6316">
        <v>329</v>
      </c>
      <c r="B6316">
        <v>1</v>
      </c>
    </row>
    <row r="6317" spans="1:2" x14ac:dyDescent="0.35">
      <c r="A6317">
        <v>329</v>
      </c>
      <c r="B6317">
        <v>1</v>
      </c>
    </row>
    <row r="6318" spans="1:2" x14ac:dyDescent="0.35">
      <c r="A6318">
        <v>330</v>
      </c>
      <c r="B6318">
        <v>1</v>
      </c>
    </row>
    <row r="6319" spans="1:2" x14ac:dyDescent="0.35">
      <c r="A6319">
        <v>330</v>
      </c>
      <c r="B6319">
        <v>1</v>
      </c>
    </row>
    <row r="6320" spans="1:2" x14ac:dyDescent="0.35">
      <c r="A6320">
        <v>330</v>
      </c>
      <c r="B6320">
        <v>1</v>
      </c>
    </row>
    <row r="6321" spans="1:2" x14ac:dyDescent="0.35">
      <c r="A6321">
        <v>330</v>
      </c>
      <c r="B6321">
        <v>1</v>
      </c>
    </row>
    <row r="6322" spans="1:2" x14ac:dyDescent="0.35">
      <c r="A6322">
        <v>330</v>
      </c>
      <c r="B6322">
        <v>1</v>
      </c>
    </row>
    <row r="6323" spans="1:2" x14ac:dyDescent="0.35">
      <c r="A6323">
        <v>330</v>
      </c>
      <c r="B6323">
        <v>1</v>
      </c>
    </row>
    <row r="6324" spans="1:2" x14ac:dyDescent="0.35">
      <c r="A6324">
        <v>331</v>
      </c>
      <c r="B6324">
        <v>1</v>
      </c>
    </row>
    <row r="6325" spans="1:2" x14ac:dyDescent="0.35">
      <c r="A6325">
        <v>331</v>
      </c>
      <c r="B6325">
        <v>1</v>
      </c>
    </row>
    <row r="6326" spans="1:2" x14ac:dyDescent="0.35">
      <c r="A6326">
        <v>331</v>
      </c>
      <c r="B6326">
        <v>1</v>
      </c>
    </row>
    <row r="6327" spans="1:2" x14ac:dyDescent="0.35">
      <c r="A6327">
        <v>331</v>
      </c>
      <c r="B6327">
        <v>1</v>
      </c>
    </row>
    <row r="6328" spans="1:2" x14ac:dyDescent="0.35">
      <c r="A6328">
        <v>331</v>
      </c>
      <c r="B6328">
        <v>1</v>
      </c>
    </row>
    <row r="6329" spans="1:2" x14ac:dyDescent="0.35">
      <c r="A6329">
        <v>331</v>
      </c>
      <c r="B6329">
        <v>1</v>
      </c>
    </row>
    <row r="6330" spans="1:2" x14ac:dyDescent="0.35">
      <c r="A6330">
        <v>331</v>
      </c>
      <c r="B6330">
        <v>1</v>
      </c>
    </row>
    <row r="6331" spans="1:2" x14ac:dyDescent="0.35">
      <c r="A6331">
        <v>331</v>
      </c>
      <c r="B6331">
        <v>1</v>
      </c>
    </row>
    <row r="6332" spans="1:2" x14ac:dyDescent="0.35">
      <c r="A6332">
        <v>332</v>
      </c>
      <c r="B6332">
        <v>1</v>
      </c>
    </row>
    <row r="6333" spans="1:2" x14ac:dyDescent="0.35">
      <c r="A6333">
        <v>332</v>
      </c>
      <c r="B6333">
        <v>1</v>
      </c>
    </row>
    <row r="6334" spans="1:2" x14ac:dyDescent="0.35">
      <c r="A6334">
        <v>332</v>
      </c>
      <c r="B6334">
        <v>1</v>
      </c>
    </row>
    <row r="6335" spans="1:2" x14ac:dyDescent="0.35">
      <c r="A6335">
        <v>332</v>
      </c>
      <c r="B6335">
        <v>1</v>
      </c>
    </row>
    <row r="6336" spans="1:2" x14ac:dyDescent="0.35">
      <c r="A6336">
        <v>332</v>
      </c>
      <c r="B6336">
        <v>1</v>
      </c>
    </row>
    <row r="6337" spans="1:2" x14ac:dyDescent="0.35">
      <c r="A6337">
        <v>333</v>
      </c>
      <c r="B6337">
        <v>1</v>
      </c>
    </row>
    <row r="6338" spans="1:2" x14ac:dyDescent="0.35">
      <c r="A6338">
        <v>333</v>
      </c>
      <c r="B6338">
        <v>1</v>
      </c>
    </row>
    <row r="6339" spans="1:2" x14ac:dyDescent="0.35">
      <c r="A6339">
        <v>333</v>
      </c>
      <c r="B6339">
        <v>1</v>
      </c>
    </row>
    <row r="6340" spans="1:2" x14ac:dyDescent="0.35">
      <c r="A6340">
        <v>333</v>
      </c>
      <c r="B6340">
        <v>1</v>
      </c>
    </row>
    <row r="6341" spans="1:2" x14ac:dyDescent="0.35">
      <c r="A6341">
        <v>333</v>
      </c>
      <c r="B6341">
        <v>1</v>
      </c>
    </row>
    <row r="6342" spans="1:2" x14ac:dyDescent="0.35">
      <c r="A6342">
        <v>333</v>
      </c>
      <c r="B6342">
        <v>1</v>
      </c>
    </row>
    <row r="6343" spans="1:2" x14ac:dyDescent="0.35">
      <c r="A6343">
        <v>333</v>
      </c>
      <c r="B6343">
        <v>1</v>
      </c>
    </row>
    <row r="6344" spans="1:2" x14ac:dyDescent="0.35">
      <c r="A6344">
        <v>334</v>
      </c>
      <c r="B6344">
        <v>1</v>
      </c>
    </row>
    <row r="6345" spans="1:2" x14ac:dyDescent="0.35">
      <c r="A6345">
        <v>334</v>
      </c>
      <c r="B6345">
        <v>1</v>
      </c>
    </row>
    <row r="6346" spans="1:2" x14ac:dyDescent="0.35">
      <c r="A6346">
        <v>334</v>
      </c>
      <c r="B6346">
        <v>1</v>
      </c>
    </row>
    <row r="6347" spans="1:2" x14ac:dyDescent="0.35">
      <c r="A6347">
        <v>334</v>
      </c>
      <c r="B6347">
        <v>1</v>
      </c>
    </row>
    <row r="6348" spans="1:2" x14ac:dyDescent="0.35">
      <c r="A6348">
        <v>334</v>
      </c>
      <c r="B6348">
        <v>1</v>
      </c>
    </row>
    <row r="6349" spans="1:2" x14ac:dyDescent="0.35">
      <c r="A6349">
        <v>335</v>
      </c>
      <c r="B6349">
        <v>1</v>
      </c>
    </row>
    <row r="6350" spans="1:2" x14ac:dyDescent="0.35">
      <c r="A6350">
        <v>335</v>
      </c>
      <c r="B6350">
        <v>1</v>
      </c>
    </row>
    <row r="6351" spans="1:2" x14ac:dyDescent="0.35">
      <c r="A6351">
        <v>335</v>
      </c>
      <c r="B6351">
        <v>1</v>
      </c>
    </row>
    <row r="6352" spans="1:2" x14ac:dyDescent="0.35">
      <c r="A6352">
        <v>335</v>
      </c>
      <c r="B6352">
        <v>1</v>
      </c>
    </row>
    <row r="6353" spans="1:2" x14ac:dyDescent="0.35">
      <c r="A6353">
        <v>335</v>
      </c>
      <c r="B6353">
        <v>1</v>
      </c>
    </row>
    <row r="6354" spans="1:2" x14ac:dyDescent="0.35">
      <c r="A6354">
        <v>335</v>
      </c>
      <c r="B6354">
        <v>1</v>
      </c>
    </row>
    <row r="6355" spans="1:2" x14ac:dyDescent="0.35">
      <c r="A6355">
        <v>335</v>
      </c>
      <c r="B6355">
        <v>1</v>
      </c>
    </row>
    <row r="6356" spans="1:2" x14ac:dyDescent="0.35">
      <c r="A6356">
        <v>335</v>
      </c>
      <c r="B6356">
        <v>1</v>
      </c>
    </row>
    <row r="6357" spans="1:2" x14ac:dyDescent="0.35">
      <c r="A6357">
        <v>335</v>
      </c>
      <c r="B6357">
        <v>1</v>
      </c>
    </row>
    <row r="6358" spans="1:2" x14ac:dyDescent="0.35">
      <c r="A6358">
        <v>335</v>
      </c>
      <c r="B6358">
        <v>1</v>
      </c>
    </row>
    <row r="6359" spans="1:2" x14ac:dyDescent="0.35">
      <c r="A6359">
        <v>335</v>
      </c>
      <c r="B6359">
        <v>1</v>
      </c>
    </row>
    <row r="6360" spans="1:2" x14ac:dyDescent="0.35">
      <c r="A6360">
        <v>336</v>
      </c>
      <c r="B6360">
        <v>1</v>
      </c>
    </row>
    <row r="6361" spans="1:2" x14ac:dyDescent="0.35">
      <c r="A6361">
        <v>336</v>
      </c>
      <c r="B6361">
        <v>1</v>
      </c>
    </row>
    <row r="6362" spans="1:2" x14ac:dyDescent="0.35">
      <c r="A6362">
        <v>336</v>
      </c>
      <c r="B6362">
        <v>1</v>
      </c>
    </row>
    <row r="6363" spans="1:2" x14ac:dyDescent="0.35">
      <c r="A6363">
        <v>336</v>
      </c>
      <c r="B6363">
        <v>1</v>
      </c>
    </row>
    <row r="6364" spans="1:2" x14ac:dyDescent="0.35">
      <c r="A6364">
        <v>336</v>
      </c>
      <c r="B6364">
        <v>1</v>
      </c>
    </row>
    <row r="6365" spans="1:2" x14ac:dyDescent="0.35">
      <c r="A6365">
        <v>336</v>
      </c>
      <c r="B6365">
        <v>1</v>
      </c>
    </row>
    <row r="6366" spans="1:2" x14ac:dyDescent="0.35">
      <c r="A6366">
        <v>336</v>
      </c>
      <c r="B6366">
        <v>1</v>
      </c>
    </row>
    <row r="6367" spans="1:2" x14ac:dyDescent="0.35">
      <c r="A6367">
        <v>336</v>
      </c>
      <c r="B6367">
        <v>1</v>
      </c>
    </row>
    <row r="6368" spans="1:2" x14ac:dyDescent="0.35">
      <c r="A6368">
        <v>336</v>
      </c>
      <c r="B6368">
        <v>1</v>
      </c>
    </row>
    <row r="6369" spans="1:2" x14ac:dyDescent="0.35">
      <c r="A6369">
        <v>337</v>
      </c>
      <c r="B6369">
        <v>1</v>
      </c>
    </row>
    <row r="6370" spans="1:2" x14ac:dyDescent="0.35">
      <c r="A6370">
        <v>337</v>
      </c>
      <c r="B6370">
        <v>1</v>
      </c>
    </row>
    <row r="6371" spans="1:2" x14ac:dyDescent="0.35">
      <c r="A6371">
        <v>337</v>
      </c>
      <c r="B6371">
        <v>1</v>
      </c>
    </row>
    <row r="6372" spans="1:2" x14ac:dyDescent="0.35">
      <c r="A6372">
        <v>337</v>
      </c>
      <c r="B6372">
        <v>1</v>
      </c>
    </row>
    <row r="6373" spans="1:2" x14ac:dyDescent="0.35">
      <c r="A6373">
        <v>338</v>
      </c>
      <c r="B6373">
        <v>1</v>
      </c>
    </row>
    <row r="6374" spans="1:2" x14ac:dyDescent="0.35">
      <c r="A6374">
        <v>338</v>
      </c>
      <c r="B6374">
        <v>1</v>
      </c>
    </row>
    <row r="6375" spans="1:2" x14ac:dyDescent="0.35">
      <c r="A6375">
        <v>338</v>
      </c>
      <c r="B6375">
        <v>1</v>
      </c>
    </row>
    <row r="6376" spans="1:2" x14ac:dyDescent="0.35">
      <c r="A6376">
        <v>338</v>
      </c>
      <c r="B6376">
        <v>1</v>
      </c>
    </row>
    <row r="6377" spans="1:2" x14ac:dyDescent="0.35">
      <c r="A6377">
        <v>338</v>
      </c>
      <c r="B6377">
        <v>1</v>
      </c>
    </row>
    <row r="6378" spans="1:2" x14ac:dyDescent="0.35">
      <c r="A6378">
        <v>338</v>
      </c>
      <c r="B6378">
        <v>1</v>
      </c>
    </row>
    <row r="6379" spans="1:2" x14ac:dyDescent="0.35">
      <c r="A6379">
        <v>338</v>
      </c>
      <c r="B6379">
        <v>1</v>
      </c>
    </row>
    <row r="6380" spans="1:2" x14ac:dyDescent="0.35">
      <c r="A6380">
        <v>338</v>
      </c>
      <c r="B6380">
        <v>1</v>
      </c>
    </row>
    <row r="6381" spans="1:2" x14ac:dyDescent="0.35">
      <c r="A6381">
        <v>338</v>
      </c>
      <c r="B6381">
        <v>1</v>
      </c>
    </row>
    <row r="6382" spans="1:2" x14ac:dyDescent="0.35">
      <c r="A6382">
        <v>339</v>
      </c>
      <c r="B6382">
        <v>1</v>
      </c>
    </row>
    <row r="6383" spans="1:2" x14ac:dyDescent="0.35">
      <c r="A6383">
        <v>339</v>
      </c>
      <c r="B6383">
        <v>1</v>
      </c>
    </row>
    <row r="6384" spans="1:2" x14ac:dyDescent="0.35">
      <c r="A6384">
        <v>339</v>
      </c>
      <c r="B6384">
        <v>1</v>
      </c>
    </row>
    <row r="6385" spans="1:2" x14ac:dyDescent="0.35">
      <c r="A6385">
        <v>339</v>
      </c>
      <c r="B6385">
        <v>1</v>
      </c>
    </row>
    <row r="6386" spans="1:2" x14ac:dyDescent="0.35">
      <c r="A6386">
        <v>339</v>
      </c>
      <c r="B6386">
        <v>1</v>
      </c>
    </row>
    <row r="6387" spans="1:2" x14ac:dyDescent="0.35">
      <c r="A6387">
        <v>339</v>
      </c>
      <c r="B6387">
        <v>1</v>
      </c>
    </row>
    <row r="6388" spans="1:2" x14ac:dyDescent="0.35">
      <c r="A6388">
        <v>340</v>
      </c>
      <c r="B6388">
        <v>1</v>
      </c>
    </row>
    <row r="6389" spans="1:2" x14ac:dyDescent="0.35">
      <c r="A6389">
        <v>340</v>
      </c>
      <c r="B6389">
        <v>1</v>
      </c>
    </row>
    <row r="6390" spans="1:2" x14ac:dyDescent="0.35">
      <c r="A6390">
        <v>340</v>
      </c>
      <c r="B6390">
        <v>1</v>
      </c>
    </row>
    <row r="6391" spans="1:2" x14ac:dyDescent="0.35">
      <c r="A6391">
        <v>340</v>
      </c>
      <c r="B6391">
        <v>1</v>
      </c>
    </row>
    <row r="6392" spans="1:2" x14ac:dyDescent="0.35">
      <c r="A6392">
        <v>340</v>
      </c>
      <c r="B6392">
        <v>1</v>
      </c>
    </row>
    <row r="6393" spans="1:2" x14ac:dyDescent="0.35">
      <c r="A6393">
        <v>340</v>
      </c>
      <c r="B6393">
        <v>1</v>
      </c>
    </row>
    <row r="6394" spans="1:2" x14ac:dyDescent="0.35">
      <c r="A6394">
        <v>340</v>
      </c>
      <c r="B6394">
        <v>1</v>
      </c>
    </row>
    <row r="6395" spans="1:2" x14ac:dyDescent="0.35">
      <c r="A6395">
        <v>341</v>
      </c>
      <c r="B6395">
        <v>1</v>
      </c>
    </row>
    <row r="6396" spans="1:2" x14ac:dyDescent="0.35">
      <c r="A6396">
        <v>341</v>
      </c>
      <c r="B6396">
        <v>1</v>
      </c>
    </row>
    <row r="6397" spans="1:2" x14ac:dyDescent="0.35">
      <c r="A6397">
        <v>341</v>
      </c>
      <c r="B6397">
        <v>1</v>
      </c>
    </row>
    <row r="6398" spans="1:2" x14ac:dyDescent="0.35">
      <c r="A6398">
        <v>341</v>
      </c>
      <c r="B6398">
        <v>1</v>
      </c>
    </row>
    <row r="6399" spans="1:2" x14ac:dyDescent="0.35">
      <c r="A6399">
        <v>341</v>
      </c>
      <c r="B6399">
        <v>1</v>
      </c>
    </row>
    <row r="6400" spans="1:2" x14ac:dyDescent="0.35">
      <c r="A6400">
        <v>341</v>
      </c>
      <c r="B6400">
        <v>1</v>
      </c>
    </row>
    <row r="6401" spans="1:2" x14ac:dyDescent="0.35">
      <c r="A6401">
        <v>342</v>
      </c>
      <c r="B6401">
        <v>1</v>
      </c>
    </row>
    <row r="6402" spans="1:2" x14ac:dyDescent="0.35">
      <c r="A6402">
        <v>342</v>
      </c>
      <c r="B6402">
        <v>1</v>
      </c>
    </row>
    <row r="6403" spans="1:2" x14ac:dyDescent="0.35">
      <c r="A6403">
        <v>342</v>
      </c>
      <c r="B6403">
        <v>1</v>
      </c>
    </row>
    <row r="6404" spans="1:2" x14ac:dyDescent="0.35">
      <c r="A6404">
        <v>342</v>
      </c>
      <c r="B6404">
        <v>1</v>
      </c>
    </row>
    <row r="6405" spans="1:2" x14ac:dyDescent="0.35">
      <c r="A6405">
        <v>342</v>
      </c>
      <c r="B6405">
        <v>1</v>
      </c>
    </row>
    <row r="6406" spans="1:2" x14ac:dyDescent="0.35">
      <c r="A6406">
        <v>343</v>
      </c>
      <c r="B6406">
        <v>1</v>
      </c>
    </row>
    <row r="6407" spans="1:2" x14ac:dyDescent="0.35">
      <c r="A6407">
        <v>343</v>
      </c>
      <c r="B6407">
        <v>1</v>
      </c>
    </row>
    <row r="6408" spans="1:2" x14ac:dyDescent="0.35">
      <c r="A6408">
        <v>343</v>
      </c>
      <c r="B6408">
        <v>1</v>
      </c>
    </row>
    <row r="6409" spans="1:2" x14ac:dyDescent="0.35">
      <c r="A6409">
        <v>343</v>
      </c>
      <c r="B6409">
        <v>1</v>
      </c>
    </row>
    <row r="6410" spans="1:2" x14ac:dyDescent="0.35">
      <c r="A6410">
        <v>343</v>
      </c>
      <c r="B6410">
        <v>1</v>
      </c>
    </row>
    <row r="6411" spans="1:2" x14ac:dyDescent="0.35">
      <c r="A6411">
        <v>343</v>
      </c>
      <c r="B6411">
        <v>1</v>
      </c>
    </row>
    <row r="6412" spans="1:2" x14ac:dyDescent="0.35">
      <c r="A6412">
        <v>343</v>
      </c>
      <c r="B6412">
        <v>1</v>
      </c>
    </row>
    <row r="6413" spans="1:2" x14ac:dyDescent="0.35">
      <c r="A6413">
        <v>343</v>
      </c>
      <c r="B6413">
        <v>1</v>
      </c>
    </row>
    <row r="6414" spans="1:2" x14ac:dyDescent="0.35">
      <c r="A6414">
        <v>343</v>
      </c>
      <c r="B6414">
        <v>1</v>
      </c>
    </row>
    <row r="6415" spans="1:2" x14ac:dyDescent="0.35">
      <c r="A6415">
        <v>343</v>
      </c>
      <c r="B6415">
        <v>1</v>
      </c>
    </row>
    <row r="6416" spans="1:2" x14ac:dyDescent="0.35">
      <c r="A6416">
        <v>343</v>
      </c>
      <c r="B6416">
        <v>1</v>
      </c>
    </row>
    <row r="6417" spans="1:2" x14ac:dyDescent="0.35">
      <c r="A6417">
        <v>343</v>
      </c>
      <c r="B6417">
        <v>1</v>
      </c>
    </row>
    <row r="6418" spans="1:2" x14ac:dyDescent="0.35">
      <c r="A6418">
        <v>343</v>
      </c>
      <c r="B6418">
        <v>1</v>
      </c>
    </row>
    <row r="6419" spans="1:2" x14ac:dyDescent="0.35">
      <c r="A6419">
        <v>343</v>
      </c>
      <c r="B6419">
        <v>1</v>
      </c>
    </row>
    <row r="6420" spans="1:2" x14ac:dyDescent="0.35">
      <c r="A6420">
        <v>343</v>
      </c>
      <c r="B6420">
        <v>1</v>
      </c>
    </row>
    <row r="6421" spans="1:2" x14ac:dyDescent="0.35">
      <c r="A6421">
        <v>344</v>
      </c>
      <c r="B6421">
        <v>1</v>
      </c>
    </row>
    <row r="6422" spans="1:2" x14ac:dyDescent="0.35">
      <c r="A6422">
        <v>344</v>
      </c>
      <c r="B6422">
        <v>1</v>
      </c>
    </row>
    <row r="6423" spans="1:2" x14ac:dyDescent="0.35">
      <c r="A6423">
        <v>344</v>
      </c>
      <c r="B6423">
        <v>1</v>
      </c>
    </row>
    <row r="6424" spans="1:2" x14ac:dyDescent="0.35">
      <c r="A6424">
        <v>344</v>
      </c>
      <c r="B6424">
        <v>1</v>
      </c>
    </row>
    <row r="6425" spans="1:2" x14ac:dyDescent="0.35">
      <c r="A6425">
        <v>345</v>
      </c>
      <c r="B6425">
        <v>1</v>
      </c>
    </row>
    <row r="6426" spans="1:2" x14ac:dyDescent="0.35">
      <c r="A6426">
        <v>345</v>
      </c>
      <c r="B6426">
        <v>1</v>
      </c>
    </row>
    <row r="6427" spans="1:2" x14ac:dyDescent="0.35">
      <c r="A6427">
        <v>345</v>
      </c>
      <c r="B6427">
        <v>1</v>
      </c>
    </row>
    <row r="6428" spans="1:2" x14ac:dyDescent="0.35">
      <c r="A6428">
        <v>345</v>
      </c>
      <c r="B6428">
        <v>1</v>
      </c>
    </row>
    <row r="6429" spans="1:2" x14ac:dyDescent="0.35">
      <c r="A6429">
        <v>345</v>
      </c>
      <c r="B6429">
        <v>1</v>
      </c>
    </row>
    <row r="6430" spans="1:2" x14ac:dyDescent="0.35">
      <c r="A6430">
        <v>345</v>
      </c>
      <c r="B6430">
        <v>1</v>
      </c>
    </row>
    <row r="6431" spans="1:2" x14ac:dyDescent="0.35">
      <c r="A6431">
        <v>345</v>
      </c>
      <c r="B6431">
        <v>1</v>
      </c>
    </row>
    <row r="6432" spans="1:2" x14ac:dyDescent="0.35">
      <c r="A6432">
        <v>346</v>
      </c>
      <c r="B6432">
        <v>1</v>
      </c>
    </row>
    <row r="6433" spans="1:2" x14ac:dyDescent="0.35">
      <c r="A6433">
        <v>346</v>
      </c>
      <c r="B6433">
        <v>1</v>
      </c>
    </row>
    <row r="6434" spans="1:2" x14ac:dyDescent="0.35">
      <c r="A6434">
        <v>346</v>
      </c>
      <c r="B6434">
        <v>1</v>
      </c>
    </row>
    <row r="6435" spans="1:2" x14ac:dyDescent="0.35">
      <c r="A6435">
        <v>346</v>
      </c>
      <c r="B6435">
        <v>1</v>
      </c>
    </row>
    <row r="6436" spans="1:2" x14ac:dyDescent="0.35">
      <c r="A6436">
        <v>346</v>
      </c>
      <c r="B6436">
        <v>1</v>
      </c>
    </row>
    <row r="6437" spans="1:2" x14ac:dyDescent="0.35">
      <c r="A6437">
        <v>346</v>
      </c>
      <c r="B6437">
        <v>1</v>
      </c>
    </row>
    <row r="6438" spans="1:2" x14ac:dyDescent="0.35">
      <c r="A6438">
        <v>346</v>
      </c>
      <c r="B6438">
        <v>1</v>
      </c>
    </row>
    <row r="6439" spans="1:2" x14ac:dyDescent="0.35">
      <c r="A6439">
        <v>347</v>
      </c>
      <c r="B6439">
        <v>1</v>
      </c>
    </row>
    <row r="6440" spans="1:2" x14ac:dyDescent="0.35">
      <c r="A6440">
        <v>347</v>
      </c>
      <c r="B6440">
        <v>1</v>
      </c>
    </row>
    <row r="6441" spans="1:2" x14ac:dyDescent="0.35">
      <c r="A6441">
        <v>347</v>
      </c>
      <c r="B6441">
        <v>1</v>
      </c>
    </row>
    <row r="6442" spans="1:2" x14ac:dyDescent="0.35">
      <c r="A6442">
        <v>347</v>
      </c>
      <c r="B6442">
        <v>1</v>
      </c>
    </row>
    <row r="6443" spans="1:2" x14ac:dyDescent="0.35">
      <c r="A6443">
        <v>347</v>
      </c>
      <c r="B6443">
        <v>1</v>
      </c>
    </row>
    <row r="6444" spans="1:2" x14ac:dyDescent="0.35">
      <c r="A6444">
        <v>347</v>
      </c>
      <c r="B6444">
        <v>1</v>
      </c>
    </row>
    <row r="6445" spans="1:2" x14ac:dyDescent="0.35">
      <c r="A6445">
        <v>347</v>
      </c>
      <c r="B6445">
        <v>1</v>
      </c>
    </row>
    <row r="6446" spans="1:2" x14ac:dyDescent="0.35">
      <c r="A6446">
        <v>347</v>
      </c>
      <c r="B6446">
        <v>1</v>
      </c>
    </row>
    <row r="6447" spans="1:2" x14ac:dyDescent="0.35">
      <c r="A6447">
        <v>347</v>
      </c>
      <c r="B6447">
        <v>1</v>
      </c>
    </row>
    <row r="6448" spans="1:2" x14ac:dyDescent="0.35">
      <c r="A6448">
        <v>347</v>
      </c>
      <c r="B6448">
        <v>1</v>
      </c>
    </row>
    <row r="6449" spans="1:2" x14ac:dyDescent="0.35">
      <c r="A6449">
        <v>347</v>
      </c>
      <c r="B6449">
        <v>1</v>
      </c>
    </row>
    <row r="6450" spans="1:2" x14ac:dyDescent="0.35">
      <c r="A6450">
        <v>347</v>
      </c>
      <c r="B6450">
        <v>1</v>
      </c>
    </row>
    <row r="6451" spans="1:2" x14ac:dyDescent="0.35">
      <c r="A6451">
        <v>347</v>
      </c>
      <c r="B6451">
        <v>1</v>
      </c>
    </row>
    <row r="6452" spans="1:2" x14ac:dyDescent="0.35">
      <c r="A6452">
        <v>347</v>
      </c>
      <c r="B6452">
        <v>1</v>
      </c>
    </row>
    <row r="6453" spans="1:2" x14ac:dyDescent="0.35">
      <c r="A6453">
        <v>348</v>
      </c>
      <c r="B6453">
        <v>1</v>
      </c>
    </row>
    <row r="6454" spans="1:2" x14ac:dyDescent="0.35">
      <c r="A6454">
        <v>348</v>
      </c>
      <c r="B6454">
        <v>1</v>
      </c>
    </row>
    <row r="6455" spans="1:2" x14ac:dyDescent="0.35">
      <c r="A6455">
        <v>348</v>
      </c>
      <c r="B6455">
        <v>1</v>
      </c>
    </row>
    <row r="6456" spans="1:2" x14ac:dyDescent="0.35">
      <c r="A6456">
        <v>348</v>
      </c>
      <c r="B6456">
        <v>1</v>
      </c>
    </row>
    <row r="6457" spans="1:2" x14ac:dyDescent="0.35">
      <c r="A6457">
        <v>348</v>
      </c>
      <c r="B6457">
        <v>1</v>
      </c>
    </row>
    <row r="6458" spans="1:2" x14ac:dyDescent="0.35">
      <c r="A6458">
        <v>348</v>
      </c>
      <c r="B6458">
        <v>1</v>
      </c>
    </row>
    <row r="6459" spans="1:2" x14ac:dyDescent="0.35">
      <c r="A6459">
        <v>348</v>
      </c>
      <c r="B6459">
        <v>1</v>
      </c>
    </row>
    <row r="6460" spans="1:2" x14ac:dyDescent="0.35">
      <c r="A6460">
        <v>349</v>
      </c>
      <c r="B6460">
        <v>1</v>
      </c>
    </row>
    <row r="6461" spans="1:2" x14ac:dyDescent="0.35">
      <c r="A6461">
        <v>349</v>
      </c>
      <c r="B6461">
        <v>1</v>
      </c>
    </row>
    <row r="6462" spans="1:2" x14ac:dyDescent="0.35">
      <c r="A6462">
        <v>349</v>
      </c>
      <c r="B6462">
        <v>1</v>
      </c>
    </row>
    <row r="6463" spans="1:2" x14ac:dyDescent="0.35">
      <c r="A6463">
        <v>349</v>
      </c>
      <c r="B6463">
        <v>1</v>
      </c>
    </row>
    <row r="6464" spans="1:2" x14ac:dyDescent="0.35">
      <c r="A6464">
        <v>349</v>
      </c>
      <c r="B6464">
        <v>1</v>
      </c>
    </row>
    <row r="6465" spans="1:2" x14ac:dyDescent="0.35">
      <c r="A6465">
        <v>350</v>
      </c>
      <c r="B6465">
        <v>1</v>
      </c>
    </row>
    <row r="6466" spans="1:2" x14ac:dyDescent="0.35">
      <c r="A6466">
        <v>350</v>
      </c>
      <c r="B6466">
        <v>1</v>
      </c>
    </row>
    <row r="6467" spans="1:2" x14ac:dyDescent="0.35">
      <c r="A6467">
        <v>350</v>
      </c>
      <c r="B6467">
        <v>1</v>
      </c>
    </row>
    <row r="6468" spans="1:2" x14ac:dyDescent="0.35">
      <c r="A6468">
        <v>350</v>
      </c>
      <c r="B6468">
        <v>1</v>
      </c>
    </row>
    <row r="6469" spans="1:2" x14ac:dyDescent="0.35">
      <c r="A6469">
        <v>350</v>
      </c>
      <c r="B6469">
        <v>1</v>
      </c>
    </row>
    <row r="6470" spans="1:2" x14ac:dyDescent="0.35">
      <c r="A6470">
        <v>351</v>
      </c>
      <c r="B6470">
        <v>1</v>
      </c>
    </row>
    <row r="6471" spans="1:2" x14ac:dyDescent="0.35">
      <c r="A6471">
        <v>351</v>
      </c>
      <c r="B6471">
        <v>1</v>
      </c>
    </row>
    <row r="6472" spans="1:2" x14ac:dyDescent="0.35">
      <c r="A6472">
        <v>351</v>
      </c>
      <c r="B6472">
        <v>1</v>
      </c>
    </row>
    <row r="6473" spans="1:2" x14ac:dyDescent="0.35">
      <c r="A6473">
        <v>351</v>
      </c>
      <c r="B6473">
        <v>1</v>
      </c>
    </row>
    <row r="6474" spans="1:2" x14ac:dyDescent="0.35">
      <c r="A6474">
        <v>351</v>
      </c>
      <c r="B6474">
        <v>1</v>
      </c>
    </row>
    <row r="6475" spans="1:2" x14ac:dyDescent="0.35">
      <c r="A6475">
        <v>351</v>
      </c>
      <c r="B6475">
        <v>1</v>
      </c>
    </row>
    <row r="6476" spans="1:2" x14ac:dyDescent="0.35">
      <c r="A6476">
        <v>351</v>
      </c>
      <c r="B6476">
        <v>1</v>
      </c>
    </row>
    <row r="6477" spans="1:2" x14ac:dyDescent="0.35">
      <c r="A6477">
        <v>351</v>
      </c>
      <c r="B6477">
        <v>1</v>
      </c>
    </row>
    <row r="6478" spans="1:2" x14ac:dyDescent="0.35">
      <c r="A6478">
        <v>352</v>
      </c>
      <c r="B6478">
        <v>1</v>
      </c>
    </row>
    <row r="6479" spans="1:2" x14ac:dyDescent="0.35">
      <c r="A6479">
        <v>352</v>
      </c>
      <c r="B6479">
        <v>1</v>
      </c>
    </row>
    <row r="6480" spans="1:2" x14ac:dyDescent="0.35">
      <c r="A6480">
        <v>352</v>
      </c>
      <c r="B6480">
        <v>1</v>
      </c>
    </row>
    <row r="6481" spans="1:2" x14ac:dyDescent="0.35">
      <c r="A6481">
        <v>352</v>
      </c>
      <c r="B6481">
        <v>1</v>
      </c>
    </row>
    <row r="6482" spans="1:2" x14ac:dyDescent="0.35">
      <c r="A6482">
        <v>352</v>
      </c>
      <c r="B6482">
        <v>1</v>
      </c>
    </row>
    <row r="6483" spans="1:2" x14ac:dyDescent="0.35">
      <c r="A6483">
        <v>352</v>
      </c>
      <c r="B6483">
        <v>1</v>
      </c>
    </row>
    <row r="6484" spans="1:2" x14ac:dyDescent="0.35">
      <c r="A6484">
        <v>352</v>
      </c>
      <c r="B6484">
        <v>1</v>
      </c>
    </row>
    <row r="6485" spans="1:2" x14ac:dyDescent="0.35">
      <c r="A6485">
        <v>352</v>
      </c>
      <c r="B6485">
        <v>1</v>
      </c>
    </row>
    <row r="6486" spans="1:2" x14ac:dyDescent="0.35">
      <c r="A6486">
        <v>352</v>
      </c>
      <c r="B6486">
        <v>1</v>
      </c>
    </row>
    <row r="6487" spans="1:2" x14ac:dyDescent="0.35">
      <c r="A6487">
        <v>352</v>
      </c>
      <c r="B6487">
        <v>1</v>
      </c>
    </row>
    <row r="6488" spans="1:2" x14ac:dyDescent="0.35">
      <c r="A6488">
        <v>353</v>
      </c>
      <c r="B6488">
        <v>1</v>
      </c>
    </row>
    <row r="6489" spans="1:2" x14ac:dyDescent="0.35">
      <c r="A6489">
        <v>353</v>
      </c>
      <c r="B6489">
        <v>1</v>
      </c>
    </row>
    <row r="6490" spans="1:2" x14ac:dyDescent="0.35">
      <c r="A6490">
        <v>353</v>
      </c>
      <c r="B6490">
        <v>1</v>
      </c>
    </row>
    <row r="6491" spans="1:2" x14ac:dyDescent="0.35">
      <c r="A6491">
        <v>353</v>
      </c>
      <c r="B6491">
        <v>1</v>
      </c>
    </row>
    <row r="6492" spans="1:2" x14ac:dyDescent="0.35">
      <c r="A6492">
        <v>353</v>
      </c>
      <c r="B6492">
        <v>1</v>
      </c>
    </row>
    <row r="6493" spans="1:2" x14ac:dyDescent="0.35">
      <c r="A6493">
        <v>353</v>
      </c>
      <c r="B6493">
        <v>1</v>
      </c>
    </row>
    <row r="6494" spans="1:2" x14ac:dyDescent="0.35">
      <c r="A6494">
        <v>353</v>
      </c>
      <c r="B6494">
        <v>1</v>
      </c>
    </row>
    <row r="6495" spans="1:2" x14ac:dyDescent="0.35">
      <c r="A6495">
        <v>354</v>
      </c>
      <c r="B6495">
        <v>1</v>
      </c>
    </row>
    <row r="6496" spans="1:2" x14ac:dyDescent="0.35">
      <c r="A6496">
        <v>354</v>
      </c>
      <c r="B6496">
        <v>1</v>
      </c>
    </row>
    <row r="6497" spans="1:2" x14ac:dyDescent="0.35">
      <c r="A6497">
        <v>354</v>
      </c>
      <c r="B6497">
        <v>1</v>
      </c>
    </row>
    <row r="6498" spans="1:2" x14ac:dyDescent="0.35">
      <c r="A6498">
        <v>354</v>
      </c>
      <c r="B6498">
        <v>1</v>
      </c>
    </row>
    <row r="6499" spans="1:2" x14ac:dyDescent="0.35">
      <c r="A6499">
        <v>354</v>
      </c>
      <c r="B6499">
        <v>1</v>
      </c>
    </row>
    <row r="6500" spans="1:2" x14ac:dyDescent="0.35">
      <c r="A6500">
        <v>354</v>
      </c>
      <c r="B6500">
        <v>1</v>
      </c>
    </row>
    <row r="6501" spans="1:2" x14ac:dyDescent="0.35">
      <c r="A6501">
        <v>354</v>
      </c>
      <c r="B6501">
        <v>1</v>
      </c>
    </row>
    <row r="6502" spans="1:2" x14ac:dyDescent="0.35">
      <c r="A6502">
        <v>354</v>
      </c>
      <c r="B6502">
        <v>1</v>
      </c>
    </row>
    <row r="6503" spans="1:2" x14ac:dyDescent="0.35">
      <c r="A6503">
        <v>354</v>
      </c>
      <c r="B6503">
        <v>1</v>
      </c>
    </row>
    <row r="6504" spans="1:2" x14ac:dyDescent="0.35">
      <c r="A6504">
        <v>354</v>
      </c>
      <c r="B6504">
        <v>1</v>
      </c>
    </row>
    <row r="6505" spans="1:2" x14ac:dyDescent="0.35">
      <c r="A6505">
        <v>354</v>
      </c>
      <c r="B6505">
        <v>1</v>
      </c>
    </row>
    <row r="6506" spans="1:2" x14ac:dyDescent="0.35">
      <c r="A6506">
        <v>355</v>
      </c>
      <c r="B6506">
        <v>1</v>
      </c>
    </row>
    <row r="6507" spans="1:2" x14ac:dyDescent="0.35">
      <c r="A6507">
        <v>355</v>
      </c>
      <c r="B6507">
        <v>1</v>
      </c>
    </row>
    <row r="6508" spans="1:2" x14ac:dyDescent="0.35">
      <c r="A6508">
        <v>355</v>
      </c>
      <c r="B6508">
        <v>1</v>
      </c>
    </row>
    <row r="6509" spans="1:2" x14ac:dyDescent="0.35">
      <c r="A6509">
        <v>355</v>
      </c>
      <c r="B6509">
        <v>1</v>
      </c>
    </row>
    <row r="6510" spans="1:2" x14ac:dyDescent="0.35">
      <c r="A6510">
        <v>356</v>
      </c>
      <c r="B6510">
        <v>1</v>
      </c>
    </row>
    <row r="6511" spans="1:2" x14ac:dyDescent="0.35">
      <c r="A6511">
        <v>356</v>
      </c>
      <c r="B6511">
        <v>1</v>
      </c>
    </row>
    <row r="6512" spans="1:2" x14ac:dyDescent="0.35">
      <c r="A6512">
        <v>356</v>
      </c>
      <c r="B6512">
        <v>1</v>
      </c>
    </row>
    <row r="6513" spans="1:2" x14ac:dyDescent="0.35">
      <c r="A6513">
        <v>356</v>
      </c>
      <c r="B6513">
        <v>1</v>
      </c>
    </row>
    <row r="6514" spans="1:2" x14ac:dyDescent="0.35">
      <c r="A6514">
        <v>356</v>
      </c>
      <c r="B6514">
        <v>1</v>
      </c>
    </row>
    <row r="6515" spans="1:2" x14ac:dyDescent="0.35">
      <c r="A6515">
        <v>357</v>
      </c>
      <c r="B6515">
        <v>1</v>
      </c>
    </row>
    <row r="6516" spans="1:2" x14ac:dyDescent="0.35">
      <c r="A6516">
        <v>357</v>
      </c>
      <c r="B6516">
        <v>1</v>
      </c>
    </row>
    <row r="6517" spans="1:2" x14ac:dyDescent="0.35">
      <c r="A6517">
        <v>357</v>
      </c>
      <c r="B6517">
        <v>1</v>
      </c>
    </row>
    <row r="6518" spans="1:2" x14ac:dyDescent="0.35">
      <c r="A6518">
        <v>357</v>
      </c>
      <c r="B6518">
        <v>1</v>
      </c>
    </row>
    <row r="6519" spans="1:2" x14ac:dyDescent="0.35">
      <c r="A6519">
        <v>357</v>
      </c>
      <c r="B6519">
        <v>1</v>
      </c>
    </row>
    <row r="6520" spans="1:2" x14ac:dyDescent="0.35">
      <c r="A6520">
        <v>357</v>
      </c>
      <c r="B6520">
        <v>1</v>
      </c>
    </row>
    <row r="6521" spans="1:2" x14ac:dyDescent="0.35">
      <c r="A6521">
        <v>357</v>
      </c>
      <c r="B6521">
        <v>1</v>
      </c>
    </row>
    <row r="6522" spans="1:2" x14ac:dyDescent="0.35">
      <c r="A6522">
        <v>357</v>
      </c>
      <c r="B6522">
        <v>1</v>
      </c>
    </row>
    <row r="6523" spans="1:2" x14ac:dyDescent="0.35">
      <c r="A6523">
        <v>357</v>
      </c>
      <c r="B6523">
        <v>1</v>
      </c>
    </row>
    <row r="6524" spans="1:2" x14ac:dyDescent="0.35">
      <c r="A6524">
        <v>358</v>
      </c>
      <c r="B6524">
        <v>1</v>
      </c>
    </row>
    <row r="6525" spans="1:2" x14ac:dyDescent="0.35">
      <c r="A6525">
        <v>358</v>
      </c>
      <c r="B6525">
        <v>1</v>
      </c>
    </row>
    <row r="6526" spans="1:2" x14ac:dyDescent="0.35">
      <c r="A6526">
        <v>358</v>
      </c>
      <c r="B6526">
        <v>1</v>
      </c>
    </row>
    <row r="6527" spans="1:2" x14ac:dyDescent="0.35">
      <c r="A6527">
        <v>358</v>
      </c>
      <c r="B6527">
        <v>1</v>
      </c>
    </row>
    <row r="6528" spans="1:2" x14ac:dyDescent="0.35">
      <c r="A6528">
        <v>358</v>
      </c>
      <c r="B6528">
        <v>1</v>
      </c>
    </row>
    <row r="6529" spans="1:2" x14ac:dyDescent="0.35">
      <c r="A6529">
        <v>358</v>
      </c>
      <c r="B6529">
        <v>1</v>
      </c>
    </row>
    <row r="6530" spans="1:2" x14ac:dyDescent="0.35">
      <c r="A6530">
        <v>358</v>
      </c>
      <c r="B6530">
        <v>1</v>
      </c>
    </row>
    <row r="6531" spans="1:2" x14ac:dyDescent="0.35">
      <c r="A6531">
        <v>359</v>
      </c>
      <c r="B6531">
        <v>1</v>
      </c>
    </row>
    <row r="6532" spans="1:2" x14ac:dyDescent="0.35">
      <c r="A6532">
        <v>359</v>
      </c>
      <c r="B6532">
        <v>1</v>
      </c>
    </row>
    <row r="6533" spans="1:2" x14ac:dyDescent="0.35">
      <c r="A6533">
        <v>359</v>
      </c>
      <c r="B6533">
        <v>1</v>
      </c>
    </row>
    <row r="6534" spans="1:2" x14ac:dyDescent="0.35">
      <c r="A6534">
        <v>359</v>
      </c>
      <c r="B6534">
        <v>1</v>
      </c>
    </row>
    <row r="6535" spans="1:2" x14ac:dyDescent="0.35">
      <c r="A6535">
        <v>359</v>
      </c>
      <c r="B6535">
        <v>1</v>
      </c>
    </row>
    <row r="6536" spans="1:2" x14ac:dyDescent="0.35">
      <c r="A6536">
        <v>359</v>
      </c>
      <c r="B6536">
        <v>1</v>
      </c>
    </row>
    <row r="6537" spans="1:2" x14ac:dyDescent="0.35">
      <c r="A6537">
        <v>359</v>
      </c>
      <c r="B6537">
        <v>1</v>
      </c>
    </row>
    <row r="6538" spans="1:2" x14ac:dyDescent="0.35">
      <c r="A6538">
        <v>359</v>
      </c>
      <c r="B6538">
        <v>1</v>
      </c>
    </row>
    <row r="6539" spans="1:2" x14ac:dyDescent="0.35">
      <c r="A6539">
        <v>360</v>
      </c>
      <c r="B6539">
        <v>1</v>
      </c>
    </row>
    <row r="6540" spans="1:2" x14ac:dyDescent="0.35">
      <c r="A6540">
        <v>360</v>
      </c>
      <c r="B6540">
        <v>1</v>
      </c>
    </row>
    <row r="6541" spans="1:2" x14ac:dyDescent="0.35">
      <c r="A6541">
        <v>360</v>
      </c>
      <c r="B6541">
        <v>1</v>
      </c>
    </row>
    <row r="6542" spans="1:2" x14ac:dyDescent="0.35">
      <c r="A6542">
        <v>360</v>
      </c>
      <c r="B6542">
        <v>1</v>
      </c>
    </row>
    <row r="6543" spans="1:2" x14ac:dyDescent="0.35">
      <c r="A6543">
        <v>360</v>
      </c>
      <c r="B6543">
        <v>1</v>
      </c>
    </row>
    <row r="6544" spans="1:2" x14ac:dyDescent="0.35">
      <c r="A6544">
        <v>361</v>
      </c>
      <c r="B6544">
        <v>1</v>
      </c>
    </row>
    <row r="6545" spans="1:2" x14ac:dyDescent="0.35">
      <c r="A6545">
        <v>361</v>
      </c>
      <c r="B6545">
        <v>1</v>
      </c>
    </row>
    <row r="6546" spans="1:2" x14ac:dyDescent="0.35">
      <c r="A6546">
        <v>361</v>
      </c>
      <c r="B6546">
        <v>1</v>
      </c>
    </row>
    <row r="6547" spans="1:2" x14ac:dyDescent="0.35">
      <c r="A6547">
        <v>361</v>
      </c>
      <c r="B6547">
        <v>1</v>
      </c>
    </row>
    <row r="6548" spans="1:2" x14ac:dyDescent="0.35">
      <c r="A6548">
        <v>361</v>
      </c>
      <c r="B6548">
        <v>1</v>
      </c>
    </row>
    <row r="6549" spans="1:2" x14ac:dyDescent="0.35">
      <c r="A6549">
        <v>362</v>
      </c>
      <c r="B6549">
        <v>1</v>
      </c>
    </row>
    <row r="6550" spans="1:2" x14ac:dyDescent="0.35">
      <c r="A6550">
        <v>362</v>
      </c>
      <c r="B6550">
        <v>1</v>
      </c>
    </row>
    <row r="6551" spans="1:2" x14ac:dyDescent="0.35">
      <c r="A6551">
        <v>362</v>
      </c>
      <c r="B6551">
        <v>1</v>
      </c>
    </row>
    <row r="6552" spans="1:2" x14ac:dyDescent="0.35">
      <c r="A6552">
        <v>362</v>
      </c>
      <c r="B6552">
        <v>1</v>
      </c>
    </row>
    <row r="6553" spans="1:2" x14ac:dyDescent="0.35">
      <c r="A6553">
        <v>362</v>
      </c>
      <c r="B6553">
        <v>1</v>
      </c>
    </row>
    <row r="6554" spans="1:2" x14ac:dyDescent="0.35">
      <c r="A6554">
        <v>362</v>
      </c>
      <c r="B6554">
        <v>1</v>
      </c>
    </row>
    <row r="6555" spans="1:2" x14ac:dyDescent="0.35">
      <c r="A6555">
        <v>363</v>
      </c>
      <c r="B6555">
        <v>1</v>
      </c>
    </row>
    <row r="6556" spans="1:2" x14ac:dyDescent="0.35">
      <c r="A6556">
        <v>363</v>
      </c>
      <c r="B6556">
        <v>1</v>
      </c>
    </row>
    <row r="6557" spans="1:2" x14ac:dyDescent="0.35">
      <c r="A6557">
        <v>363</v>
      </c>
      <c r="B6557">
        <v>1</v>
      </c>
    </row>
    <row r="6558" spans="1:2" x14ac:dyDescent="0.35">
      <c r="A6558">
        <v>363</v>
      </c>
      <c r="B6558">
        <v>1</v>
      </c>
    </row>
    <row r="6559" spans="1:2" x14ac:dyDescent="0.35">
      <c r="A6559">
        <v>363</v>
      </c>
      <c r="B6559">
        <v>1</v>
      </c>
    </row>
    <row r="6560" spans="1:2" x14ac:dyDescent="0.35">
      <c r="A6560">
        <v>363</v>
      </c>
      <c r="B6560">
        <v>1</v>
      </c>
    </row>
    <row r="6561" spans="1:2" x14ac:dyDescent="0.35">
      <c r="A6561">
        <v>363</v>
      </c>
      <c r="B6561">
        <v>1</v>
      </c>
    </row>
    <row r="6562" spans="1:2" x14ac:dyDescent="0.35">
      <c r="A6562">
        <v>363</v>
      </c>
      <c r="B6562">
        <v>1</v>
      </c>
    </row>
    <row r="6563" spans="1:2" x14ac:dyDescent="0.35">
      <c r="A6563">
        <v>363</v>
      </c>
      <c r="B6563">
        <v>1</v>
      </c>
    </row>
    <row r="6564" spans="1:2" x14ac:dyDescent="0.35">
      <c r="A6564">
        <v>363</v>
      </c>
      <c r="B6564">
        <v>1</v>
      </c>
    </row>
    <row r="6565" spans="1:2" x14ac:dyDescent="0.35">
      <c r="A6565">
        <v>363</v>
      </c>
      <c r="B6565">
        <v>1</v>
      </c>
    </row>
    <row r="6566" spans="1:2" x14ac:dyDescent="0.35">
      <c r="A6566">
        <v>364</v>
      </c>
      <c r="B6566">
        <v>1</v>
      </c>
    </row>
    <row r="6567" spans="1:2" x14ac:dyDescent="0.35">
      <c r="A6567">
        <v>364</v>
      </c>
      <c r="B6567">
        <v>1</v>
      </c>
    </row>
    <row r="6568" spans="1:2" x14ac:dyDescent="0.35">
      <c r="A6568">
        <v>364</v>
      </c>
      <c r="B6568">
        <v>1</v>
      </c>
    </row>
    <row r="6569" spans="1:2" x14ac:dyDescent="0.35">
      <c r="A6569">
        <v>364</v>
      </c>
      <c r="B6569">
        <v>1</v>
      </c>
    </row>
    <row r="6570" spans="1:2" x14ac:dyDescent="0.35">
      <c r="A6570">
        <v>364</v>
      </c>
      <c r="B6570">
        <v>1</v>
      </c>
    </row>
    <row r="6571" spans="1:2" x14ac:dyDescent="0.35">
      <c r="A6571">
        <v>365</v>
      </c>
      <c r="B6571">
        <v>1</v>
      </c>
    </row>
    <row r="6572" spans="1:2" x14ac:dyDescent="0.35">
      <c r="A6572">
        <v>365</v>
      </c>
      <c r="B6572">
        <v>1</v>
      </c>
    </row>
    <row r="6573" spans="1:2" x14ac:dyDescent="0.35">
      <c r="A6573">
        <v>365</v>
      </c>
      <c r="B6573">
        <v>1</v>
      </c>
    </row>
    <row r="6574" spans="1:2" x14ac:dyDescent="0.35">
      <c r="A6574">
        <v>365</v>
      </c>
      <c r="B6574">
        <v>1</v>
      </c>
    </row>
    <row r="6575" spans="1:2" x14ac:dyDescent="0.35">
      <c r="A6575">
        <v>366</v>
      </c>
      <c r="B6575">
        <v>1</v>
      </c>
    </row>
    <row r="6576" spans="1:2" x14ac:dyDescent="0.35">
      <c r="A6576">
        <v>366</v>
      </c>
      <c r="B6576">
        <v>1</v>
      </c>
    </row>
    <row r="6577" spans="1:2" x14ac:dyDescent="0.35">
      <c r="A6577">
        <v>366</v>
      </c>
      <c r="B6577">
        <v>1</v>
      </c>
    </row>
    <row r="6578" spans="1:2" x14ac:dyDescent="0.35">
      <c r="A6578">
        <v>366</v>
      </c>
      <c r="B6578">
        <v>1</v>
      </c>
    </row>
    <row r="6579" spans="1:2" x14ac:dyDescent="0.35">
      <c r="A6579">
        <v>366</v>
      </c>
      <c r="B6579">
        <v>1</v>
      </c>
    </row>
    <row r="6580" spans="1:2" x14ac:dyDescent="0.35">
      <c r="A6580">
        <v>366</v>
      </c>
      <c r="B6580">
        <v>1</v>
      </c>
    </row>
    <row r="6581" spans="1:2" x14ac:dyDescent="0.35">
      <c r="A6581">
        <v>367</v>
      </c>
      <c r="B6581">
        <v>1</v>
      </c>
    </row>
    <row r="6582" spans="1:2" x14ac:dyDescent="0.35">
      <c r="A6582">
        <v>367</v>
      </c>
      <c r="B6582">
        <v>1</v>
      </c>
    </row>
    <row r="6583" spans="1:2" x14ac:dyDescent="0.35">
      <c r="A6583">
        <v>367</v>
      </c>
      <c r="B6583">
        <v>1</v>
      </c>
    </row>
    <row r="6584" spans="1:2" x14ac:dyDescent="0.35">
      <c r="A6584">
        <v>367</v>
      </c>
      <c r="B6584">
        <v>1</v>
      </c>
    </row>
    <row r="6585" spans="1:2" x14ac:dyDescent="0.35">
      <c r="A6585">
        <v>367</v>
      </c>
      <c r="B6585">
        <v>1</v>
      </c>
    </row>
    <row r="6586" spans="1:2" x14ac:dyDescent="0.35">
      <c r="A6586">
        <v>367</v>
      </c>
      <c r="B6586">
        <v>1</v>
      </c>
    </row>
    <row r="6587" spans="1:2" x14ac:dyDescent="0.35">
      <c r="A6587">
        <v>367</v>
      </c>
      <c r="B6587">
        <v>1</v>
      </c>
    </row>
    <row r="6588" spans="1:2" x14ac:dyDescent="0.35">
      <c r="A6588">
        <v>367</v>
      </c>
      <c r="B6588">
        <v>1</v>
      </c>
    </row>
    <row r="6589" spans="1:2" x14ac:dyDescent="0.35">
      <c r="A6589">
        <v>368</v>
      </c>
      <c r="B6589">
        <v>1</v>
      </c>
    </row>
    <row r="6590" spans="1:2" x14ac:dyDescent="0.35">
      <c r="A6590">
        <v>368</v>
      </c>
      <c r="B6590">
        <v>1</v>
      </c>
    </row>
    <row r="6591" spans="1:2" x14ac:dyDescent="0.35">
      <c r="A6591">
        <v>368</v>
      </c>
      <c r="B6591">
        <v>1</v>
      </c>
    </row>
    <row r="6592" spans="1:2" x14ac:dyDescent="0.35">
      <c r="A6592">
        <v>368</v>
      </c>
      <c r="B6592">
        <v>1</v>
      </c>
    </row>
    <row r="6593" spans="1:2" x14ac:dyDescent="0.35">
      <c r="A6593">
        <v>368</v>
      </c>
      <c r="B6593">
        <v>1</v>
      </c>
    </row>
    <row r="6594" spans="1:2" x14ac:dyDescent="0.35">
      <c r="A6594">
        <v>368</v>
      </c>
      <c r="B6594">
        <v>1</v>
      </c>
    </row>
    <row r="6595" spans="1:2" x14ac:dyDescent="0.35">
      <c r="A6595">
        <v>368</v>
      </c>
      <c r="B6595">
        <v>1</v>
      </c>
    </row>
    <row r="6596" spans="1:2" x14ac:dyDescent="0.35">
      <c r="A6596">
        <v>368</v>
      </c>
      <c r="B6596">
        <v>1</v>
      </c>
    </row>
    <row r="6597" spans="1:2" x14ac:dyDescent="0.35">
      <c r="A6597">
        <v>368</v>
      </c>
      <c r="B6597">
        <v>1</v>
      </c>
    </row>
    <row r="6598" spans="1:2" x14ac:dyDescent="0.35">
      <c r="A6598">
        <v>368</v>
      </c>
      <c r="B6598">
        <v>1</v>
      </c>
    </row>
    <row r="6599" spans="1:2" x14ac:dyDescent="0.35">
      <c r="A6599">
        <v>369</v>
      </c>
      <c r="B6599">
        <v>1</v>
      </c>
    </row>
    <row r="6600" spans="1:2" x14ac:dyDescent="0.35">
      <c r="A6600">
        <v>369</v>
      </c>
      <c r="B6600">
        <v>1</v>
      </c>
    </row>
    <row r="6601" spans="1:2" x14ac:dyDescent="0.35">
      <c r="A6601">
        <v>369</v>
      </c>
      <c r="B6601">
        <v>1</v>
      </c>
    </row>
    <row r="6602" spans="1:2" x14ac:dyDescent="0.35">
      <c r="A6602">
        <v>369</v>
      </c>
      <c r="B6602">
        <v>1</v>
      </c>
    </row>
    <row r="6603" spans="1:2" x14ac:dyDescent="0.35">
      <c r="A6603">
        <v>369</v>
      </c>
      <c r="B6603">
        <v>1</v>
      </c>
    </row>
    <row r="6604" spans="1:2" x14ac:dyDescent="0.35">
      <c r="A6604">
        <v>369</v>
      </c>
      <c r="B6604">
        <v>1</v>
      </c>
    </row>
    <row r="6605" spans="1:2" x14ac:dyDescent="0.35">
      <c r="A6605">
        <v>370</v>
      </c>
      <c r="B6605">
        <v>1</v>
      </c>
    </row>
    <row r="6606" spans="1:2" x14ac:dyDescent="0.35">
      <c r="A6606">
        <v>370</v>
      </c>
      <c r="B6606">
        <v>1</v>
      </c>
    </row>
    <row r="6607" spans="1:2" x14ac:dyDescent="0.35">
      <c r="A6607">
        <v>370</v>
      </c>
      <c r="B6607">
        <v>1</v>
      </c>
    </row>
    <row r="6608" spans="1:2" x14ac:dyDescent="0.35">
      <c r="A6608">
        <v>370</v>
      </c>
      <c r="B6608">
        <v>1</v>
      </c>
    </row>
    <row r="6609" spans="1:2" x14ac:dyDescent="0.35">
      <c r="A6609">
        <v>370</v>
      </c>
      <c r="B6609">
        <v>1</v>
      </c>
    </row>
    <row r="6610" spans="1:2" x14ac:dyDescent="0.35">
      <c r="A6610">
        <v>370</v>
      </c>
      <c r="B6610">
        <v>1</v>
      </c>
    </row>
    <row r="6611" spans="1:2" x14ac:dyDescent="0.35">
      <c r="A6611">
        <v>370</v>
      </c>
      <c r="B6611">
        <v>1</v>
      </c>
    </row>
    <row r="6612" spans="1:2" x14ac:dyDescent="0.35">
      <c r="A6612">
        <v>371</v>
      </c>
      <c r="B6612">
        <v>1</v>
      </c>
    </row>
    <row r="6613" spans="1:2" x14ac:dyDescent="0.35">
      <c r="A6613">
        <v>371</v>
      </c>
      <c r="B6613">
        <v>1</v>
      </c>
    </row>
    <row r="6614" spans="1:2" x14ac:dyDescent="0.35">
      <c r="A6614">
        <v>371</v>
      </c>
      <c r="B6614">
        <v>1</v>
      </c>
    </row>
    <row r="6615" spans="1:2" x14ac:dyDescent="0.35">
      <c r="A6615">
        <v>372</v>
      </c>
      <c r="B6615">
        <v>1</v>
      </c>
    </row>
    <row r="6616" spans="1:2" x14ac:dyDescent="0.35">
      <c r="A6616">
        <v>372</v>
      </c>
      <c r="B6616">
        <v>1</v>
      </c>
    </row>
    <row r="6617" spans="1:2" x14ac:dyDescent="0.35">
      <c r="A6617">
        <v>372</v>
      </c>
      <c r="B6617">
        <v>1</v>
      </c>
    </row>
    <row r="6618" spans="1:2" x14ac:dyDescent="0.35">
      <c r="A6618">
        <v>372</v>
      </c>
      <c r="B6618">
        <v>1</v>
      </c>
    </row>
    <row r="6619" spans="1:2" x14ac:dyDescent="0.35">
      <c r="A6619">
        <v>372</v>
      </c>
      <c r="B6619">
        <v>1</v>
      </c>
    </row>
    <row r="6620" spans="1:2" x14ac:dyDescent="0.35">
      <c r="A6620">
        <v>373</v>
      </c>
      <c r="B6620">
        <v>1</v>
      </c>
    </row>
    <row r="6621" spans="1:2" x14ac:dyDescent="0.35">
      <c r="A6621">
        <v>373</v>
      </c>
      <c r="B6621">
        <v>1</v>
      </c>
    </row>
    <row r="6622" spans="1:2" x14ac:dyDescent="0.35">
      <c r="A6622">
        <v>373</v>
      </c>
      <c r="B6622">
        <v>1</v>
      </c>
    </row>
    <row r="6623" spans="1:2" x14ac:dyDescent="0.35">
      <c r="A6623">
        <v>373</v>
      </c>
      <c r="B6623">
        <v>1</v>
      </c>
    </row>
    <row r="6624" spans="1:2" x14ac:dyDescent="0.35">
      <c r="A6624">
        <v>373</v>
      </c>
      <c r="B6624">
        <v>1</v>
      </c>
    </row>
    <row r="6625" spans="1:2" x14ac:dyDescent="0.35">
      <c r="A6625">
        <v>373</v>
      </c>
      <c r="B6625">
        <v>1</v>
      </c>
    </row>
    <row r="6626" spans="1:2" x14ac:dyDescent="0.35">
      <c r="A6626">
        <v>373</v>
      </c>
      <c r="B6626">
        <v>1</v>
      </c>
    </row>
    <row r="6627" spans="1:2" x14ac:dyDescent="0.35">
      <c r="A6627">
        <v>373</v>
      </c>
      <c r="B6627">
        <v>1</v>
      </c>
    </row>
    <row r="6628" spans="1:2" x14ac:dyDescent="0.35">
      <c r="A6628">
        <v>374</v>
      </c>
      <c r="B6628">
        <v>1</v>
      </c>
    </row>
    <row r="6629" spans="1:2" x14ac:dyDescent="0.35">
      <c r="A6629">
        <v>374</v>
      </c>
      <c r="B6629">
        <v>1</v>
      </c>
    </row>
    <row r="6630" spans="1:2" x14ac:dyDescent="0.35">
      <c r="A6630">
        <v>375</v>
      </c>
      <c r="B6630">
        <v>1</v>
      </c>
    </row>
    <row r="6631" spans="1:2" x14ac:dyDescent="0.35">
      <c r="A6631">
        <v>375</v>
      </c>
      <c r="B6631">
        <v>1</v>
      </c>
    </row>
    <row r="6632" spans="1:2" x14ac:dyDescent="0.35">
      <c r="A6632">
        <v>375</v>
      </c>
      <c r="B6632">
        <v>1</v>
      </c>
    </row>
    <row r="6633" spans="1:2" x14ac:dyDescent="0.35">
      <c r="A6633">
        <v>375</v>
      </c>
      <c r="B6633">
        <v>1</v>
      </c>
    </row>
    <row r="6634" spans="1:2" x14ac:dyDescent="0.35">
      <c r="A6634">
        <v>375</v>
      </c>
      <c r="B6634">
        <v>1</v>
      </c>
    </row>
    <row r="6635" spans="1:2" x14ac:dyDescent="0.35">
      <c r="A6635">
        <v>375</v>
      </c>
      <c r="B6635">
        <v>1</v>
      </c>
    </row>
    <row r="6636" spans="1:2" x14ac:dyDescent="0.35">
      <c r="A6636">
        <v>375</v>
      </c>
      <c r="B6636">
        <v>1</v>
      </c>
    </row>
    <row r="6637" spans="1:2" x14ac:dyDescent="0.35">
      <c r="A6637">
        <v>376</v>
      </c>
      <c r="B6637">
        <v>1</v>
      </c>
    </row>
    <row r="6638" spans="1:2" x14ac:dyDescent="0.35">
      <c r="A6638">
        <v>376</v>
      </c>
      <c r="B6638">
        <v>1</v>
      </c>
    </row>
    <row r="6639" spans="1:2" x14ac:dyDescent="0.35">
      <c r="A6639">
        <v>376</v>
      </c>
      <c r="B6639">
        <v>1</v>
      </c>
    </row>
    <row r="6640" spans="1:2" x14ac:dyDescent="0.35">
      <c r="A6640">
        <v>376</v>
      </c>
      <c r="B6640">
        <v>1</v>
      </c>
    </row>
    <row r="6641" spans="1:2" x14ac:dyDescent="0.35">
      <c r="A6641">
        <v>376</v>
      </c>
      <c r="B6641">
        <v>1</v>
      </c>
    </row>
    <row r="6642" spans="1:2" x14ac:dyDescent="0.35">
      <c r="A6642">
        <v>376</v>
      </c>
      <c r="B6642">
        <v>1</v>
      </c>
    </row>
    <row r="6643" spans="1:2" x14ac:dyDescent="0.35">
      <c r="A6643">
        <v>377</v>
      </c>
      <c r="B6643">
        <v>1</v>
      </c>
    </row>
    <row r="6644" spans="1:2" x14ac:dyDescent="0.35">
      <c r="A6644">
        <v>377</v>
      </c>
      <c r="B6644">
        <v>1</v>
      </c>
    </row>
    <row r="6645" spans="1:2" x14ac:dyDescent="0.35">
      <c r="A6645">
        <v>377</v>
      </c>
      <c r="B6645">
        <v>1</v>
      </c>
    </row>
    <row r="6646" spans="1:2" x14ac:dyDescent="0.35">
      <c r="A6646">
        <v>377</v>
      </c>
      <c r="B6646">
        <v>1</v>
      </c>
    </row>
    <row r="6647" spans="1:2" x14ac:dyDescent="0.35">
      <c r="A6647">
        <v>377</v>
      </c>
      <c r="B6647">
        <v>1</v>
      </c>
    </row>
    <row r="6648" spans="1:2" x14ac:dyDescent="0.35">
      <c r="A6648">
        <v>377</v>
      </c>
      <c r="B6648">
        <v>1</v>
      </c>
    </row>
    <row r="6649" spans="1:2" x14ac:dyDescent="0.35">
      <c r="A6649">
        <v>377</v>
      </c>
      <c r="B6649">
        <v>1</v>
      </c>
    </row>
    <row r="6650" spans="1:2" x14ac:dyDescent="0.35">
      <c r="A6650">
        <v>377</v>
      </c>
      <c r="B6650">
        <v>1</v>
      </c>
    </row>
    <row r="6651" spans="1:2" x14ac:dyDescent="0.35">
      <c r="A6651">
        <v>377</v>
      </c>
      <c r="B6651">
        <v>1</v>
      </c>
    </row>
    <row r="6652" spans="1:2" x14ac:dyDescent="0.35">
      <c r="A6652">
        <v>378</v>
      </c>
      <c r="B6652">
        <v>1</v>
      </c>
    </row>
    <row r="6653" spans="1:2" x14ac:dyDescent="0.35">
      <c r="A6653">
        <v>378</v>
      </c>
      <c r="B6653">
        <v>1</v>
      </c>
    </row>
    <row r="6654" spans="1:2" x14ac:dyDescent="0.35">
      <c r="A6654">
        <v>378</v>
      </c>
      <c r="B6654">
        <v>1</v>
      </c>
    </row>
    <row r="6655" spans="1:2" x14ac:dyDescent="0.35">
      <c r="A6655">
        <v>378</v>
      </c>
      <c r="B6655">
        <v>1</v>
      </c>
    </row>
    <row r="6656" spans="1:2" x14ac:dyDescent="0.35">
      <c r="A6656">
        <v>378</v>
      </c>
      <c r="B6656">
        <v>1</v>
      </c>
    </row>
    <row r="6657" spans="1:2" x14ac:dyDescent="0.35">
      <c r="A6657">
        <v>378</v>
      </c>
      <c r="B6657">
        <v>1</v>
      </c>
    </row>
    <row r="6658" spans="1:2" x14ac:dyDescent="0.35">
      <c r="A6658">
        <v>378</v>
      </c>
      <c r="B6658">
        <v>1</v>
      </c>
    </row>
    <row r="6659" spans="1:2" x14ac:dyDescent="0.35">
      <c r="A6659">
        <v>378</v>
      </c>
      <c r="B6659">
        <v>1</v>
      </c>
    </row>
    <row r="6660" spans="1:2" x14ac:dyDescent="0.35">
      <c r="A6660">
        <v>379</v>
      </c>
      <c r="B6660">
        <v>1</v>
      </c>
    </row>
    <row r="6661" spans="1:2" x14ac:dyDescent="0.35">
      <c r="A6661">
        <v>379</v>
      </c>
      <c r="B6661">
        <v>1</v>
      </c>
    </row>
    <row r="6662" spans="1:2" x14ac:dyDescent="0.35">
      <c r="A6662">
        <v>379</v>
      </c>
      <c r="B6662">
        <v>1</v>
      </c>
    </row>
    <row r="6663" spans="1:2" x14ac:dyDescent="0.35">
      <c r="A6663">
        <v>379</v>
      </c>
      <c r="B6663">
        <v>1</v>
      </c>
    </row>
    <row r="6664" spans="1:2" x14ac:dyDescent="0.35">
      <c r="A6664">
        <v>380</v>
      </c>
      <c r="B6664">
        <v>1</v>
      </c>
    </row>
    <row r="6665" spans="1:2" x14ac:dyDescent="0.35">
      <c r="A6665">
        <v>380</v>
      </c>
      <c r="B6665">
        <v>1</v>
      </c>
    </row>
    <row r="6666" spans="1:2" x14ac:dyDescent="0.35">
      <c r="A6666">
        <v>380</v>
      </c>
      <c r="B6666">
        <v>1</v>
      </c>
    </row>
    <row r="6667" spans="1:2" x14ac:dyDescent="0.35">
      <c r="A6667">
        <v>381</v>
      </c>
      <c r="B6667">
        <v>1</v>
      </c>
    </row>
    <row r="6668" spans="1:2" x14ac:dyDescent="0.35">
      <c r="A6668">
        <v>381</v>
      </c>
      <c r="B6668">
        <v>1</v>
      </c>
    </row>
    <row r="6669" spans="1:2" x14ac:dyDescent="0.35">
      <c r="A6669">
        <v>381</v>
      </c>
      <c r="B6669">
        <v>1</v>
      </c>
    </row>
    <row r="6670" spans="1:2" x14ac:dyDescent="0.35">
      <c r="A6670">
        <v>381</v>
      </c>
      <c r="B6670">
        <v>1</v>
      </c>
    </row>
    <row r="6671" spans="1:2" x14ac:dyDescent="0.35">
      <c r="A6671">
        <v>381</v>
      </c>
      <c r="B6671">
        <v>1</v>
      </c>
    </row>
    <row r="6672" spans="1:2" x14ac:dyDescent="0.35">
      <c r="A6672">
        <v>381</v>
      </c>
      <c r="B6672">
        <v>1</v>
      </c>
    </row>
    <row r="6673" spans="1:2" x14ac:dyDescent="0.35">
      <c r="A6673">
        <v>381</v>
      </c>
      <c r="B6673">
        <v>1</v>
      </c>
    </row>
    <row r="6674" spans="1:2" x14ac:dyDescent="0.35">
      <c r="A6674">
        <v>381</v>
      </c>
      <c r="B6674">
        <v>1</v>
      </c>
    </row>
    <row r="6675" spans="1:2" x14ac:dyDescent="0.35">
      <c r="A6675">
        <v>381</v>
      </c>
      <c r="B6675">
        <v>1</v>
      </c>
    </row>
    <row r="6676" spans="1:2" x14ac:dyDescent="0.35">
      <c r="A6676">
        <v>381</v>
      </c>
      <c r="B6676">
        <v>1</v>
      </c>
    </row>
    <row r="6677" spans="1:2" x14ac:dyDescent="0.35">
      <c r="A6677">
        <v>382</v>
      </c>
      <c r="B6677">
        <v>1</v>
      </c>
    </row>
    <row r="6678" spans="1:2" x14ac:dyDescent="0.35">
      <c r="A6678">
        <v>382</v>
      </c>
      <c r="B6678">
        <v>1</v>
      </c>
    </row>
    <row r="6679" spans="1:2" x14ac:dyDescent="0.35">
      <c r="A6679">
        <v>382</v>
      </c>
      <c r="B6679">
        <v>1</v>
      </c>
    </row>
    <row r="6680" spans="1:2" x14ac:dyDescent="0.35">
      <c r="A6680">
        <v>382</v>
      </c>
      <c r="B6680">
        <v>1</v>
      </c>
    </row>
    <row r="6681" spans="1:2" x14ac:dyDescent="0.35">
      <c r="A6681">
        <v>382</v>
      </c>
      <c r="B6681">
        <v>1</v>
      </c>
    </row>
    <row r="6682" spans="1:2" x14ac:dyDescent="0.35">
      <c r="A6682">
        <v>383</v>
      </c>
      <c r="B6682">
        <v>1</v>
      </c>
    </row>
    <row r="6683" spans="1:2" x14ac:dyDescent="0.35">
      <c r="A6683">
        <v>383</v>
      </c>
      <c r="B6683">
        <v>1</v>
      </c>
    </row>
    <row r="6684" spans="1:2" x14ac:dyDescent="0.35">
      <c r="A6684">
        <v>383</v>
      </c>
      <c r="B6684">
        <v>1</v>
      </c>
    </row>
    <row r="6685" spans="1:2" x14ac:dyDescent="0.35">
      <c r="A6685">
        <v>383</v>
      </c>
      <c r="B6685">
        <v>1</v>
      </c>
    </row>
    <row r="6686" spans="1:2" x14ac:dyDescent="0.35">
      <c r="A6686">
        <v>383</v>
      </c>
      <c r="B6686">
        <v>1</v>
      </c>
    </row>
    <row r="6687" spans="1:2" x14ac:dyDescent="0.35">
      <c r="A6687">
        <v>383</v>
      </c>
      <c r="B6687">
        <v>1</v>
      </c>
    </row>
    <row r="6688" spans="1:2" x14ac:dyDescent="0.35">
      <c r="A6688">
        <v>383</v>
      </c>
      <c r="B6688">
        <v>1</v>
      </c>
    </row>
    <row r="6689" spans="1:2" x14ac:dyDescent="0.35">
      <c r="A6689">
        <v>384</v>
      </c>
      <c r="B6689">
        <v>1</v>
      </c>
    </row>
    <row r="6690" spans="1:2" x14ac:dyDescent="0.35">
      <c r="A6690">
        <v>384</v>
      </c>
      <c r="B6690">
        <v>1</v>
      </c>
    </row>
    <row r="6691" spans="1:2" x14ac:dyDescent="0.35">
      <c r="A6691">
        <v>384</v>
      </c>
      <c r="B6691">
        <v>1</v>
      </c>
    </row>
    <row r="6692" spans="1:2" x14ac:dyDescent="0.35">
      <c r="A6692">
        <v>384</v>
      </c>
      <c r="B6692">
        <v>1</v>
      </c>
    </row>
    <row r="6693" spans="1:2" x14ac:dyDescent="0.35">
      <c r="A6693">
        <v>384</v>
      </c>
      <c r="B6693">
        <v>1</v>
      </c>
    </row>
    <row r="6694" spans="1:2" x14ac:dyDescent="0.35">
      <c r="A6694">
        <v>384</v>
      </c>
      <c r="B6694">
        <v>1</v>
      </c>
    </row>
    <row r="6695" spans="1:2" x14ac:dyDescent="0.35">
      <c r="A6695">
        <v>384</v>
      </c>
      <c r="B6695">
        <v>1</v>
      </c>
    </row>
    <row r="6696" spans="1:2" x14ac:dyDescent="0.35">
      <c r="A6696">
        <v>384</v>
      </c>
      <c r="B6696">
        <v>1</v>
      </c>
    </row>
    <row r="6697" spans="1:2" x14ac:dyDescent="0.35">
      <c r="A6697">
        <v>385</v>
      </c>
      <c r="B6697">
        <v>1</v>
      </c>
    </row>
    <row r="6698" spans="1:2" x14ac:dyDescent="0.35">
      <c r="A6698">
        <v>385</v>
      </c>
      <c r="B6698">
        <v>1</v>
      </c>
    </row>
    <row r="6699" spans="1:2" x14ac:dyDescent="0.35">
      <c r="A6699">
        <v>385</v>
      </c>
      <c r="B6699">
        <v>1</v>
      </c>
    </row>
    <row r="6700" spans="1:2" x14ac:dyDescent="0.35">
      <c r="A6700">
        <v>385</v>
      </c>
      <c r="B6700">
        <v>1</v>
      </c>
    </row>
    <row r="6701" spans="1:2" x14ac:dyDescent="0.35">
      <c r="A6701">
        <v>385</v>
      </c>
      <c r="B6701">
        <v>1</v>
      </c>
    </row>
    <row r="6702" spans="1:2" x14ac:dyDescent="0.35">
      <c r="A6702">
        <v>386</v>
      </c>
      <c r="B6702">
        <v>1</v>
      </c>
    </row>
    <row r="6703" spans="1:2" x14ac:dyDescent="0.35">
      <c r="A6703">
        <v>386</v>
      </c>
      <c r="B6703">
        <v>1</v>
      </c>
    </row>
    <row r="6704" spans="1:2" x14ac:dyDescent="0.35">
      <c r="A6704">
        <v>386</v>
      </c>
      <c r="B6704">
        <v>1</v>
      </c>
    </row>
    <row r="6705" spans="1:2" x14ac:dyDescent="0.35">
      <c r="A6705">
        <v>387</v>
      </c>
      <c r="B6705">
        <v>1</v>
      </c>
    </row>
    <row r="6706" spans="1:2" x14ac:dyDescent="0.35">
      <c r="A6706">
        <v>387</v>
      </c>
      <c r="B6706">
        <v>1</v>
      </c>
    </row>
    <row r="6707" spans="1:2" x14ac:dyDescent="0.35">
      <c r="A6707">
        <v>387</v>
      </c>
      <c r="B6707">
        <v>1</v>
      </c>
    </row>
    <row r="6708" spans="1:2" x14ac:dyDescent="0.35">
      <c r="A6708">
        <v>387</v>
      </c>
      <c r="B6708">
        <v>1</v>
      </c>
    </row>
    <row r="6709" spans="1:2" x14ac:dyDescent="0.35">
      <c r="A6709">
        <v>387</v>
      </c>
      <c r="B6709">
        <v>1</v>
      </c>
    </row>
    <row r="6710" spans="1:2" x14ac:dyDescent="0.35">
      <c r="A6710">
        <v>388</v>
      </c>
      <c r="B6710">
        <v>1</v>
      </c>
    </row>
    <row r="6711" spans="1:2" x14ac:dyDescent="0.35">
      <c r="A6711">
        <v>388</v>
      </c>
      <c r="B6711">
        <v>1</v>
      </c>
    </row>
    <row r="6712" spans="1:2" x14ac:dyDescent="0.35">
      <c r="A6712">
        <v>388</v>
      </c>
      <c r="B6712">
        <v>1</v>
      </c>
    </row>
    <row r="6713" spans="1:2" x14ac:dyDescent="0.35">
      <c r="A6713">
        <v>388</v>
      </c>
      <c r="B6713">
        <v>1</v>
      </c>
    </row>
    <row r="6714" spans="1:2" x14ac:dyDescent="0.35">
      <c r="A6714">
        <v>388</v>
      </c>
      <c r="B6714">
        <v>1</v>
      </c>
    </row>
    <row r="6715" spans="1:2" x14ac:dyDescent="0.35">
      <c r="A6715">
        <v>388</v>
      </c>
      <c r="B6715">
        <v>1</v>
      </c>
    </row>
    <row r="6716" spans="1:2" x14ac:dyDescent="0.35">
      <c r="A6716">
        <v>388</v>
      </c>
      <c r="B6716">
        <v>1</v>
      </c>
    </row>
    <row r="6717" spans="1:2" x14ac:dyDescent="0.35">
      <c r="A6717">
        <v>389</v>
      </c>
      <c r="B6717">
        <v>1</v>
      </c>
    </row>
    <row r="6718" spans="1:2" x14ac:dyDescent="0.35">
      <c r="A6718">
        <v>389</v>
      </c>
      <c r="B6718">
        <v>1</v>
      </c>
    </row>
    <row r="6719" spans="1:2" x14ac:dyDescent="0.35">
      <c r="A6719">
        <v>389</v>
      </c>
      <c r="B6719">
        <v>1</v>
      </c>
    </row>
    <row r="6720" spans="1:2" x14ac:dyDescent="0.35">
      <c r="A6720">
        <v>389</v>
      </c>
      <c r="B6720">
        <v>1</v>
      </c>
    </row>
    <row r="6721" spans="1:2" x14ac:dyDescent="0.35">
      <c r="A6721">
        <v>389</v>
      </c>
      <c r="B6721">
        <v>1</v>
      </c>
    </row>
    <row r="6722" spans="1:2" x14ac:dyDescent="0.35">
      <c r="A6722">
        <v>390</v>
      </c>
      <c r="B6722">
        <v>1</v>
      </c>
    </row>
    <row r="6723" spans="1:2" x14ac:dyDescent="0.35">
      <c r="A6723">
        <v>390</v>
      </c>
      <c r="B6723">
        <v>1</v>
      </c>
    </row>
    <row r="6724" spans="1:2" x14ac:dyDescent="0.35">
      <c r="A6724">
        <v>390</v>
      </c>
      <c r="B6724">
        <v>1</v>
      </c>
    </row>
    <row r="6725" spans="1:2" x14ac:dyDescent="0.35">
      <c r="A6725">
        <v>390</v>
      </c>
      <c r="B6725">
        <v>1</v>
      </c>
    </row>
    <row r="6726" spans="1:2" x14ac:dyDescent="0.35">
      <c r="A6726">
        <v>390</v>
      </c>
      <c r="B6726">
        <v>1</v>
      </c>
    </row>
    <row r="6727" spans="1:2" x14ac:dyDescent="0.35">
      <c r="A6727">
        <v>391</v>
      </c>
      <c r="B6727">
        <v>1</v>
      </c>
    </row>
    <row r="6728" spans="1:2" x14ac:dyDescent="0.35">
      <c r="A6728">
        <v>391</v>
      </c>
      <c r="B6728">
        <v>1</v>
      </c>
    </row>
    <row r="6729" spans="1:2" x14ac:dyDescent="0.35">
      <c r="A6729">
        <v>391</v>
      </c>
      <c r="B6729">
        <v>1</v>
      </c>
    </row>
    <row r="6730" spans="1:2" x14ac:dyDescent="0.35">
      <c r="A6730">
        <v>391</v>
      </c>
      <c r="B6730">
        <v>1</v>
      </c>
    </row>
    <row r="6731" spans="1:2" x14ac:dyDescent="0.35">
      <c r="A6731">
        <v>391</v>
      </c>
      <c r="B6731">
        <v>1</v>
      </c>
    </row>
    <row r="6732" spans="1:2" x14ac:dyDescent="0.35">
      <c r="A6732">
        <v>391</v>
      </c>
      <c r="B6732">
        <v>1</v>
      </c>
    </row>
    <row r="6733" spans="1:2" x14ac:dyDescent="0.35">
      <c r="A6733">
        <v>391</v>
      </c>
      <c r="B6733">
        <v>1</v>
      </c>
    </row>
    <row r="6734" spans="1:2" x14ac:dyDescent="0.35">
      <c r="A6734">
        <v>392</v>
      </c>
      <c r="B6734">
        <v>1</v>
      </c>
    </row>
    <row r="6735" spans="1:2" x14ac:dyDescent="0.35">
      <c r="A6735">
        <v>392</v>
      </c>
      <c r="B6735">
        <v>1</v>
      </c>
    </row>
    <row r="6736" spans="1:2" x14ac:dyDescent="0.35">
      <c r="A6736">
        <v>392</v>
      </c>
      <c r="B6736">
        <v>1</v>
      </c>
    </row>
    <row r="6737" spans="1:2" x14ac:dyDescent="0.35">
      <c r="A6737">
        <v>392</v>
      </c>
      <c r="B6737">
        <v>1</v>
      </c>
    </row>
    <row r="6738" spans="1:2" x14ac:dyDescent="0.35">
      <c r="A6738">
        <v>392</v>
      </c>
      <c r="B6738">
        <v>1</v>
      </c>
    </row>
    <row r="6739" spans="1:2" x14ac:dyDescent="0.35">
      <c r="A6739">
        <v>392</v>
      </c>
      <c r="B6739">
        <v>1</v>
      </c>
    </row>
    <row r="6740" spans="1:2" x14ac:dyDescent="0.35">
      <c r="A6740">
        <v>392</v>
      </c>
      <c r="B6740">
        <v>1</v>
      </c>
    </row>
    <row r="6741" spans="1:2" x14ac:dyDescent="0.35">
      <c r="A6741">
        <v>393</v>
      </c>
      <c r="B6741">
        <v>1</v>
      </c>
    </row>
    <row r="6742" spans="1:2" x14ac:dyDescent="0.35">
      <c r="A6742">
        <v>393</v>
      </c>
      <c r="B6742">
        <v>1</v>
      </c>
    </row>
    <row r="6743" spans="1:2" x14ac:dyDescent="0.35">
      <c r="A6743">
        <v>393</v>
      </c>
      <c r="B6743">
        <v>1</v>
      </c>
    </row>
    <row r="6744" spans="1:2" x14ac:dyDescent="0.35">
      <c r="A6744">
        <v>394</v>
      </c>
      <c r="B6744">
        <v>1</v>
      </c>
    </row>
    <row r="6745" spans="1:2" x14ac:dyDescent="0.35">
      <c r="A6745">
        <v>394</v>
      </c>
      <c r="B6745">
        <v>1</v>
      </c>
    </row>
    <row r="6746" spans="1:2" x14ac:dyDescent="0.35">
      <c r="A6746">
        <v>394</v>
      </c>
      <c r="B6746">
        <v>1</v>
      </c>
    </row>
    <row r="6747" spans="1:2" x14ac:dyDescent="0.35">
      <c r="A6747">
        <v>394</v>
      </c>
      <c r="B6747">
        <v>1</v>
      </c>
    </row>
    <row r="6748" spans="1:2" x14ac:dyDescent="0.35">
      <c r="A6748">
        <v>394</v>
      </c>
      <c r="B6748">
        <v>1</v>
      </c>
    </row>
    <row r="6749" spans="1:2" x14ac:dyDescent="0.35">
      <c r="A6749">
        <v>395</v>
      </c>
      <c r="B6749">
        <v>1</v>
      </c>
    </row>
    <row r="6750" spans="1:2" x14ac:dyDescent="0.35">
      <c r="A6750">
        <v>395</v>
      </c>
      <c r="B6750">
        <v>1</v>
      </c>
    </row>
    <row r="6751" spans="1:2" x14ac:dyDescent="0.35">
      <c r="A6751">
        <v>395</v>
      </c>
      <c r="B6751">
        <v>1</v>
      </c>
    </row>
    <row r="6752" spans="1:2" x14ac:dyDescent="0.35">
      <c r="A6752">
        <v>395</v>
      </c>
      <c r="B6752">
        <v>1</v>
      </c>
    </row>
    <row r="6753" spans="1:2" x14ac:dyDescent="0.35">
      <c r="A6753">
        <v>395</v>
      </c>
      <c r="B6753">
        <v>1</v>
      </c>
    </row>
    <row r="6754" spans="1:2" x14ac:dyDescent="0.35">
      <c r="A6754">
        <v>395</v>
      </c>
      <c r="B6754">
        <v>1</v>
      </c>
    </row>
    <row r="6755" spans="1:2" x14ac:dyDescent="0.35">
      <c r="A6755">
        <v>396</v>
      </c>
      <c r="B6755">
        <v>1</v>
      </c>
    </row>
    <row r="6756" spans="1:2" x14ac:dyDescent="0.35">
      <c r="A6756">
        <v>396</v>
      </c>
      <c r="B6756">
        <v>1</v>
      </c>
    </row>
    <row r="6757" spans="1:2" x14ac:dyDescent="0.35">
      <c r="A6757">
        <v>396</v>
      </c>
      <c r="B6757">
        <v>1</v>
      </c>
    </row>
    <row r="6758" spans="1:2" x14ac:dyDescent="0.35">
      <c r="A6758">
        <v>397</v>
      </c>
      <c r="B6758">
        <v>1</v>
      </c>
    </row>
    <row r="6759" spans="1:2" x14ac:dyDescent="0.35">
      <c r="A6759">
        <v>397</v>
      </c>
      <c r="B6759">
        <v>1</v>
      </c>
    </row>
    <row r="6760" spans="1:2" x14ac:dyDescent="0.35">
      <c r="A6760">
        <v>397</v>
      </c>
      <c r="B6760">
        <v>1</v>
      </c>
    </row>
    <row r="6761" spans="1:2" x14ac:dyDescent="0.35">
      <c r="A6761">
        <v>397</v>
      </c>
      <c r="B6761">
        <v>1</v>
      </c>
    </row>
    <row r="6762" spans="1:2" x14ac:dyDescent="0.35">
      <c r="A6762">
        <v>397</v>
      </c>
      <c r="B6762">
        <v>1</v>
      </c>
    </row>
    <row r="6763" spans="1:2" x14ac:dyDescent="0.35">
      <c r="A6763">
        <v>397</v>
      </c>
      <c r="B6763">
        <v>1</v>
      </c>
    </row>
    <row r="6764" spans="1:2" x14ac:dyDescent="0.35">
      <c r="A6764">
        <v>397</v>
      </c>
      <c r="B6764">
        <v>1</v>
      </c>
    </row>
    <row r="6765" spans="1:2" x14ac:dyDescent="0.35">
      <c r="A6765">
        <v>397</v>
      </c>
      <c r="B6765">
        <v>1</v>
      </c>
    </row>
    <row r="6766" spans="1:2" x14ac:dyDescent="0.35">
      <c r="A6766">
        <v>398</v>
      </c>
      <c r="B6766">
        <v>1</v>
      </c>
    </row>
    <row r="6767" spans="1:2" x14ac:dyDescent="0.35">
      <c r="A6767">
        <v>398</v>
      </c>
      <c r="B6767">
        <v>1</v>
      </c>
    </row>
    <row r="6768" spans="1:2" x14ac:dyDescent="0.35">
      <c r="A6768">
        <v>398</v>
      </c>
      <c r="B6768">
        <v>1</v>
      </c>
    </row>
    <row r="6769" spans="1:2" x14ac:dyDescent="0.35">
      <c r="A6769">
        <v>398</v>
      </c>
      <c r="B6769">
        <v>1</v>
      </c>
    </row>
    <row r="6770" spans="1:2" x14ac:dyDescent="0.35">
      <c r="A6770">
        <v>398</v>
      </c>
      <c r="B6770">
        <v>1</v>
      </c>
    </row>
    <row r="6771" spans="1:2" x14ac:dyDescent="0.35">
      <c r="A6771">
        <v>398</v>
      </c>
      <c r="B6771">
        <v>1</v>
      </c>
    </row>
    <row r="6772" spans="1:2" x14ac:dyDescent="0.35">
      <c r="A6772">
        <v>398</v>
      </c>
      <c r="B6772">
        <v>1</v>
      </c>
    </row>
    <row r="6773" spans="1:2" x14ac:dyDescent="0.35">
      <c r="A6773">
        <v>398</v>
      </c>
      <c r="B6773">
        <v>1</v>
      </c>
    </row>
    <row r="6774" spans="1:2" x14ac:dyDescent="0.35">
      <c r="A6774">
        <v>399</v>
      </c>
      <c r="B6774">
        <v>1</v>
      </c>
    </row>
    <row r="6775" spans="1:2" x14ac:dyDescent="0.35">
      <c r="A6775">
        <v>399</v>
      </c>
      <c r="B6775">
        <v>1</v>
      </c>
    </row>
    <row r="6776" spans="1:2" x14ac:dyDescent="0.35">
      <c r="A6776">
        <v>399</v>
      </c>
      <c r="B6776">
        <v>1</v>
      </c>
    </row>
    <row r="6777" spans="1:2" x14ac:dyDescent="0.35">
      <c r="A6777">
        <v>399</v>
      </c>
      <c r="B6777">
        <v>1</v>
      </c>
    </row>
    <row r="6778" spans="1:2" x14ac:dyDescent="0.35">
      <c r="A6778">
        <v>399</v>
      </c>
      <c r="B6778">
        <v>1</v>
      </c>
    </row>
    <row r="6779" spans="1:2" x14ac:dyDescent="0.35">
      <c r="A6779">
        <v>399</v>
      </c>
      <c r="B6779">
        <v>1</v>
      </c>
    </row>
    <row r="6780" spans="1:2" x14ac:dyDescent="0.35">
      <c r="A6780">
        <v>399</v>
      </c>
      <c r="B6780">
        <v>1</v>
      </c>
    </row>
    <row r="6781" spans="1:2" x14ac:dyDescent="0.35">
      <c r="A6781">
        <v>400</v>
      </c>
      <c r="B6781">
        <v>1</v>
      </c>
    </row>
    <row r="6782" spans="1:2" x14ac:dyDescent="0.35">
      <c r="A6782">
        <v>400</v>
      </c>
      <c r="B6782">
        <v>1</v>
      </c>
    </row>
    <row r="6783" spans="1:2" x14ac:dyDescent="0.35">
      <c r="A6783">
        <v>400</v>
      </c>
      <c r="B6783">
        <v>1</v>
      </c>
    </row>
    <row r="6784" spans="1:2" x14ac:dyDescent="0.35">
      <c r="A6784">
        <v>400</v>
      </c>
      <c r="B6784">
        <v>1</v>
      </c>
    </row>
    <row r="6785" spans="1:2" x14ac:dyDescent="0.35">
      <c r="A6785">
        <v>400</v>
      </c>
      <c r="B6785">
        <v>1</v>
      </c>
    </row>
    <row r="6786" spans="1:2" x14ac:dyDescent="0.35">
      <c r="A6786">
        <v>400</v>
      </c>
      <c r="B6786">
        <v>1</v>
      </c>
    </row>
    <row r="6787" spans="1:2" x14ac:dyDescent="0.35">
      <c r="A6787">
        <v>400</v>
      </c>
      <c r="B6787">
        <v>1</v>
      </c>
    </row>
    <row r="6788" spans="1:2" x14ac:dyDescent="0.35">
      <c r="A6788">
        <v>401</v>
      </c>
      <c r="B6788">
        <v>1</v>
      </c>
    </row>
    <row r="6789" spans="1:2" x14ac:dyDescent="0.35">
      <c r="A6789">
        <v>401</v>
      </c>
      <c r="B6789">
        <v>1</v>
      </c>
    </row>
    <row r="6790" spans="1:2" x14ac:dyDescent="0.35">
      <c r="A6790">
        <v>401</v>
      </c>
      <c r="B6790">
        <v>1</v>
      </c>
    </row>
    <row r="6791" spans="1:2" x14ac:dyDescent="0.35">
      <c r="A6791">
        <v>402</v>
      </c>
      <c r="B6791">
        <v>1</v>
      </c>
    </row>
    <row r="6792" spans="1:2" x14ac:dyDescent="0.35">
      <c r="A6792">
        <v>402</v>
      </c>
      <c r="B6792">
        <v>1</v>
      </c>
    </row>
    <row r="6793" spans="1:2" x14ac:dyDescent="0.35">
      <c r="A6793">
        <v>402</v>
      </c>
      <c r="B6793">
        <v>1</v>
      </c>
    </row>
    <row r="6794" spans="1:2" x14ac:dyDescent="0.35">
      <c r="A6794">
        <v>402</v>
      </c>
      <c r="B6794">
        <v>1</v>
      </c>
    </row>
    <row r="6795" spans="1:2" x14ac:dyDescent="0.35">
      <c r="A6795">
        <v>402</v>
      </c>
      <c r="B6795">
        <v>1</v>
      </c>
    </row>
    <row r="6796" spans="1:2" x14ac:dyDescent="0.35">
      <c r="A6796">
        <v>403</v>
      </c>
      <c r="B6796">
        <v>1</v>
      </c>
    </row>
    <row r="6797" spans="1:2" x14ac:dyDescent="0.35">
      <c r="A6797">
        <v>403</v>
      </c>
      <c r="B6797">
        <v>1</v>
      </c>
    </row>
    <row r="6798" spans="1:2" x14ac:dyDescent="0.35">
      <c r="A6798">
        <v>403</v>
      </c>
      <c r="B6798">
        <v>1</v>
      </c>
    </row>
    <row r="6799" spans="1:2" x14ac:dyDescent="0.35">
      <c r="A6799">
        <v>403</v>
      </c>
      <c r="B6799">
        <v>1</v>
      </c>
    </row>
    <row r="6800" spans="1:2" x14ac:dyDescent="0.35">
      <c r="A6800">
        <v>403</v>
      </c>
      <c r="B6800">
        <v>1</v>
      </c>
    </row>
    <row r="6801" spans="1:2" x14ac:dyDescent="0.35">
      <c r="A6801">
        <v>403</v>
      </c>
      <c r="B6801">
        <v>1</v>
      </c>
    </row>
    <row r="6802" spans="1:2" x14ac:dyDescent="0.35">
      <c r="A6802">
        <v>404</v>
      </c>
      <c r="B6802">
        <v>1</v>
      </c>
    </row>
    <row r="6803" spans="1:2" x14ac:dyDescent="0.35">
      <c r="A6803">
        <v>404</v>
      </c>
      <c r="B6803">
        <v>1</v>
      </c>
    </row>
    <row r="6804" spans="1:2" x14ac:dyDescent="0.35">
      <c r="A6804">
        <v>404</v>
      </c>
      <c r="B6804">
        <v>1</v>
      </c>
    </row>
    <row r="6805" spans="1:2" x14ac:dyDescent="0.35">
      <c r="A6805">
        <v>404</v>
      </c>
      <c r="B6805">
        <v>1</v>
      </c>
    </row>
    <row r="6806" spans="1:2" x14ac:dyDescent="0.35">
      <c r="A6806">
        <v>404</v>
      </c>
      <c r="B6806">
        <v>1</v>
      </c>
    </row>
    <row r="6807" spans="1:2" x14ac:dyDescent="0.35">
      <c r="A6807">
        <v>404</v>
      </c>
      <c r="B6807">
        <v>1</v>
      </c>
    </row>
    <row r="6808" spans="1:2" x14ac:dyDescent="0.35">
      <c r="A6808">
        <v>404</v>
      </c>
      <c r="B6808">
        <v>1</v>
      </c>
    </row>
    <row r="6809" spans="1:2" x14ac:dyDescent="0.35">
      <c r="A6809">
        <v>404</v>
      </c>
      <c r="B6809">
        <v>1</v>
      </c>
    </row>
    <row r="6810" spans="1:2" x14ac:dyDescent="0.35">
      <c r="A6810">
        <v>405</v>
      </c>
      <c r="B6810">
        <v>1</v>
      </c>
    </row>
    <row r="6811" spans="1:2" x14ac:dyDescent="0.35">
      <c r="A6811">
        <v>405</v>
      </c>
      <c r="B6811">
        <v>1</v>
      </c>
    </row>
    <row r="6812" spans="1:2" x14ac:dyDescent="0.35">
      <c r="A6812">
        <v>405</v>
      </c>
      <c r="B6812">
        <v>1</v>
      </c>
    </row>
    <row r="6813" spans="1:2" x14ac:dyDescent="0.35">
      <c r="A6813">
        <v>405</v>
      </c>
      <c r="B6813">
        <v>1</v>
      </c>
    </row>
    <row r="6814" spans="1:2" x14ac:dyDescent="0.35">
      <c r="A6814">
        <v>405</v>
      </c>
      <c r="B6814">
        <v>1</v>
      </c>
    </row>
    <row r="6815" spans="1:2" x14ac:dyDescent="0.35">
      <c r="A6815">
        <v>405</v>
      </c>
      <c r="B6815">
        <v>1</v>
      </c>
    </row>
    <row r="6816" spans="1:2" x14ac:dyDescent="0.35">
      <c r="A6816">
        <v>405</v>
      </c>
      <c r="B6816">
        <v>1</v>
      </c>
    </row>
    <row r="6817" spans="1:2" x14ac:dyDescent="0.35">
      <c r="A6817">
        <v>406</v>
      </c>
      <c r="B6817">
        <v>1</v>
      </c>
    </row>
    <row r="6818" spans="1:2" x14ac:dyDescent="0.35">
      <c r="A6818">
        <v>406</v>
      </c>
      <c r="B6818">
        <v>1</v>
      </c>
    </row>
    <row r="6819" spans="1:2" x14ac:dyDescent="0.35">
      <c r="A6819">
        <v>406</v>
      </c>
      <c r="B6819">
        <v>1</v>
      </c>
    </row>
    <row r="6820" spans="1:2" x14ac:dyDescent="0.35">
      <c r="A6820">
        <v>406</v>
      </c>
      <c r="B6820">
        <v>1</v>
      </c>
    </row>
    <row r="6821" spans="1:2" x14ac:dyDescent="0.35">
      <c r="A6821">
        <v>406</v>
      </c>
      <c r="B6821">
        <v>1</v>
      </c>
    </row>
    <row r="6822" spans="1:2" x14ac:dyDescent="0.35">
      <c r="A6822">
        <v>407</v>
      </c>
      <c r="B6822">
        <v>1</v>
      </c>
    </row>
    <row r="6823" spans="1:2" x14ac:dyDescent="0.35">
      <c r="A6823">
        <v>407</v>
      </c>
      <c r="B6823">
        <v>1</v>
      </c>
    </row>
    <row r="6824" spans="1:2" x14ac:dyDescent="0.35">
      <c r="A6824">
        <v>407</v>
      </c>
      <c r="B6824">
        <v>1</v>
      </c>
    </row>
    <row r="6825" spans="1:2" x14ac:dyDescent="0.35">
      <c r="A6825">
        <v>407</v>
      </c>
      <c r="B6825">
        <v>1</v>
      </c>
    </row>
    <row r="6826" spans="1:2" x14ac:dyDescent="0.35">
      <c r="A6826">
        <v>407</v>
      </c>
      <c r="B6826">
        <v>1</v>
      </c>
    </row>
    <row r="6827" spans="1:2" x14ac:dyDescent="0.35">
      <c r="A6827">
        <v>407</v>
      </c>
      <c r="B6827">
        <v>1</v>
      </c>
    </row>
    <row r="6828" spans="1:2" x14ac:dyDescent="0.35">
      <c r="A6828">
        <v>407</v>
      </c>
      <c r="B6828">
        <v>1</v>
      </c>
    </row>
    <row r="6829" spans="1:2" x14ac:dyDescent="0.35">
      <c r="A6829">
        <v>407</v>
      </c>
      <c r="B6829">
        <v>1</v>
      </c>
    </row>
    <row r="6830" spans="1:2" x14ac:dyDescent="0.35">
      <c r="A6830">
        <v>408</v>
      </c>
      <c r="B6830">
        <v>1</v>
      </c>
    </row>
    <row r="6831" spans="1:2" x14ac:dyDescent="0.35">
      <c r="A6831">
        <v>408</v>
      </c>
      <c r="B6831">
        <v>1</v>
      </c>
    </row>
    <row r="6832" spans="1:2" x14ac:dyDescent="0.35">
      <c r="A6832">
        <v>408</v>
      </c>
      <c r="B6832">
        <v>1</v>
      </c>
    </row>
    <row r="6833" spans="1:2" x14ac:dyDescent="0.35">
      <c r="A6833">
        <v>408</v>
      </c>
      <c r="B6833">
        <v>1</v>
      </c>
    </row>
    <row r="6834" spans="1:2" x14ac:dyDescent="0.35">
      <c r="A6834">
        <v>409</v>
      </c>
      <c r="B6834">
        <v>1</v>
      </c>
    </row>
    <row r="6835" spans="1:2" x14ac:dyDescent="0.35">
      <c r="A6835">
        <v>409</v>
      </c>
      <c r="B6835">
        <v>1</v>
      </c>
    </row>
    <row r="6836" spans="1:2" x14ac:dyDescent="0.35">
      <c r="A6836">
        <v>409</v>
      </c>
      <c r="B6836">
        <v>1</v>
      </c>
    </row>
    <row r="6837" spans="1:2" x14ac:dyDescent="0.35">
      <c r="A6837">
        <v>409</v>
      </c>
      <c r="B6837">
        <v>1</v>
      </c>
    </row>
    <row r="6838" spans="1:2" x14ac:dyDescent="0.35">
      <c r="A6838">
        <v>410</v>
      </c>
      <c r="B6838">
        <v>1</v>
      </c>
    </row>
    <row r="6839" spans="1:2" x14ac:dyDescent="0.35">
      <c r="A6839">
        <v>410</v>
      </c>
      <c r="B6839">
        <v>1</v>
      </c>
    </row>
    <row r="6840" spans="1:2" x14ac:dyDescent="0.35">
      <c r="A6840">
        <v>410</v>
      </c>
      <c r="B6840">
        <v>1</v>
      </c>
    </row>
    <row r="6841" spans="1:2" x14ac:dyDescent="0.35">
      <c r="A6841">
        <v>410</v>
      </c>
      <c r="B6841">
        <v>1</v>
      </c>
    </row>
    <row r="6842" spans="1:2" x14ac:dyDescent="0.35">
      <c r="A6842">
        <v>410</v>
      </c>
      <c r="B6842">
        <v>1</v>
      </c>
    </row>
    <row r="6843" spans="1:2" x14ac:dyDescent="0.35">
      <c r="A6843">
        <v>411</v>
      </c>
      <c r="B6843">
        <v>1</v>
      </c>
    </row>
    <row r="6844" spans="1:2" x14ac:dyDescent="0.35">
      <c r="A6844">
        <v>411</v>
      </c>
      <c r="B6844">
        <v>1</v>
      </c>
    </row>
    <row r="6845" spans="1:2" x14ac:dyDescent="0.35">
      <c r="A6845">
        <v>411</v>
      </c>
      <c r="B6845">
        <v>1</v>
      </c>
    </row>
    <row r="6846" spans="1:2" x14ac:dyDescent="0.35">
      <c r="A6846">
        <v>411</v>
      </c>
      <c r="B6846">
        <v>1</v>
      </c>
    </row>
    <row r="6847" spans="1:2" x14ac:dyDescent="0.35">
      <c r="A6847">
        <v>411</v>
      </c>
      <c r="B6847">
        <v>1</v>
      </c>
    </row>
    <row r="6848" spans="1:2" x14ac:dyDescent="0.35">
      <c r="A6848">
        <v>412</v>
      </c>
      <c r="B6848">
        <v>1</v>
      </c>
    </row>
    <row r="6849" spans="1:2" x14ac:dyDescent="0.35">
      <c r="A6849">
        <v>412</v>
      </c>
      <c r="B6849">
        <v>1</v>
      </c>
    </row>
    <row r="6850" spans="1:2" x14ac:dyDescent="0.35">
      <c r="A6850">
        <v>412</v>
      </c>
      <c r="B6850">
        <v>1</v>
      </c>
    </row>
    <row r="6851" spans="1:2" x14ac:dyDescent="0.35">
      <c r="A6851">
        <v>412</v>
      </c>
      <c r="B6851">
        <v>1</v>
      </c>
    </row>
    <row r="6852" spans="1:2" x14ac:dyDescent="0.35">
      <c r="A6852">
        <v>412</v>
      </c>
      <c r="B6852">
        <v>1</v>
      </c>
    </row>
    <row r="6853" spans="1:2" x14ac:dyDescent="0.35">
      <c r="A6853">
        <v>413</v>
      </c>
      <c r="B6853">
        <v>1</v>
      </c>
    </row>
    <row r="6854" spans="1:2" x14ac:dyDescent="0.35">
      <c r="A6854">
        <v>413</v>
      </c>
      <c r="B6854">
        <v>1</v>
      </c>
    </row>
    <row r="6855" spans="1:2" x14ac:dyDescent="0.35">
      <c r="A6855">
        <v>413</v>
      </c>
      <c r="B6855">
        <v>1</v>
      </c>
    </row>
    <row r="6856" spans="1:2" x14ac:dyDescent="0.35">
      <c r="A6856">
        <v>413</v>
      </c>
      <c r="B6856">
        <v>1</v>
      </c>
    </row>
    <row r="6857" spans="1:2" x14ac:dyDescent="0.35">
      <c r="A6857">
        <v>413</v>
      </c>
      <c r="B6857">
        <v>1</v>
      </c>
    </row>
    <row r="6858" spans="1:2" x14ac:dyDescent="0.35">
      <c r="A6858">
        <v>413</v>
      </c>
      <c r="B6858">
        <v>1</v>
      </c>
    </row>
    <row r="6859" spans="1:2" x14ac:dyDescent="0.35">
      <c r="A6859">
        <v>413</v>
      </c>
      <c r="B6859">
        <v>1</v>
      </c>
    </row>
    <row r="6860" spans="1:2" x14ac:dyDescent="0.35">
      <c r="A6860">
        <v>413</v>
      </c>
      <c r="B6860">
        <v>1</v>
      </c>
    </row>
    <row r="6861" spans="1:2" x14ac:dyDescent="0.35">
      <c r="A6861">
        <v>413</v>
      </c>
      <c r="B6861">
        <v>1</v>
      </c>
    </row>
    <row r="6862" spans="1:2" x14ac:dyDescent="0.35">
      <c r="A6862">
        <v>413</v>
      </c>
      <c r="B6862">
        <v>1</v>
      </c>
    </row>
    <row r="6863" spans="1:2" x14ac:dyDescent="0.35">
      <c r="A6863">
        <v>413</v>
      </c>
      <c r="B6863">
        <v>1</v>
      </c>
    </row>
    <row r="6864" spans="1:2" x14ac:dyDescent="0.35">
      <c r="A6864">
        <v>414</v>
      </c>
      <c r="B6864">
        <v>1</v>
      </c>
    </row>
    <row r="6865" spans="1:2" x14ac:dyDescent="0.35">
      <c r="A6865">
        <v>414</v>
      </c>
      <c r="B6865">
        <v>1</v>
      </c>
    </row>
    <row r="6866" spans="1:2" x14ac:dyDescent="0.35">
      <c r="A6866">
        <v>414</v>
      </c>
      <c r="B6866">
        <v>1</v>
      </c>
    </row>
    <row r="6867" spans="1:2" x14ac:dyDescent="0.35">
      <c r="A6867">
        <v>414</v>
      </c>
      <c r="B6867">
        <v>1</v>
      </c>
    </row>
    <row r="6868" spans="1:2" x14ac:dyDescent="0.35">
      <c r="A6868">
        <v>414</v>
      </c>
      <c r="B6868">
        <v>1</v>
      </c>
    </row>
    <row r="6869" spans="1:2" x14ac:dyDescent="0.35">
      <c r="A6869">
        <v>414</v>
      </c>
      <c r="B6869">
        <v>1</v>
      </c>
    </row>
    <row r="6870" spans="1:2" x14ac:dyDescent="0.35">
      <c r="A6870">
        <v>414</v>
      </c>
      <c r="B6870">
        <v>1</v>
      </c>
    </row>
    <row r="6871" spans="1:2" x14ac:dyDescent="0.35">
      <c r="A6871">
        <v>414</v>
      </c>
      <c r="B6871">
        <v>1</v>
      </c>
    </row>
    <row r="6872" spans="1:2" x14ac:dyDescent="0.35">
      <c r="A6872">
        <v>415</v>
      </c>
      <c r="B6872">
        <v>1</v>
      </c>
    </row>
    <row r="6873" spans="1:2" x14ac:dyDescent="0.35">
      <c r="A6873">
        <v>415</v>
      </c>
      <c r="B6873">
        <v>1</v>
      </c>
    </row>
    <row r="6874" spans="1:2" x14ac:dyDescent="0.35">
      <c r="A6874">
        <v>415</v>
      </c>
      <c r="B6874">
        <v>1</v>
      </c>
    </row>
    <row r="6875" spans="1:2" x14ac:dyDescent="0.35">
      <c r="A6875">
        <v>415</v>
      </c>
      <c r="B6875">
        <v>1</v>
      </c>
    </row>
    <row r="6876" spans="1:2" x14ac:dyDescent="0.35">
      <c r="A6876">
        <v>415</v>
      </c>
      <c r="B6876">
        <v>1</v>
      </c>
    </row>
    <row r="6877" spans="1:2" x14ac:dyDescent="0.35">
      <c r="A6877">
        <v>415</v>
      </c>
      <c r="B6877">
        <v>1</v>
      </c>
    </row>
    <row r="6878" spans="1:2" x14ac:dyDescent="0.35">
      <c r="A6878">
        <v>415</v>
      </c>
      <c r="B6878">
        <v>1</v>
      </c>
    </row>
    <row r="6879" spans="1:2" x14ac:dyDescent="0.35">
      <c r="A6879">
        <v>415</v>
      </c>
      <c r="B6879">
        <v>1</v>
      </c>
    </row>
    <row r="6880" spans="1:2" x14ac:dyDescent="0.35">
      <c r="A6880">
        <v>415</v>
      </c>
      <c r="B6880">
        <v>1</v>
      </c>
    </row>
    <row r="6881" spans="1:2" x14ac:dyDescent="0.35">
      <c r="A6881">
        <v>416</v>
      </c>
      <c r="B6881">
        <v>1</v>
      </c>
    </row>
    <row r="6882" spans="1:2" x14ac:dyDescent="0.35">
      <c r="A6882">
        <v>416</v>
      </c>
      <c r="B6882">
        <v>1</v>
      </c>
    </row>
    <row r="6883" spans="1:2" x14ac:dyDescent="0.35">
      <c r="A6883">
        <v>416</v>
      </c>
      <c r="B6883">
        <v>1</v>
      </c>
    </row>
    <row r="6884" spans="1:2" x14ac:dyDescent="0.35">
      <c r="A6884">
        <v>416</v>
      </c>
      <c r="B6884">
        <v>1</v>
      </c>
    </row>
    <row r="6885" spans="1:2" x14ac:dyDescent="0.35">
      <c r="A6885">
        <v>416</v>
      </c>
      <c r="B6885">
        <v>1</v>
      </c>
    </row>
    <row r="6886" spans="1:2" x14ac:dyDescent="0.35">
      <c r="A6886">
        <v>416</v>
      </c>
      <c r="B6886">
        <v>1</v>
      </c>
    </row>
    <row r="6887" spans="1:2" x14ac:dyDescent="0.35">
      <c r="A6887">
        <v>416</v>
      </c>
      <c r="B6887">
        <v>1</v>
      </c>
    </row>
    <row r="6888" spans="1:2" x14ac:dyDescent="0.35">
      <c r="A6888">
        <v>416</v>
      </c>
      <c r="B6888">
        <v>1</v>
      </c>
    </row>
    <row r="6889" spans="1:2" x14ac:dyDescent="0.35">
      <c r="A6889">
        <v>417</v>
      </c>
      <c r="B6889">
        <v>1</v>
      </c>
    </row>
    <row r="6890" spans="1:2" x14ac:dyDescent="0.35">
      <c r="A6890">
        <v>417</v>
      </c>
      <c r="B6890">
        <v>1</v>
      </c>
    </row>
    <row r="6891" spans="1:2" x14ac:dyDescent="0.35">
      <c r="A6891">
        <v>417</v>
      </c>
      <c r="B6891">
        <v>1</v>
      </c>
    </row>
    <row r="6892" spans="1:2" x14ac:dyDescent="0.35">
      <c r="A6892">
        <v>418</v>
      </c>
      <c r="B6892">
        <v>1</v>
      </c>
    </row>
    <row r="6893" spans="1:2" x14ac:dyDescent="0.35">
      <c r="A6893">
        <v>418</v>
      </c>
      <c r="B6893">
        <v>1</v>
      </c>
    </row>
    <row r="6894" spans="1:2" x14ac:dyDescent="0.35">
      <c r="A6894">
        <v>418</v>
      </c>
      <c r="B6894">
        <v>1</v>
      </c>
    </row>
    <row r="6895" spans="1:2" x14ac:dyDescent="0.35">
      <c r="A6895">
        <v>418</v>
      </c>
      <c r="B6895">
        <v>1</v>
      </c>
    </row>
    <row r="6896" spans="1:2" x14ac:dyDescent="0.35">
      <c r="A6896">
        <v>418</v>
      </c>
      <c r="B6896">
        <v>1</v>
      </c>
    </row>
    <row r="6897" spans="1:2" x14ac:dyDescent="0.35">
      <c r="A6897">
        <v>418</v>
      </c>
      <c r="B6897">
        <v>1</v>
      </c>
    </row>
    <row r="6898" spans="1:2" x14ac:dyDescent="0.35">
      <c r="A6898">
        <v>418</v>
      </c>
      <c r="B6898">
        <v>1</v>
      </c>
    </row>
    <row r="6899" spans="1:2" x14ac:dyDescent="0.35">
      <c r="A6899">
        <v>419</v>
      </c>
      <c r="B6899">
        <v>1</v>
      </c>
    </row>
    <row r="6900" spans="1:2" x14ac:dyDescent="0.35">
      <c r="A6900">
        <v>419</v>
      </c>
      <c r="B6900">
        <v>1</v>
      </c>
    </row>
    <row r="6901" spans="1:2" x14ac:dyDescent="0.35">
      <c r="A6901">
        <v>419</v>
      </c>
      <c r="B6901">
        <v>1</v>
      </c>
    </row>
    <row r="6902" spans="1:2" x14ac:dyDescent="0.35">
      <c r="A6902">
        <v>419</v>
      </c>
      <c r="B6902">
        <v>1</v>
      </c>
    </row>
    <row r="6903" spans="1:2" x14ac:dyDescent="0.35">
      <c r="A6903">
        <v>419</v>
      </c>
      <c r="B6903">
        <v>1</v>
      </c>
    </row>
    <row r="6904" spans="1:2" x14ac:dyDescent="0.35">
      <c r="A6904">
        <v>419</v>
      </c>
      <c r="B6904">
        <v>1</v>
      </c>
    </row>
    <row r="6905" spans="1:2" x14ac:dyDescent="0.35">
      <c r="A6905">
        <v>419</v>
      </c>
      <c r="B6905">
        <v>1</v>
      </c>
    </row>
    <row r="6906" spans="1:2" x14ac:dyDescent="0.35">
      <c r="A6906">
        <v>420</v>
      </c>
      <c r="B6906">
        <v>1</v>
      </c>
    </row>
    <row r="6907" spans="1:2" x14ac:dyDescent="0.35">
      <c r="A6907">
        <v>420</v>
      </c>
      <c r="B6907">
        <v>1</v>
      </c>
    </row>
    <row r="6908" spans="1:2" x14ac:dyDescent="0.35">
      <c r="A6908">
        <v>420</v>
      </c>
      <c r="B6908">
        <v>1</v>
      </c>
    </row>
    <row r="6909" spans="1:2" x14ac:dyDescent="0.35">
      <c r="A6909">
        <v>420</v>
      </c>
      <c r="B6909">
        <v>1</v>
      </c>
    </row>
    <row r="6910" spans="1:2" x14ac:dyDescent="0.35">
      <c r="A6910">
        <v>420</v>
      </c>
      <c r="B6910">
        <v>1</v>
      </c>
    </row>
    <row r="6911" spans="1:2" x14ac:dyDescent="0.35">
      <c r="A6911">
        <v>421</v>
      </c>
      <c r="B6911">
        <v>1</v>
      </c>
    </row>
    <row r="6912" spans="1:2" x14ac:dyDescent="0.35">
      <c r="A6912">
        <v>421</v>
      </c>
      <c r="B6912">
        <v>1</v>
      </c>
    </row>
    <row r="6913" spans="1:2" x14ac:dyDescent="0.35">
      <c r="A6913">
        <v>421</v>
      </c>
      <c r="B6913">
        <v>1</v>
      </c>
    </row>
    <row r="6914" spans="1:2" x14ac:dyDescent="0.35">
      <c r="A6914">
        <v>421</v>
      </c>
      <c r="B6914">
        <v>1</v>
      </c>
    </row>
    <row r="6915" spans="1:2" x14ac:dyDescent="0.35">
      <c r="A6915">
        <v>421</v>
      </c>
      <c r="B6915">
        <v>1</v>
      </c>
    </row>
    <row r="6916" spans="1:2" x14ac:dyDescent="0.35">
      <c r="A6916">
        <v>421</v>
      </c>
      <c r="B6916">
        <v>1</v>
      </c>
    </row>
    <row r="6917" spans="1:2" x14ac:dyDescent="0.35">
      <c r="A6917">
        <v>421</v>
      </c>
      <c r="B6917">
        <v>1</v>
      </c>
    </row>
    <row r="6918" spans="1:2" x14ac:dyDescent="0.35">
      <c r="A6918">
        <v>422</v>
      </c>
      <c r="B6918">
        <v>1</v>
      </c>
    </row>
    <row r="6919" spans="1:2" x14ac:dyDescent="0.35">
      <c r="A6919">
        <v>422</v>
      </c>
      <c r="B6919">
        <v>1</v>
      </c>
    </row>
    <row r="6920" spans="1:2" x14ac:dyDescent="0.35">
      <c r="A6920">
        <v>422</v>
      </c>
      <c r="B6920">
        <v>1</v>
      </c>
    </row>
    <row r="6921" spans="1:2" x14ac:dyDescent="0.35">
      <c r="A6921">
        <v>422</v>
      </c>
      <c r="B6921">
        <v>1</v>
      </c>
    </row>
    <row r="6922" spans="1:2" x14ac:dyDescent="0.35">
      <c r="A6922">
        <v>422</v>
      </c>
      <c r="B6922">
        <v>1</v>
      </c>
    </row>
    <row r="6923" spans="1:2" x14ac:dyDescent="0.35">
      <c r="A6923">
        <v>423</v>
      </c>
      <c r="B6923">
        <v>1</v>
      </c>
    </row>
    <row r="6924" spans="1:2" x14ac:dyDescent="0.35">
      <c r="A6924">
        <v>423</v>
      </c>
      <c r="B6924">
        <v>1</v>
      </c>
    </row>
    <row r="6925" spans="1:2" x14ac:dyDescent="0.35">
      <c r="A6925">
        <v>424</v>
      </c>
      <c r="B6925">
        <v>1</v>
      </c>
    </row>
    <row r="6926" spans="1:2" x14ac:dyDescent="0.35">
      <c r="A6926">
        <v>424</v>
      </c>
      <c r="B6926">
        <v>1</v>
      </c>
    </row>
    <row r="6927" spans="1:2" x14ac:dyDescent="0.35">
      <c r="A6927">
        <v>424</v>
      </c>
      <c r="B6927">
        <v>1</v>
      </c>
    </row>
    <row r="6928" spans="1:2" x14ac:dyDescent="0.35">
      <c r="A6928">
        <v>424</v>
      </c>
      <c r="B6928">
        <v>1</v>
      </c>
    </row>
    <row r="6929" spans="1:2" x14ac:dyDescent="0.35">
      <c r="A6929">
        <v>424</v>
      </c>
      <c r="B6929">
        <v>1</v>
      </c>
    </row>
    <row r="6930" spans="1:2" x14ac:dyDescent="0.35">
      <c r="A6930">
        <v>424</v>
      </c>
      <c r="B6930">
        <v>1</v>
      </c>
    </row>
    <row r="6931" spans="1:2" x14ac:dyDescent="0.35">
      <c r="A6931">
        <v>424</v>
      </c>
      <c r="B6931">
        <v>1</v>
      </c>
    </row>
    <row r="6932" spans="1:2" x14ac:dyDescent="0.35">
      <c r="A6932">
        <v>425</v>
      </c>
      <c r="B6932">
        <v>1</v>
      </c>
    </row>
    <row r="6933" spans="1:2" x14ac:dyDescent="0.35">
      <c r="A6933">
        <v>425</v>
      </c>
      <c r="B6933">
        <v>1</v>
      </c>
    </row>
    <row r="6934" spans="1:2" x14ac:dyDescent="0.35">
      <c r="A6934">
        <v>425</v>
      </c>
      <c r="B6934">
        <v>1</v>
      </c>
    </row>
    <row r="6935" spans="1:2" x14ac:dyDescent="0.35">
      <c r="A6935">
        <v>425</v>
      </c>
      <c r="B6935">
        <v>1</v>
      </c>
    </row>
    <row r="6936" spans="1:2" x14ac:dyDescent="0.35">
      <c r="A6936">
        <v>426</v>
      </c>
      <c r="B6936">
        <v>1</v>
      </c>
    </row>
    <row r="6937" spans="1:2" x14ac:dyDescent="0.35">
      <c r="A6937">
        <v>426</v>
      </c>
      <c r="B6937">
        <v>1</v>
      </c>
    </row>
    <row r="6938" spans="1:2" x14ac:dyDescent="0.35">
      <c r="A6938">
        <v>426</v>
      </c>
      <c r="B6938">
        <v>1</v>
      </c>
    </row>
    <row r="6939" spans="1:2" x14ac:dyDescent="0.35">
      <c r="A6939">
        <v>426</v>
      </c>
      <c r="B6939">
        <v>1</v>
      </c>
    </row>
    <row r="6940" spans="1:2" x14ac:dyDescent="0.35">
      <c r="A6940">
        <v>426</v>
      </c>
      <c r="B6940">
        <v>1</v>
      </c>
    </row>
    <row r="6941" spans="1:2" x14ac:dyDescent="0.35">
      <c r="A6941">
        <v>426</v>
      </c>
      <c r="B6941">
        <v>1</v>
      </c>
    </row>
    <row r="6942" spans="1:2" x14ac:dyDescent="0.35">
      <c r="A6942">
        <v>426</v>
      </c>
      <c r="B6942">
        <v>1</v>
      </c>
    </row>
    <row r="6943" spans="1:2" x14ac:dyDescent="0.35">
      <c r="A6943">
        <v>427</v>
      </c>
      <c r="B6943">
        <v>1</v>
      </c>
    </row>
    <row r="6944" spans="1:2" x14ac:dyDescent="0.35">
      <c r="A6944">
        <v>427</v>
      </c>
      <c r="B6944">
        <v>1</v>
      </c>
    </row>
    <row r="6945" spans="1:2" x14ac:dyDescent="0.35">
      <c r="A6945">
        <v>427</v>
      </c>
      <c r="B6945">
        <v>1</v>
      </c>
    </row>
    <row r="6946" spans="1:2" x14ac:dyDescent="0.35">
      <c r="A6946">
        <v>428</v>
      </c>
      <c r="B6946">
        <v>1</v>
      </c>
    </row>
    <row r="6947" spans="1:2" x14ac:dyDescent="0.35">
      <c r="A6947">
        <v>428</v>
      </c>
      <c r="B6947">
        <v>1</v>
      </c>
    </row>
    <row r="6948" spans="1:2" x14ac:dyDescent="0.35">
      <c r="A6948">
        <v>428</v>
      </c>
      <c r="B6948">
        <v>1</v>
      </c>
    </row>
    <row r="6949" spans="1:2" x14ac:dyDescent="0.35">
      <c r="A6949">
        <v>429</v>
      </c>
      <c r="B6949">
        <v>1</v>
      </c>
    </row>
    <row r="6950" spans="1:2" x14ac:dyDescent="0.35">
      <c r="A6950">
        <v>429</v>
      </c>
      <c r="B6950">
        <v>1</v>
      </c>
    </row>
    <row r="6951" spans="1:2" x14ac:dyDescent="0.35">
      <c r="A6951">
        <v>429</v>
      </c>
      <c r="B6951">
        <v>1</v>
      </c>
    </row>
    <row r="6952" spans="1:2" x14ac:dyDescent="0.35">
      <c r="A6952">
        <v>429</v>
      </c>
      <c r="B6952">
        <v>1</v>
      </c>
    </row>
    <row r="6953" spans="1:2" x14ac:dyDescent="0.35">
      <c r="A6953">
        <v>430</v>
      </c>
      <c r="B6953">
        <v>1</v>
      </c>
    </row>
    <row r="6954" spans="1:2" x14ac:dyDescent="0.35">
      <c r="A6954">
        <v>430</v>
      </c>
      <c r="B6954">
        <v>1</v>
      </c>
    </row>
    <row r="6955" spans="1:2" x14ac:dyDescent="0.35">
      <c r="A6955">
        <v>430</v>
      </c>
      <c r="B6955">
        <v>1</v>
      </c>
    </row>
    <row r="6956" spans="1:2" x14ac:dyDescent="0.35">
      <c r="A6956">
        <v>430</v>
      </c>
      <c r="B6956">
        <v>1</v>
      </c>
    </row>
    <row r="6957" spans="1:2" x14ac:dyDescent="0.35">
      <c r="A6957">
        <v>431</v>
      </c>
      <c r="B6957">
        <v>1</v>
      </c>
    </row>
    <row r="6958" spans="1:2" x14ac:dyDescent="0.35">
      <c r="A6958">
        <v>431</v>
      </c>
      <c r="B6958">
        <v>1</v>
      </c>
    </row>
    <row r="6959" spans="1:2" x14ac:dyDescent="0.35">
      <c r="A6959">
        <v>431</v>
      </c>
      <c r="B6959">
        <v>1</v>
      </c>
    </row>
    <row r="6960" spans="1:2" x14ac:dyDescent="0.35">
      <c r="A6960">
        <v>432</v>
      </c>
      <c r="B6960">
        <v>1</v>
      </c>
    </row>
    <row r="6961" spans="1:2" x14ac:dyDescent="0.35">
      <c r="A6961">
        <v>432</v>
      </c>
      <c r="B6961">
        <v>1</v>
      </c>
    </row>
    <row r="6962" spans="1:2" x14ac:dyDescent="0.35">
      <c r="A6962">
        <v>432</v>
      </c>
      <c r="B6962">
        <v>1</v>
      </c>
    </row>
    <row r="6963" spans="1:2" x14ac:dyDescent="0.35">
      <c r="A6963">
        <v>432</v>
      </c>
      <c r="B6963">
        <v>1</v>
      </c>
    </row>
    <row r="6964" spans="1:2" x14ac:dyDescent="0.35">
      <c r="A6964">
        <v>432</v>
      </c>
      <c r="B6964">
        <v>1</v>
      </c>
    </row>
    <row r="6965" spans="1:2" x14ac:dyDescent="0.35">
      <c r="A6965">
        <v>432</v>
      </c>
      <c r="B6965">
        <v>1</v>
      </c>
    </row>
    <row r="6966" spans="1:2" x14ac:dyDescent="0.35">
      <c r="A6966">
        <v>433</v>
      </c>
      <c r="B6966">
        <v>1</v>
      </c>
    </row>
    <row r="6967" spans="1:2" x14ac:dyDescent="0.35">
      <c r="A6967">
        <v>433</v>
      </c>
      <c r="B6967">
        <v>1</v>
      </c>
    </row>
    <row r="6968" spans="1:2" x14ac:dyDescent="0.35">
      <c r="A6968">
        <v>433</v>
      </c>
      <c r="B6968">
        <v>1</v>
      </c>
    </row>
    <row r="6969" spans="1:2" x14ac:dyDescent="0.35">
      <c r="A6969">
        <v>433</v>
      </c>
      <c r="B6969">
        <v>1</v>
      </c>
    </row>
    <row r="6970" spans="1:2" x14ac:dyDescent="0.35">
      <c r="A6970">
        <v>434</v>
      </c>
      <c r="B6970">
        <v>1</v>
      </c>
    </row>
    <row r="6971" spans="1:2" x14ac:dyDescent="0.35">
      <c r="A6971">
        <v>434</v>
      </c>
      <c r="B6971">
        <v>1</v>
      </c>
    </row>
    <row r="6972" spans="1:2" x14ac:dyDescent="0.35">
      <c r="A6972">
        <v>434</v>
      </c>
      <c r="B6972">
        <v>1</v>
      </c>
    </row>
    <row r="6973" spans="1:2" x14ac:dyDescent="0.35">
      <c r="A6973">
        <v>435</v>
      </c>
      <c r="B6973">
        <v>1</v>
      </c>
    </row>
    <row r="6974" spans="1:2" x14ac:dyDescent="0.35">
      <c r="A6974">
        <v>435</v>
      </c>
      <c r="B6974">
        <v>1</v>
      </c>
    </row>
    <row r="6975" spans="1:2" x14ac:dyDescent="0.35">
      <c r="A6975">
        <v>435</v>
      </c>
      <c r="B6975">
        <v>1</v>
      </c>
    </row>
    <row r="6976" spans="1:2" x14ac:dyDescent="0.35">
      <c r="A6976">
        <v>435</v>
      </c>
      <c r="B6976">
        <v>1</v>
      </c>
    </row>
    <row r="6977" spans="1:2" x14ac:dyDescent="0.35">
      <c r="A6977">
        <v>435</v>
      </c>
      <c r="B6977">
        <v>1</v>
      </c>
    </row>
    <row r="6978" spans="1:2" x14ac:dyDescent="0.35">
      <c r="A6978">
        <v>435</v>
      </c>
      <c r="B6978">
        <v>1</v>
      </c>
    </row>
    <row r="6979" spans="1:2" x14ac:dyDescent="0.35">
      <c r="A6979">
        <v>435</v>
      </c>
      <c r="B6979">
        <v>1</v>
      </c>
    </row>
    <row r="6980" spans="1:2" x14ac:dyDescent="0.35">
      <c r="A6980">
        <v>436</v>
      </c>
      <c r="B6980">
        <v>1</v>
      </c>
    </row>
    <row r="6981" spans="1:2" x14ac:dyDescent="0.35">
      <c r="A6981">
        <v>436</v>
      </c>
      <c r="B6981">
        <v>1</v>
      </c>
    </row>
    <row r="6982" spans="1:2" x14ac:dyDescent="0.35">
      <c r="A6982">
        <v>436</v>
      </c>
      <c r="B6982">
        <v>1</v>
      </c>
    </row>
    <row r="6983" spans="1:2" x14ac:dyDescent="0.35">
      <c r="A6983">
        <v>436</v>
      </c>
      <c r="B6983">
        <v>1</v>
      </c>
    </row>
    <row r="6984" spans="1:2" x14ac:dyDescent="0.35">
      <c r="A6984">
        <v>438</v>
      </c>
      <c r="B6984">
        <v>1</v>
      </c>
    </row>
    <row r="6985" spans="1:2" x14ac:dyDescent="0.35">
      <c r="A6985">
        <v>438</v>
      </c>
      <c r="B6985">
        <v>1</v>
      </c>
    </row>
    <row r="6986" spans="1:2" x14ac:dyDescent="0.35">
      <c r="A6986">
        <v>438</v>
      </c>
      <c r="B6986">
        <v>1</v>
      </c>
    </row>
    <row r="6987" spans="1:2" x14ac:dyDescent="0.35">
      <c r="A6987">
        <v>438</v>
      </c>
      <c r="B6987">
        <v>1</v>
      </c>
    </row>
    <row r="6988" spans="1:2" x14ac:dyDescent="0.35">
      <c r="A6988">
        <v>438</v>
      </c>
      <c r="B6988">
        <v>1</v>
      </c>
    </row>
    <row r="6989" spans="1:2" x14ac:dyDescent="0.35">
      <c r="A6989">
        <v>439</v>
      </c>
      <c r="B6989">
        <v>1</v>
      </c>
    </row>
    <row r="6990" spans="1:2" x14ac:dyDescent="0.35">
      <c r="A6990">
        <v>439</v>
      </c>
      <c r="B6990">
        <v>1</v>
      </c>
    </row>
    <row r="6991" spans="1:2" x14ac:dyDescent="0.35">
      <c r="A6991">
        <v>439</v>
      </c>
      <c r="B6991">
        <v>1</v>
      </c>
    </row>
    <row r="6992" spans="1:2" x14ac:dyDescent="0.35">
      <c r="A6992">
        <v>439</v>
      </c>
      <c r="B6992">
        <v>1</v>
      </c>
    </row>
    <row r="6993" spans="1:2" x14ac:dyDescent="0.35">
      <c r="A6993">
        <v>439</v>
      </c>
      <c r="B6993">
        <v>1</v>
      </c>
    </row>
    <row r="6994" spans="1:2" x14ac:dyDescent="0.35">
      <c r="A6994">
        <v>439</v>
      </c>
      <c r="B6994">
        <v>1</v>
      </c>
    </row>
    <row r="6995" spans="1:2" x14ac:dyDescent="0.35">
      <c r="A6995">
        <v>440</v>
      </c>
      <c r="B6995">
        <v>1</v>
      </c>
    </row>
    <row r="6996" spans="1:2" x14ac:dyDescent="0.35">
      <c r="A6996">
        <v>440</v>
      </c>
      <c r="B6996">
        <v>1</v>
      </c>
    </row>
    <row r="6997" spans="1:2" x14ac:dyDescent="0.35">
      <c r="A6997">
        <v>440</v>
      </c>
      <c r="B6997">
        <v>1</v>
      </c>
    </row>
    <row r="6998" spans="1:2" x14ac:dyDescent="0.35">
      <c r="A6998">
        <v>440</v>
      </c>
      <c r="B6998">
        <v>1</v>
      </c>
    </row>
    <row r="6999" spans="1:2" x14ac:dyDescent="0.35">
      <c r="A6999">
        <v>440</v>
      </c>
      <c r="B6999">
        <v>1</v>
      </c>
    </row>
    <row r="7000" spans="1:2" x14ac:dyDescent="0.35">
      <c r="A7000">
        <v>440</v>
      </c>
      <c r="B7000">
        <v>1</v>
      </c>
    </row>
    <row r="7001" spans="1:2" x14ac:dyDescent="0.35">
      <c r="A7001">
        <v>441</v>
      </c>
      <c r="B7001">
        <v>1</v>
      </c>
    </row>
    <row r="7002" spans="1:2" x14ac:dyDescent="0.35">
      <c r="A7002">
        <v>441</v>
      </c>
      <c r="B7002">
        <v>1</v>
      </c>
    </row>
    <row r="7003" spans="1:2" x14ac:dyDescent="0.35">
      <c r="A7003">
        <v>441</v>
      </c>
      <c r="B7003">
        <v>1</v>
      </c>
    </row>
    <row r="7004" spans="1:2" x14ac:dyDescent="0.35">
      <c r="A7004">
        <v>442</v>
      </c>
      <c r="B7004">
        <v>1</v>
      </c>
    </row>
    <row r="7005" spans="1:2" x14ac:dyDescent="0.35">
      <c r="A7005">
        <v>442</v>
      </c>
      <c r="B7005">
        <v>1</v>
      </c>
    </row>
    <row r="7006" spans="1:2" x14ac:dyDescent="0.35">
      <c r="A7006">
        <v>442</v>
      </c>
      <c r="B7006">
        <v>1</v>
      </c>
    </row>
    <row r="7007" spans="1:2" x14ac:dyDescent="0.35">
      <c r="A7007">
        <v>442</v>
      </c>
      <c r="B7007">
        <v>1</v>
      </c>
    </row>
    <row r="7008" spans="1:2" x14ac:dyDescent="0.35">
      <c r="A7008">
        <v>442</v>
      </c>
      <c r="B7008">
        <v>1</v>
      </c>
    </row>
    <row r="7009" spans="1:2" x14ac:dyDescent="0.35">
      <c r="A7009">
        <v>443</v>
      </c>
      <c r="B7009">
        <v>1</v>
      </c>
    </row>
    <row r="7010" spans="1:2" x14ac:dyDescent="0.35">
      <c r="A7010">
        <v>443</v>
      </c>
      <c r="B7010">
        <v>1</v>
      </c>
    </row>
    <row r="7011" spans="1:2" x14ac:dyDescent="0.35">
      <c r="A7011">
        <v>443</v>
      </c>
      <c r="B7011">
        <v>1</v>
      </c>
    </row>
    <row r="7012" spans="1:2" x14ac:dyDescent="0.35">
      <c r="A7012">
        <v>443</v>
      </c>
      <c r="B7012">
        <v>1</v>
      </c>
    </row>
    <row r="7013" spans="1:2" x14ac:dyDescent="0.35">
      <c r="A7013">
        <v>444</v>
      </c>
      <c r="B7013">
        <v>1</v>
      </c>
    </row>
    <row r="7014" spans="1:2" x14ac:dyDescent="0.35">
      <c r="A7014">
        <v>444</v>
      </c>
      <c r="B7014">
        <v>1</v>
      </c>
    </row>
    <row r="7015" spans="1:2" x14ac:dyDescent="0.35">
      <c r="A7015">
        <v>444</v>
      </c>
      <c r="B7015">
        <v>1</v>
      </c>
    </row>
    <row r="7016" spans="1:2" x14ac:dyDescent="0.35">
      <c r="A7016">
        <v>444</v>
      </c>
      <c r="B7016">
        <v>1</v>
      </c>
    </row>
    <row r="7017" spans="1:2" x14ac:dyDescent="0.35">
      <c r="A7017">
        <v>444</v>
      </c>
      <c r="B7017">
        <v>1</v>
      </c>
    </row>
    <row r="7018" spans="1:2" x14ac:dyDescent="0.35">
      <c r="A7018">
        <v>444</v>
      </c>
      <c r="B7018">
        <v>1</v>
      </c>
    </row>
    <row r="7019" spans="1:2" x14ac:dyDescent="0.35">
      <c r="A7019">
        <v>445</v>
      </c>
      <c r="B7019">
        <v>1</v>
      </c>
    </row>
    <row r="7020" spans="1:2" x14ac:dyDescent="0.35">
      <c r="A7020">
        <v>445</v>
      </c>
      <c r="B7020">
        <v>1</v>
      </c>
    </row>
    <row r="7021" spans="1:2" x14ac:dyDescent="0.35">
      <c r="A7021">
        <v>445</v>
      </c>
      <c r="B7021">
        <v>1</v>
      </c>
    </row>
    <row r="7022" spans="1:2" x14ac:dyDescent="0.35">
      <c r="A7022">
        <v>445</v>
      </c>
      <c r="B7022">
        <v>1</v>
      </c>
    </row>
    <row r="7023" spans="1:2" x14ac:dyDescent="0.35">
      <c r="A7023">
        <v>445</v>
      </c>
      <c r="B7023">
        <v>1</v>
      </c>
    </row>
    <row r="7024" spans="1:2" x14ac:dyDescent="0.35">
      <c r="A7024">
        <v>445</v>
      </c>
      <c r="B7024">
        <v>1</v>
      </c>
    </row>
    <row r="7025" spans="1:2" x14ac:dyDescent="0.35">
      <c r="A7025">
        <v>445</v>
      </c>
      <c r="B7025">
        <v>1</v>
      </c>
    </row>
    <row r="7026" spans="1:2" x14ac:dyDescent="0.35">
      <c r="A7026">
        <v>446</v>
      </c>
      <c r="B7026">
        <v>1</v>
      </c>
    </row>
    <row r="7027" spans="1:2" x14ac:dyDescent="0.35">
      <c r="A7027">
        <v>446</v>
      </c>
      <c r="B7027">
        <v>1</v>
      </c>
    </row>
    <row r="7028" spans="1:2" x14ac:dyDescent="0.35">
      <c r="A7028">
        <v>446</v>
      </c>
      <c r="B7028">
        <v>1</v>
      </c>
    </row>
    <row r="7029" spans="1:2" x14ac:dyDescent="0.35">
      <c r="A7029">
        <v>446</v>
      </c>
      <c r="B7029">
        <v>1</v>
      </c>
    </row>
    <row r="7030" spans="1:2" x14ac:dyDescent="0.35">
      <c r="A7030">
        <v>446</v>
      </c>
      <c r="B7030">
        <v>1</v>
      </c>
    </row>
    <row r="7031" spans="1:2" x14ac:dyDescent="0.35">
      <c r="A7031">
        <v>446</v>
      </c>
      <c r="B7031">
        <v>1</v>
      </c>
    </row>
    <row r="7032" spans="1:2" x14ac:dyDescent="0.35">
      <c r="A7032">
        <v>446</v>
      </c>
      <c r="B7032">
        <v>1</v>
      </c>
    </row>
    <row r="7033" spans="1:2" x14ac:dyDescent="0.35">
      <c r="A7033">
        <v>447</v>
      </c>
      <c r="B7033">
        <v>1</v>
      </c>
    </row>
    <row r="7034" spans="1:2" x14ac:dyDescent="0.35">
      <c r="A7034">
        <v>447</v>
      </c>
      <c r="B7034">
        <v>1</v>
      </c>
    </row>
    <row r="7035" spans="1:2" x14ac:dyDescent="0.35">
      <c r="A7035">
        <v>447</v>
      </c>
      <c r="B7035">
        <v>1</v>
      </c>
    </row>
    <row r="7036" spans="1:2" x14ac:dyDescent="0.35">
      <c r="A7036">
        <v>447</v>
      </c>
      <c r="B7036">
        <v>1</v>
      </c>
    </row>
    <row r="7037" spans="1:2" x14ac:dyDescent="0.35">
      <c r="A7037">
        <v>447</v>
      </c>
      <c r="B7037">
        <v>1</v>
      </c>
    </row>
    <row r="7038" spans="1:2" x14ac:dyDescent="0.35">
      <c r="A7038">
        <v>447</v>
      </c>
      <c r="B7038">
        <v>1</v>
      </c>
    </row>
    <row r="7039" spans="1:2" x14ac:dyDescent="0.35">
      <c r="A7039">
        <v>448</v>
      </c>
      <c r="B7039">
        <v>1</v>
      </c>
    </row>
    <row r="7040" spans="1:2" x14ac:dyDescent="0.35">
      <c r="A7040">
        <v>449</v>
      </c>
      <c r="B7040">
        <v>1</v>
      </c>
    </row>
    <row r="7041" spans="1:2" x14ac:dyDescent="0.35">
      <c r="A7041">
        <v>449</v>
      </c>
      <c r="B7041">
        <v>1</v>
      </c>
    </row>
    <row r="7042" spans="1:2" x14ac:dyDescent="0.35">
      <c r="A7042">
        <v>449</v>
      </c>
      <c r="B7042">
        <v>1</v>
      </c>
    </row>
    <row r="7043" spans="1:2" x14ac:dyDescent="0.35">
      <c r="A7043">
        <v>449</v>
      </c>
      <c r="B7043">
        <v>1</v>
      </c>
    </row>
    <row r="7044" spans="1:2" x14ac:dyDescent="0.35">
      <c r="A7044">
        <v>449</v>
      </c>
      <c r="B7044">
        <v>1</v>
      </c>
    </row>
    <row r="7045" spans="1:2" x14ac:dyDescent="0.35">
      <c r="A7045">
        <v>449</v>
      </c>
      <c r="B7045">
        <v>1</v>
      </c>
    </row>
    <row r="7046" spans="1:2" x14ac:dyDescent="0.35">
      <c r="A7046">
        <v>449</v>
      </c>
      <c r="B7046">
        <v>1</v>
      </c>
    </row>
    <row r="7047" spans="1:2" x14ac:dyDescent="0.35">
      <c r="A7047">
        <v>450</v>
      </c>
      <c r="B7047">
        <v>1</v>
      </c>
    </row>
    <row r="7048" spans="1:2" x14ac:dyDescent="0.35">
      <c r="A7048">
        <v>450</v>
      </c>
      <c r="B7048">
        <v>1</v>
      </c>
    </row>
    <row r="7049" spans="1:2" x14ac:dyDescent="0.35">
      <c r="A7049">
        <v>450</v>
      </c>
      <c r="B7049">
        <v>1</v>
      </c>
    </row>
    <row r="7050" spans="1:2" x14ac:dyDescent="0.35">
      <c r="A7050">
        <v>450</v>
      </c>
      <c r="B7050">
        <v>1</v>
      </c>
    </row>
    <row r="7051" spans="1:2" x14ac:dyDescent="0.35">
      <c r="A7051">
        <v>450</v>
      </c>
      <c r="B7051">
        <v>1</v>
      </c>
    </row>
    <row r="7052" spans="1:2" x14ac:dyDescent="0.35">
      <c r="A7052">
        <v>451</v>
      </c>
      <c r="B7052">
        <v>1</v>
      </c>
    </row>
    <row r="7053" spans="1:2" x14ac:dyDescent="0.35">
      <c r="A7053">
        <v>451</v>
      </c>
      <c r="B7053">
        <v>1</v>
      </c>
    </row>
    <row r="7054" spans="1:2" x14ac:dyDescent="0.35">
      <c r="A7054">
        <v>451</v>
      </c>
      <c r="B7054">
        <v>1</v>
      </c>
    </row>
    <row r="7055" spans="1:2" x14ac:dyDescent="0.35">
      <c r="A7055">
        <v>451</v>
      </c>
      <c r="B7055">
        <v>1</v>
      </c>
    </row>
    <row r="7056" spans="1:2" x14ac:dyDescent="0.35">
      <c r="A7056">
        <v>451</v>
      </c>
      <c r="B7056">
        <v>1</v>
      </c>
    </row>
    <row r="7057" spans="1:2" x14ac:dyDescent="0.35">
      <c r="A7057">
        <v>451</v>
      </c>
      <c r="B7057">
        <v>1</v>
      </c>
    </row>
    <row r="7058" spans="1:2" x14ac:dyDescent="0.35">
      <c r="A7058">
        <v>452</v>
      </c>
      <c r="B7058">
        <v>1</v>
      </c>
    </row>
    <row r="7059" spans="1:2" x14ac:dyDescent="0.35">
      <c r="A7059">
        <v>452</v>
      </c>
      <c r="B7059">
        <v>1</v>
      </c>
    </row>
    <row r="7060" spans="1:2" x14ac:dyDescent="0.35">
      <c r="A7060">
        <v>452</v>
      </c>
      <c r="B7060">
        <v>1</v>
      </c>
    </row>
    <row r="7061" spans="1:2" x14ac:dyDescent="0.35">
      <c r="A7061">
        <v>452</v>
      </c>
      <c r="B7061">
        <v>1</v>
      </c>
    </row>
    <row r="7062" spans="1:2" x14ac:dyDescent="0.35">
      <c r="A7062">
        <v>452</v>
      </c>
      <c r="B7062">
        <v>1</v>
      </c>
    </row>
    <row r="7063" spans="1:2" x14ac:dyDescent="0.35">
      <c r="A7063">
        <v>452</v>
      </c>
      <c r="B7063">
        <v>1</v>
      </c>
    </row>
    <row r="7064" spans="1:2" x14ac:dyDescent="0.35">
      <c r="A7064">
        <v>453</v>
      </c>
      <c r="B7064">
        <v>1</v>
      </c>
    </row>
    <row r="7065" spans="1:2" x14ac:dyDescent="0.35">
      <c r="A7065">
        <v>453</v>
      </c>
      <c r="B7065">
        <v>1</v>
      </c>
    </row>
    <row r="7066" spans="1:2" x14ac:dyDescent="0.35">
      <c r="A7066">
        <v>454</v>
      </c>
      <c r="B7066">
        <v>1</v>
      </c>
    </row>
    <row r="7067" spans="1:2" x14ac:dyDescent="0.35">
      <c r="A7067">
        <v>454</v>
      </c>
      <c r="B7067">
        <v>1</v>
      </c>
    </row>
    <row r="7068" spans="1:2" x14ac:dyDescent="0.35">
      <c r="A7068">
        <v>454</v>
      </c>
      <c r="B7068">
        <v>1</v>
      </c>
    </row>
    <row r="7069" spans="1:2" x14ac:dyDescent="0.35">
      <c r="A7069">
        <v>454</v>
      </c>
      <c r="B7069">
        <v>1</v>
      </c>
    </row>
    <row r="7070" spans="1:2" x14ac:dyDescent="0.35">
      <c r="A7070">
        <v>454</v>
      </c>
      <c r="B7070">
        <v>1</v>
      </c>
    </row>
    <row r="7071" spans="1:2" x14ac:dyDescent="0.35">
      <c r="A7071">
        <v>454</v>
      </c>
      <c r="B7071">
        <v>1</v>
      </c>
    </row>
    <row r="7072" spans="1:2" x14ac:dyDescent="0.35">
      <c r="A7072">
        <v>454</v>
      </c>
      <c r="B7072">
        <v>1</v>
      </c>
    </row>
    <row r="7073" spans="1:2" x14ac:dyDescent="0.35">
      <c r="A7073">
        <v>454</v>
      </c>
      <c r="B7073">
        <v>1</v>
      </c>
    </row>
    <row r="7074" spans="1:2" x14ac:dyDescent="0.35">
      <c r="A7074">
        <v>455</v>
      </c>
      <c r="B7074">
        <v>1</v>
      </c>
    </row>
    <row r="7075" spans="1:2" x14ac:dyDescent="0.35">
      <c r="A7075">
        <v>455</v>
      </c>
      <c r="B7075">
        <v>1</v>
      </c>
    </row>
    <row r="7076" spans="1:2" x14ac:dyDescent="0.35">
      <c r="A7076">
        <v>456</v>
      </c>
      <c r="B7076">
        <v>1</v>
      </c>
    </row>
    <row r="7077" spans="1:2" x14ac:dyDescent="0.35">
      <c r="A7077">
        <v>456</v>
      </c>
      <c r="B7077">
        <v>1</v>
      </c>
    </row>
    <row r="7078" spans="1:2" x14ac:dyDescent="0.35">
      <c r="A7078">
        <v>456</v>
      </c>
      <c r="B7078">
        <v>1</v>
      </c>
    </row>
    <row r="7079" spans="1:2" x14ac:dyDescent="0.35">
      <c r="A7079">
        <v>457</v>
      </c>
      <c r="B7079">
        <v>1</v>
      </c>
    </row>
    <row r="7080" spans="1:2" x14ac:dyDescent="0.35">
      <c r="A7080">
        <v>457</v>
      </c>
      <c r="B7080">
        <v>1</v>
      </c>
    </row>
    <row r="7081" spans="1:2" x14ac:dyDescent="0.35">
      <c r="A7081">
        <v>458</v>
      </c>
      <c r="B7081">
        <v>1</v>
      </c>
    </row>
    <row r="7082" spans="1:2" x14ac:dyDescent="0.35">
      <c r="A7082">
        <v>458</v>
      </c>
      <c r="B7082">
        <v>1</v>
      </c>
    </row>
    <row r="7083" spans="1:2" x14ac:dyDescent="0.35">
      <c r="A7083">
        <v>458</v>
      </c>
      <c r="B7083">
        <v>1</v>
      </c>
    </row>
    <row r="7084" spans="1:2" x14ac:dyDescent="0.35">
      <c r="A7084">
        <v>458</v>
      </c>
      <c r="B7084">
        <v>1</v>
      </c>
    </row>
    <row r="7085" spans="1:2" x14ac:dyDescent="0.35">
      <c r="A7085">
        <v>458</v>
      </c>
      <c r="B7085">
        <v>1</v>
      </c>
    </row>
    <row r="7086" spans="1:2" x14ac:dyDescent="0.35">
      <c r="A7086">
        <v>458</v>
      </c>
      <c r="B7086">
        <v>1</v>
      </c>
    </row>
    <row r="7087" spans="1:2" x14ac:dyDescent="0.35">
      <c r="A7087">
        <v>458</v>
      </c>
      <c r="B7087">
        <v>1</v>
      </c>
    </row>
    <row r="7088" spans="1:2" x14ac:dyDescent="0.35">
      <c r="A7088">
        <v>459</v>
      </c>
      <c r="B7088">
        <v>1</v>
      </c>
    </row>
    <row r="7089" spans="1:2" x14ac:dyDescent="0.35">
      <c r="A7089">
        <v>460</v>
      </c>
      <c r="B7089">
        <v>1</v>
      </c>
    </row>
    <row r="7090" spans="1:2" x14ac:dyDescent="0.35">
      <c r="A7090">
        <v>460</v>
      </c>
      <c r="B7090">
        <v>1</v>
      </c>
    </row>
    <row r="7091" spans="1:2" x14ac:dyDescent="0.35">
      <c r="A7091">
        <v>460</v>
      </c>
      <c r="B7091">
        <v>1</v>
      </c>
    </row>
    <row r="7092" spans="1:2" x14ac:dyDescent="0.35">
      <c r="A7092">
        <v>460</v>
      </c>
      <c r="B7092">
        <v>1</v>
      </c>
    </row>
    <row r="7093" spans="1:2" x14ac:dyDescent="0.35">
      <c r="A7093">
        <v>460</v>
      </c>
      <c r="B7093">
        <v>1</v>
      </c>
    </row>
    <row r="7094" spans="1:2" x14ac:dyDescent="0.35">
      <c r="A7094">
        <v>460</v>
      </c>
      <c r="B7094">
        <v>1</v>
      </c>
    </row>
    <row r="7095" spans="1:2" x14ac:dyDescent="0.35">
      <c r="A7095">
        <v>461</v>
      </c>
      <c r="B7095">
        <v>1</v>
      </c>
    </row>
    <row r="7096" spans="1:2" x14ac:dyDescent="0.35">
      <c r="A7096">
        <v>461</v>
      </c>
      <c r="B7096">
        <v>1</v>
      </c>
    </row>
    <row r="7097" spans="1:2" x14ac:dyDescent="0.35">
      <c r="A7097">
        <v>461</v>
      </c>
      <c r="B7097">
        <v>1</v>
      </c>
    </row>
    <row r="7098" spans="1:2" x14ac:dyDescent="0.35">
      <c r="A7098">
        <v>461</v>
      </c>
      <c r="B7098">
        <v>1</v>
      </c>
    </row>
    <row r="7099" spans="1:2" x14ac:dyDescent="0.35">
      <c r="A7099">
        <v>461</v>
      </c>
      <c r="B7099">
        <v>1</v>
      </c>
    </row>
    <row r="7100" spans="1:2" x14ac:dyDescent="0.35">
      <c r="A7100">
        <v>462</v>
      </c>
      <c r="B7100">
        <v>1</v>
      </c>
    </row>
    <row r="7101" spans="1:2" x14ac:dyDescent="0.35">
      <c r="A7101">
        <v>462</v>
      </c>
      <c r="B7101">
        <v>1</v>
      </c>
    </row>
    <row r="7102" spans="1:2" x14ac:dyDescent="0.35">
      <c r="A7102">
        <v>462</v>
      </c>
      <c r="B7102">
        <v>1</v>
      </c>
    </row>
    <row r="7103" spans="1:2" x14ac:dyDescent="0.35">
      <c r="A7103">
        <v>462</v>
      </c>
      <c r="B7103">
        <v>1</v>
      </c>
    </row>
    <row r="7104" spans="1:2" x14ac:dyDescent="0.35">
      <c r="A7104">
        <v>462</v>
      </c>
      <c r="B7104">
        <v>1</v>
      </c>
    </row>
    <row r="7105" spans="1:2" x14ac:dyDescent="0.35">
      <c r="A7105">
        <v>463</v>
      </c>
      <c r="B7105">
        <v>1</v>
      </c>
    </row>
    <row r="7106" spans="1:2" x14ac:dyDescent="0.35">
      <c r="A7106">
        <v>463</v>
      </c>
      <c r="B7106">
        <v>1</v>
      </c>
    </row>
    <row r="7107" spans="1:2" x14ac:dyDescent="0.35">
      <c r="A7107">
        <v>463</v>
      </c>
      <c r="B7107">
        <v>1</v>
      </c>
    </row>
    <row r="7108" spans="1:2" x14ac:dyDescent="0.35">
      <c r="A7108">
        <v>463</v>
      </c>
      <c r="B7108">
        <v>1</v>
      </c>
    </row>
    <row r="7109" spans="1:2" x14ac:dyDescent="0.35">
      <c r="A7109">
        <v>464</v>
      </c>
      <c r="B7109">
        <v>1</v>
      </c>
    </row>
    <row r="7110" spans="1:2" x14ac:dyDescent="0.35">
      <c r="A7110">
        <v>464</v>
      </c>
      <c r="B7110">
        <v>1</v>
      </c>
    </row>
    <row r="7111" spans="1:2" x14ac:dyDescent="0.35">
      <c r="A7111">
        <v>464</v>
      </c>
      <c r="B7111">
        <v>1</v>
      </c>
    </row>
    <row r="7112" spans="1:2" x14ac:dyDescent="0.35">
      <c r="A7112">
        <v>464</v>
      </c>
      <c r="B7112">
        <v>1</v>
      </c>
    </row>
    <row r="7113" spans="1:2" x14ac:dyDescent="0.35">
      <c r="A7113">
        <v>464</v>
      </c>
      <c r="B7113">
        <v>1</v>
      </c>
    </row>
    <row r="7114" spans="1:2" x14ac:dyDescent="0.35">
      <c r="A7114">
        <v>465</v>
      </c>
      <c r="B7114">
        <v>1</v>
      </c>
    </row>
    <row r="7115" spans="1:2" x14ac:dyDescent="0.35">
      <c r="A7115">
        <v>465</v>
      </c>
      <c r="B7115">
        <v>1</v>
      </c>
    </row>
    <row r="7116" spans="1:2" x14ac:dyDescent="0.35">
      <c r="A7116">
        <v>465</v>
      </c>
      <c r="B7116">
        <v>1</v>
      </c>
    </row>
    <row r="7117" spans="1:2" x14ac:dyDescent="0.35">
      <c r="A7117">
        <v>465</v>
      </c>
      <c r="B7117">
        <v>1</v>
      </c>
    </row>
    <row r="7118" spans="1:2" x14ac:dyDescent="0.35">
      <c r="A7118">
        <v>465</v>
      </c>
      <c r="B7118">
        <v>1</v>
      </c>
    </row>
    <row r="7119" spans="1:2" x14ac:dyDescent="0.35">
      <c r="A7119">
        <v>465</v>
      </c>
      <c r="B7119">
        <v>1</v>
      </c>
    </row>
    <row r="7120" spans="1:2" x14ac:dyDescent="0.35">
      <c r="A7120">
        <v>465</v>
      </c>
      <c r="B7120">
        <v>1</v>
      </c>
    </row>
    <row r="7121" spans="1:2" x14ac:dyDescent="0.35">
      <c r="A7121">
        <v>466</v>
      </c>
      <c r="B7121">
        <v>1</v>
      </c>
    </row>
    <row r="7122" spans="1:2" x14ac:dyDescent="0.35">
      <c r="A7122">
        <v>466</v>
      </c>
      <c r="B7122">
        <v>1</v>
      </c>
    </row>
    <row r="7123" spans="1:2" x14ac:dyDescent="0.35">
      <c r="A7123">
        <v>466</v>
      </c>
      <c r="B7123">
        <v>1</v>
      </c>
    </row>
    <row r="7124" spans="1:2" x14ac:dyDescent="0.35">
      <c r="A7124">
        <v>467</v>
      </c>
      <c r="B7124">
        <v>1</v>
      </c>
    </row>
    <row r="7125" spans="1:2" x14ac:dyDescent="0.35">
      <c r="A7125">
        <v>467</v>
      </c>
      <c r="B7125">
        <v>1</v>
      </c>
    </row>
    <row r="7126" spans="1:2" x14ac:dyDescent="0.35">
      <c r="A7126">
        <v>467</v>
      </c>
      <c r="B7126">
        <v>1</v>
      </c>
    </row>
    <row r="7127" spans="1:2" x14ac:dyDescent="0.35">
      <c r="A7127">
        <v>467</v>
      </c>
      <c r="B7127">
        <v>1</v>
      </c>
    </row>
    <row r="7128" spans="1:2" x14ac:dyDescent="0.35">
      <c r="A7128">
        <v>467</v>
      </c>
      <c r="B7128">
        <v>1</v>
      </c>
    </row>
    <row r="7129" spans="1:2" x14ac:dyDescent="0.35">
      <c r="A7129">
        <v>468</v>
      </c>
      <c r="B7129">
        <v>1</v>
      </c>
    </row>
    <row r="7130" spans="1:2" x14ac:dyDescent="0.35">
      <c r="A7130">
        <v>468</v>
      </c>
      <c r="B7130">
        <v>1</v>
      </c>
    </row>
    <row r="7131" spans="1:2" x14ac:dyDescent="0.35">
      <c r="A7131">
        <v>468</v>
      </c>
      <c r="B7131">
        <v>1</v>
      </c>
    </row>
    <row r="7132" spans="1:2" x14ac:dyDescent="0.35">
      <c r="A7132">
        <v>468</v>
      </c>
      <c r="B7132">
        <v>1</v>
      </c>
    </row>
    <row r="7133" spans="1:2" x14ac:dyDescent="0.35">
      <c r="A7133">
        <v>468</v>
      </c>
      <c r="B7133">
        <v>1</v>
      </c>
    </row>
    <row r="7134" spans="1:2" x14ac:dyDescent="0.35">
      <c r="A7134">
        <v>469</v>
      </c>
      <c r="B7134">
        <v>1</v>
      </c>
    </row>
    <row r="7135" spans="1:2" x14ac:dyDescent="0.35">
      <c r="A7135">
        <v>469</v>
      </c>
      <c r="B7135">
        <v>1</v>
      </c>
    </row>
    <row r="7136" spans="1:2" x14ac:dyDescent="0.35">
      <c r="A7136">
        <v>469</v>
      </c>
      <c r="B7136">
        <v>1</v>
      </c>
    </row>
    <row r="7137" spans="1:2" x14ac:dyDescent="0.35">
      <c r="A7137">
        <v>469</v>
      </c>
      <c r="B7137">
        <v>1</v>
      </c>
    </row>
    <row r="7138" spans="1:2" x14ac:dyDescent="0.35">
      <c r="A7138">
        <v>469</v>
      </c>
      <c r="B7138">
        <v>1</v>
      </c>
    </row>
    <row r="7139" spans="1:2" x14ac:dyDescent="0.35">
      <c r="A7139">
        <v>469</v>
      </c>
      <c r="B7139">
        <v>1</v>
      </c>
    </row>
    <row r="7140" spans="1:2" x14ac:dyDescent="0.35">
      <c r="A7140">
        <v>469</v>
      </c>
      <c r="B7140">
        <v>1</v>
      </c>
    </row>
    <row r="7141" spans="1:2" x14ac:dyDescent="0.35">
      <c r="A7141">
        <v>470</v>
      </c>
      <c r="B7141">
        <v>1</v>
      </c>
    </row>
    <row r="7142" spans="1:2" x14ac:dyDescent="0.35">
      <c r="A7142">
        <v>470</v>
      </c>
      <c r="B7142">
        <v>1</v>
      </c>
    </row>
    <row r="7143" spans="1:2" x14ac:dyDescent="0.35">
      <c r="A7143">
        <v>470</v>
      </c>
      <c r="B7143">
        <v>1</v>
      </c>
    </row>
    <row r="7144" spans="1:2" x14ac:dyDescent="0.35">
      <c r="A7144">
        <v>470</v>
      </c>
      <c r="B7144">
        <v>1</v>
      </c>
    </row>
    <row r="7145" spans="1:2" x14ac:dyDescent="0.35">
      <c r="A7145">
        <v>470</v>
      </c>
      <c r="B7145">
        <v>1</v>
      </c>
    </row>
    <row r="7146" spans="1:2" x14ac:dyDescent="0.35">
      <c r="A7146">
        <v>471</v>
      </c>
      <c r="B7146">
        <v>1</v>
      </c>
    </row>
    <row r="7147" spans="1:2" x14ac:dyDescent="0.35">
      <c r="A7147">
        <v>471</v>
      </c>
      <c r="B7147">
        <v>1</v>
      </c>
    </row>
    <row r="7148" spans="1:2" x14ac:dyDescent="0.35">
      <c r="A7148">
        <v>471</v>
      </c>
      <c r="B7148">
        <v>1</v>
      </c>
    </row>
    <row r="7149" spans="1:2" x14ac:dyDescent="0.35">
      <c r="A7149">
        <v>471</v>
      </c>
      <c r="B7149">
        <v>1</v>
      </c>
    </row>
    <row r="7150" spans="1:2" x14ac:dyDescent="0.35">
      <c r="A7150">
        <v>472</v>
      </c>
      <c r="B7150">
        <v>1</v>
      </c>
    </row>
    <row r="7151" spans="1:2" x14ac:dyDescent="0.35">
      <c r="A7151">
        <v>472</v>
      </c>
      <c r="B7151">
        <v>1</v>
      </c>
    </row>
    <row r="7152" spans="1:2" x14ac:dyDescent="0.35">
      <c r="A7152">
        <v>472</v>
      </c>
      <c r="B7152">
        <v>1</v>
      </c>
    </row>
    <row r="7153" spans="1:2" x14ac:dyDescent="0.35">
      <c r="A7153">
        <v>472</v>
      </c>
      <c r="B7153">
        <v>1</v>
      </c>
    </row>
    <row r="7154" spans="1:2" x14ac:dyDescent="0.35">
      <c r="A7154">
        <v>472</v>
      </c>
      <c r="B7154">
        <v>1</v>
      </c>
    </row>
    <row r="7155" spans="1:2" x14ac:dyDescent="0.35">
      <c r="A7155">
        <v>473</v>
      </c>
      <c r="B7155">
        <v>1</v>
      </c>
    </row>
    <row r="7156" spans="1:2" x14ac:dyDescent="0.35">
      <c r="A7156">
        <v>473</v>
      </c>
      <c r="B7156">
        <v>1</v>
      </c>
    </row>
    <row r="7157" spans="1:2" x14ac:dyDescent="0.35">
      <c r="A7157">
        <v>473</v>
      </c>
      <c r="B7157">
        <v>1</v>
      </c>
    </row>
    <row r="7158" spans="1:2" x14ac:dyDescent="0.35">
      <c r="A7158">
        <v>473</v>
      </c>
      <c r="B7158">
        <v>1</v>
      </c>
    </row>
    <row r="7159" spans="1:2" x14ac:dyDescent="0.35">
      <c r="A7159">
        <v>473</v>
      </c>
      <c r="B7159">
        <v>1</v>
      </c>
    </row>
    <row r="7160" spans="1:2" x14ac:dyDescent="0.35">
      <c r="A7160">
        <v>474</v>
      </c>
      <c r="B7160">
        <v>1</v>
      </c>
    </row>
    <row r="7161" spans="1:2" x14ac:dyDescent="0.35">
      <c r="A7161">
        <v>474</v>
      </c>
      <c r="B7161">
        <v>1</v>
      </c>
    </row>
    <row r="7162" spans="1:2" x14ac:dyDescent="0.35">
      <c r="A7162">
        <v>474</v>
      </c>
      <c r="B7162">
        <v>1</v>
      </c>
    </row>
    <row r="7163" spans="1:2" x14ac:dyDescent="0.35">
      <c r="A7163">
        <v>474</v>
      </c>
      <c r="B7163">
        <v>1</v>
      </c>
    </row>
    <row r="7164" spans="1:2" x14ac:dyDescent="0.35">
      <c r="A7164">
        <v>474</v>
      </c>
      <c r="B7164">
        <v>1</v>
      </c>
    </row>
    <row r="7165" spans="1:2" x14ac:dyDescent="0.35">
      <c r="A7165">
        <v>475</v>
      </c>
      <c r="B7165">
        <v>1</v>
      </c>
    </row>
    <row r="7166" spans="1:2" x14ac:dyDescent="0.35">
      <c r="A7166">
        <v>475</v>
      </c>
      <c r="B7166">
        <v>1</v>
      </c>
    </row>
    <row r="7167" spans="1:2" x14ac:dyDescent="0.35">
      <c r="A7167">
        <v>475</v>
      </c>
      <c r="B7167">
        <v>1</v>
      </c>
    </row>
    <row r="7168" spans="1:2" x14ac:dyDescent="0.35">
      <c r="A7168">
        <v>475</v>
      </c>
      <c r="B7168">
        <v>1</v>
      </c>
    </row>
    <row r="7169" spans="1:2" x14ac:dyDescent="0.35">
      <c r="A7169">
        <v>475</v>
      </c>
      <c r="B7169">
        <v>1</v>
      </c>
    </row>
    <row r="7170" spans="1:2" x14ac:dyDescent="0.35">
      <c r="A7170">
        <v>475</v>
      </c>
      <c r="B7170">
        <v>1</v>
      </c>
    </row>
    <row r="7171" spans="1:2" x14ac:dyDescent="0.35">
      <c r="A7171">
        <v>475</v>
      </c>
      <c r="B7171">
        <v>1</v>
      </c>
    </row>
    <row r="7172" spans="1:2" x14ac:dyDescent="0.35">
      <c r="A7172">
        <v>476</v>
      </c>
      <c r="B7172">
        <v>1</v>
      </c>
    </row>
    <row r="7173" spans="1:2" x14ac:dyDescent="0.35">
      <c r="A7173">
        <v>476</v>
      </c>
      <c r="B7173">
        <v>1</v>
      </c>
    </row>
    <row r="7174" spans="1:2" x14ac:dyDescent="0.35">
      <c r="A7174">
        <v>476</v>
      </c>
      <c r="B7174">
        <v>1</v>
      </c>
    </row>
    <row r="7175" spans="1:2" x14ac:dyDescent="0.35">
      <c r="A7175">
        <v>477</v>
      </c>
      <c r="B7175">
        <v>1</v>
      </c>
    </row>
    <row r="7176" spans="1:2" x14ac:dyDescent="0.35">
      <c r="A7176">
        <v>477</v>
      </c>
      <c r="B7176">
        <v>1</v>
      </c>
    </row>
    <row r="7177" spans="1:2" x14ac:dyDescent="0.35">
      <c r="A7177">
        <v>477</v>
      </c>
      <c r="B7177">
        <v>1</v>
      </c>
    </row>
    <row r="7178" spans="1:2" x14ac:dyDescent="0.35">
      <c r="A7178">
        <v>478</v>
      </c>
      <c r="B7178">
        <v>1</v>
      </c>
    </row>
    <row r="7179" spans="1:2" x14ac:dyDescent="0.35">
      <c r="A7179">
        <v>478</v>
      </c>
      <c r="B7179">
        <v>1</v>
      </c>
    </row>
    <row r="7180" spans="1:2" x14ac:dyDescent="0.35">
      <c r="A7180">
        <v>478</v>
      </c>
      <c r="B7180">
        <v>1</v>
      </c>
    </row>
    <row r="7181" spans="1:2" x14ac:dyDescent="0.35">
      <c r="A7181">
        <v>479</v>
      </c>
      <c r="B7181">
        <v>1</v>
      </c>
    </row>
    <row r="7182" spans="1:2" x14ac:dyDescent="0.35">
      <c r="A7182">
        <v>479</v>
      </c>
      <c r="B7182">
        <v>1</v>
      </c>
    </row>
    <row r="7183" spans="1:2" x14ac:dyDescent="0.35">
      <c r="A7183">
        <v>479</v>
      </c>
      <c r="B7183">
        <v>1</v>
      </c>
    </row>
    <row r="7184" spans="1:2" x14ac:dyDescent="0.35">
      <c r="A7184">
        <v>479</v>
      </c>
      <c r="B7184">
        <v>1</v>
      </c>
    </row>
    <row r="7185" spans="1:2" x14ac:dyDescent="0.35">
      <c r="A7185">
        <v>480</v>
      </c>
      <c r="B7185">
        <v>1</v>
      </c>
    </row>
    <row r="7186" spans="1:2" x14ac:dyDescent="0.35">
      <c r="A7186">
        <v>480</v>
      </c>
      <c r="B7186">
        <v>1</v>
      </c>
    </row>
    <row r="7187" spans="1:2" x14ac:dyDescent="0.35">
      <c r="A7187">
        <v>480</v>
      </c>
      <c r="B7187">
        <v>1</v>
      </c>
    </row>
    <row r="7188" spans="1:2" x14ac:dyDescent="0.35">
      <c r="A7188">
        <v>480</v>
      </c>
      <c r="B7188">
        <v>1</v>
      </c>
    </row>
    <row r="7189" spans="1:2" x14ac:dyDescent="0.35">
      <c r="A7189">
        <v>480</v>
      </c>
      <c r="B7189">
        <v>1</v>
      </c>
    </row>
    <row r="7190" spans="1:2" x14ac:dyDescent="0.35">
      <c r="A7190">
        <v>480</v>
      </c>
      <c r="B7190">
        <v>1</v>
      </c>
    </row>
    <row r="7191" spans="1:2" x14ac:dyDescent="0.35">
      <c r="A7191">
        <v>480</v>
      </c>
      <c r="B7191">
        <v>1</v>
      </c>
    </row>
    <row r="7192" spans="1:2" x14ac:dyDescent="0.35">
      <c r="A7192">
        <v>481</v>
      </c>
      <c r="B7192">
        <v>1</v>
      </c>
    </row>
    <row r="7193" spans="1:2" x14ac:dyDescent="0.35">
      <c r="A7193">
        <v>481</v>
      </c>
      <c r="B7193">
        <v>1</v>
      </c>
    </row>
    <row r="7194" spans="1:2" x14ac:dyDescent="0.35">
      <c r="A7194">
        <v>481</v>
      </c>
      <c r="B7194">
        <v>1</v>
      </c>
    </row>
    <row r="7195" spans="1:2" x14ac:dyDescent="0.35">
      <c r="A7195">
        <v>482</v>
      </c>
      <c r="B7195">
        <v>1</v>
      </c>
    </row>
    <row r="7196" spans="1:2" x14ac:dyDescent="0.35">
      <c r="A7196">
        <v>482</v>
      </c>
      <c r="B7196">
        <v>1</v>
      </c>
    </row>
    <row r="7197" spans="1:2" x14ac:dyDescent="0.35">
      <c r="A7197">
        <v>482</v>
      </c>
      <c r="B7197">
        <v>1</v>
      </c>
    </row>
    <row r="7198" spans="1:2" x14ac:dyDescent="0.35">
      <c r="A7198">
        <v>482</v>
      </c>
      <c r="B7198">
        <v>1</v>
      </c>
    </row>
    <row r="7199" spans="1:2" x14ac:dyDescent="0.35">
      <c r="A7199">
        <v>482</v>
      </c>
      <c r="B7199">
        <v>1</v>
      </c>
    </row>
    <row r="7200" spans="1:2" x14ac:dyDescent="0.35">
      <c r="A7200">
        <v>483</v>
      </c>
      <c r="B7200">
        <v>1</v>
      </c>
    </row>
    <row r="7201" spans="1:2" x14ac:dyDescent="0.35">
      <c r="A7201">
        <v>483</v>
      </c>
      <c r="B7201">
        <v>1</v>
      </c>
    </row>
    <row r="7202" spans="1:2" x14ac:dyDescent="0.35">
      <c r="A7202">
        <v>483</v>
      </c>
      <c r="B7202">
        <v>1</v>
      </c>
    </row>
    <row r="7203" spans="1:2" x14ac:dyDescent="0.35">
      <c r="A7203">
        <v>483</v>
      </c>
      <c r="B7203">
        <v>1</v>
      </c>
    </row>
    <row r="7204" spans="1:2" x14ac:dyDescent="0.35">
      <c r="A7204">
        <v>484</v>
      </c>
      <c r="B7204">
        <v>1</v>
      </c>
    </row>
    <row r="7205" spans="1:2" x14ac:dyDescent="0.35">
      <c r="A7205">
        <v>485</v>
      </c>
      <c r="B7205">
        <v>1</v>
      </c>
    </row>
    <row r="7206" spans="1:2" x14ac:dyDescent="0.35">
      <c r="A7206">
        <v>485</v>
      </c>
      <c r="B7206">
        <v>1</v>
      </c>
    </row>
    <row r="7207" spans="1:2" x14ac:dyDescent="0.35">
      <c r="A7207">
        <v>485</v>
      </c>
      <c r="B7207">
        <v>1</v>
      </c>
    </row>
    <row r="7208" spans="1:2" x14ac:dyDescent="0.35">
      <c r="A7208">
        <v>485</v>
      </c>
      <c r="B7208">
        <v>1</v>
      </c>
    </row>
    <row r="7209" spans="1:2" x14ac:dyDescent="0.35">
      <c r="A7209">
        <v>486</v>
      </c>
      <c r="B7209">
        <v>1</v>
      </c>
    </row>
    <row r="7210" spans="1:2" x14ac:dyDescent="0.35">
      <c r="A7210">
        <v>486</v>
      </c>
      <c r="B7210">
        <v>1</v>
      </c>
    </row>
    <row r="7211" spans="1:2" x14ac:dyDescent="0.35">
      <c r="A7211">
        <v>486</v>
      </c>
      <c r="B7211">
        <v>1</v>
      </c>
    </row>
    <row r="7212" spans="1:2" x14ac:dyDescent="0.35">
      <c r="A7212">
        <v>486</v>
      </c>
      <c r="B7212">
        <v>1</v>
      </c>
    </row>
    <row r="7213" spans="1:2" x14ac:dyDescent="0.35">
      <c r="A7213">
        <v>487</v>
      </c>
      <c r="B7213">
        <v>1</v>
      </c>
    </row>
    <row r="7214" spans="1:2" x14ac:dyDescent="0.35">
      <c r="A7214">
        <v>487</v>
      </c>
      <c r="B7214">
        <v>1</v>
      </c>
    </row>
    <row r="7215" spans="1:2" x14ac:dyDescent="0.35">
      <c r="A7215">
        <v>487</v>
      </c>
      <c r="B7215">
        <v>1</v>
      </c>
    </row>
    <row r="7216" spans="1:2" x14ac:dyDescent="0.35">
      <c r="A7216">
        <v>487</v>
      </c>
      <c r="B7216">
        <v>1</v>
      </c>
    </row>
    <row r="7217" spans="1:2" x14ac:dyDescent="0.35">
      <c r="A7217">
        <v>487</v>
      </c>
      <c r="B7217">
        <v>1</v>
      </c>
    </row>
    <row r="7218" spans="1:2" x14ac:dyDescent="0.35">
      <c r="A7218">
        <v>487</v>
      </c>
      <c r="B7218">
        <v>1</v>
      </c>
    </row>
    <row r="7219" spans="1:2" x14ac:dyDescent="0.35">
      <c r="A7219">
        <v>488</v>
      </c>
      <c r="B7219">
        <v>1</v>
      </c>
    </row>
    <row r="7220" spans="1:2" x14ac:dyDescent="0.35">
      <c r="A7220">
        <v>488</v>
      </c>
      <c r="B7220">
        <v>1</v>
      </c>
    </row>
    <row r="7221" spans="1:2" x14ac:dyDescent="0.35">
      <c r="A7221">
        <v>488</v>
      </c>
      <c r="B7221">
        <v>1</v>
      </c>
    </row>
    <row r="7222" spans="1:2" x14ac:dyDescent="0.35">
      <c r="A7222">
        <v>488</v>
      </c>
      <c r="B7222">
        <v>1</v>
      </c>
    </row>
    <row r="7223" spans="1:2" x14ac:dyDescent="0.35">
      <c r="A7223">
        <v>488</v>
      </c>
      <c r="B7223">
        <v>1</v>
      </c>
    </row>
    <row r="7224" spans="1:2" x14ac:dyDescent="0.35">
      <c r="A7224">
        <v>489</v>
      </c>
      <c r="B7224">
        <v>1</v>
      </c>
    </row>
    <row r="7225" spans="1:2" x14ac:dyDescent="0.35">
      <c r="A7225">
        <v>489</v>
      </c>
      <c r="B7225">
        <v>1</v>
      </c>
    </row>
    <row r="7226" spans="1:2" x14ac:dyDescent="0.35">
      <c r="A7226">
        <v>489</v>
      </c>
      <c r="B7226">
        <v>1</v>
      </c>
    </row>
    <row r="7227" spans="1:2" x14ac:dyDescent="0.35">
      <c r="A7227">
        <v>489</v>
      </c>
      <c r="B7227">
        <v>1</v>
      </c>
    </row>
    <row r="7228" spans="1:2" x14ac:dyDescent="0.35">
      <c r="A7228">
        <v>489</v>
      </c>
      <c r="B7228">
        <v>1</v>
      </c>
    </row>
    <row r="7229" spans="1:2" x14ac:dyDescent="0.35">
      <c r="A7229">
        <v>489</v>
      </c>
      <c r="B7229">
        <v>1</v>
      </c>
    </row>
    <row r="7230" spans="1:2" x14ac:dyDescent="0.35">
      <c r="A7230">
        <v>490</v>
      </c>
      <c r="B7230">
        <v>1</v>
      </c>
    </row>
    <row r="7231" spans="1:2" x14ac:dyDescent="0.35">
      <c r="A7231">
        <v>490</v>
      </c>
      <c r="B7231">
        <v>1</v>
      </c>
    </row>
    <row r="7232" spans="1:2" x14ac:dyDescent="0.35">
      <c r="A7232">
        <v>490</v>
      </c>
      <c r="B7232">
        <v>1</v>
      </c>
    </row>
    <row r="7233" spans="1:2" x14ac:dyDescent="0.35">
      <c r="A7233">
        <v>491</v>
      </c>
      <c r="B7233">
        <v>1</v>
      </c>
    </row>
    <row r="7234" spans="1:2" x14ac:dyDescent="0.35">
      <c r="A7234">
        <v>491</v>
      </c>
      <c r="B7234">
        <v>1</v>
      </c>
    </row>
    <row r="7235" spans="1:2" x14ac:dyDescent="0.35">
      <c r="A7235">
        <v>491</v>
      </c>
      <c r="B7235">
        <v>1</v>
      </c>
    </row>
    <row r="7236" spans="1:2" x14ac:dyDescent="0.35">
      <c r="A7236">
        <v>491</v>
      </c>
      <c r="B7236">
        <v>1</v>
      </c>
    </row>
    <row r="7237" spans="1:2" x14ac:dyDescent="0.35">
      <c r="A7237">
        <v>492</v>
      </c>
      <c r="B7237">
        <v>1</v>
      </c>
    </row>
    <row r="7238" spans="1:2" x14ac:dyDescent="0.35">
      <c r="A7238">
        <v>492</v>
      </c>
      <c r="B7238">
        <v>1</v>
      </c>
    </row>
    <row r="7239" spans="1:2" x14ac:dyDescent="0.35">
      <c r="A7239">
        <v>493</v>
      </c>
      <c r="B7239">
        <v>1</v>
      </c>
    </row>
    <row r="7240" spans="1:2" x14ac:dyDescent="0.35">
      <c r="A7240">
        <v>493</v>
      </c>
      <c r="B7240">
        <v>1</v>
      </c>
    </row>
    <row r="7241" spans="1:2" x14ac:dyDescent="0.35">
      <c r="A7241">
        <v>493</v>
      </c>
      <c r="B7241">
        <v>1</v>
      </c>
    </row>
    <row r="7242" spans="1:2" x14ac:dyDescent="0.35">
      <c r="A7242">
        <v>494</v>
      </c>
      <c r="B7242">
        <v>1</v>
      </c>
    </row>
    <row r="7243" spans="1:2" x14ac:dyDescent="0.35">
      <c r="A7243">
        <v>494</v>
      </c>
      <c r="B7243">
        <v>1</v>
      </c>
    </row>
    <row r="7244" spans="1:2" x14ac:dyDescent="0.35">
      <c r="A7244">
        <v>494</v>
      </c>
      <c r="B7244">
        <v>1</v>
      </c>
    </row>
    <row r="7245" spans="1:2" x14ac:dyDescent="0.35">
      <c r="A7245">
        <v>494</v>
      </c>
      <c r="B7245">
        <v>1</v>
      </c>
    </row>
    <row r="7246" spans="1:2" x14ac:dyDescent="0.35">
      <c r="A7246">
        <v>494</v>
      </c>
      <c r="B7246">
        <v>1</v>
      </c>
    </row>
    <row r="7247" spans="1:2" x14ac:dyDescent="0.35">
      <c r="A7247">
        <v>494</v>
      </c>
      <c r="B7247">
        <v>1</v>
      </c>
    </row>
    <row r="7248" spans="1:2" x14ac:dyDescent="0.35">
      <c r="A7248">
        <v>494</v>
      </c>
      <c r="B7248">
        <v>1</v>
      </c>
    </row>
    <row r="7249" spans="1:2" x14ac:dyDescent="0.35">
      <c r="A7249">
        <v>495</v>
      </c>
      <c r="B7249">
        <v>1</v>
      </c>
    </row>
    <row r="7250" spans="1:2" x14ac:dyDescent="0.35">
      <c r="A7250">
        <v>495</v>
      </c>
      <c r="B7250">
        <v>1</v>
      </c>
    </row>
    <row r="7251" spans="1:2" x14ac:dyDescent="0.35">
      <c r="A7251">
        <v>496</v>
      </c>
      <c r="B7251">
        <v>1</v>
      </c>
    </row>
    <row r="7252" spans="1:2" x14ac:dyDescent="0.35">
      <c r="A7252">
        <v>496</v>
      </c>
      <c r="B7252">
        <v>1</v>
      </c>
    </row>
    <row r="7253" spans="1:2" x14ac:dyDescent="0.35">
      <c r="A7253">
        <v>496</v>
      </c>
      <c r="B7253">
        <v>1</v>
      </c>
    </row>
    <row r="7254" spans="1:2" x14ac:dyDescent="0.35">
      <c r="A7254">
        <v>496</v>
      </c>
      <c r="B7254">
        <v>1</v>
      </c>
    </row>
    <row r="7255" spans="1:2" x14ac:dyDescent="0.35">
      <c r="A7255">
        <v>496</v>
      </c>
      <c r="B7255">
        <v>1</v>
      </c>
    </row>
    <row r="7256" spans="1:2" x14ac:dyDescent="0.35">
      <c r="A7256">
        <v>497</v>
      </c>
      <c r="B7256">
        <v>1</v>
      </c>
    </row>
    <row r="7257" spans="1:2" x14ac:dyDescent="0.35">
      <c r="A7257">
        <v>497</v>
      </c>
      <c r="B7257">
        <v>1</v>
      </c>
    </row>
    <row r="7258" spans="1:2" x14ac:dyDescent="0.35">
      <c r="A7258">
        <v>497</v>
      </c>
      <c r="B7258">
        <v>1</v>
      </c>
    </row>
    <row r="7259" spans="1:2" x14ac:dyDescent="0.35">
      <c r="A7259">
        <v>497</v>
      </c>
      <c r="B7259">
        <v>1</v>
      </c>
    </row>
    <row r="7260" spans="1:2" x14ac:dyDescent="0.35">
      <c r="A7260">
        <v>498</v>
      </c>
      <c r="B7260">
        <v>1</v>
      </c>
    </row>
    <row r="7261" spans="1:2" x14ac:dyDescent="0.35">
      <c r="A7261">
        <v>498</v>
      </c>
      <c r="B7261">
        <v>1</v>
      </c>
    </row>
    <row r="7262" spans="1:2" x14ac:dyDescent="0.35">
      <c r="A7262">
        <v>498</v>
      </c>
      <c r="B7262">
        <v>1</v>
      </c>
    </row>
    <row r="7263" spans="1:2" x14ac:dyDescent="0.35">
      <c r="A7263">
        <v>498</v>
      </c>
      <c r="B7263">
        <v>1</v>
      </c>
    </row>
    <row r="7264" spans="1:2" x14ac:dyDescent="0.35">
      <c r="A7264">
        <v>498</v>
      </c>
      <c r="B7264">
        <v>1</v>
      </c>
    </row>
    <row r="7265" spans="1:2" x14ac:dyDescent="0.35">
      <c r="A7265">
        <v>499</v>
      </c>
      <c r="B7265">
        <v>1</v>
      </c>
    </row>
    <row r="7266" spans="1:2" x14ac:dyDescent="0.35">
      <c r="A7266">
        <v>499</v>
      </c>
      <c r="B7266">
        <v>1</v>
      </c>
    </row>
    <row r="7267" spans="1:2" x14ac:dyDescent="0.35">
      <c r="A7267">
        <v>499</v>
      </c>
      <c r="B7267">
        <v>1</v>
      </c>
    </row>
    <row r="7268" spans="1:2" x14ac:dyDescent="0.35">
      <c r="A7268">
        <v>500</v>
      </c>
      <c r="B7268">
        <v>1</v>
      </c>
    </row>
    <row r="7269" spans="1:2" x14ac:dyDescent="0.35">
      <c r="A7269">
        <v>500</v>
      </c>
      <c r="B7269">
        <v>1</v>
      </c>
    </row>
    <row r="7270" spans="1:2" x14ac:dyDescent="0.35">
      <c r="A7270">
        <v>500</v>
      </c>
      <c r="B7270">
        <v>1</v>
      </c>
    </row>
    <row r="7271" spans="1:2" x14ac:dyDescent="0.35">
      <c r="A7271">
        <v>500</v>
      </c>
      <c r="B7271">
        <v>1</v>
      </c>
    </row>
    <row r="7272" spans="1:2" x14ac:dyDescent="0.35">
      <c r="A7272">
        <v>500</v>
      </c>
      <c r="B7272">
        <v>1</v>
      </c>
    </row>
    <row r="7273" spans="1:2" x14ac:dyDescent="0.35">
      <c r="A7273">
        <v>501</v>
      </c>
      <c r="B7273">
        <v>1</v>
      </c>
    </row>
    <row r="7274" spans="1:2" x14ac:dyDescent="0.35">
      <c r="A7274">
        <v>501</v>
      </c>
      <c r="B7274">
        <v>1</v>
      </c>
    </row>
    <row r="7275" spans="1:2" x14ac:dyDescent="0.35">
      <c r="A7275">
        <v>501</v>
      </c>
      <c r="B7275">
        <v>1</v>
      </c>
    </row>
    <row r="7276" spans="1:2" x14ac:dyDescent="0.35">
      <c r="A7276">
        <v>501</v>
      </c>
      <c r="B7276">
        <v>1</v>
      </c>
    </row>
    <row r="7277" spans="1:2" x14ac:dyDescent="0.35">
      <c r="A7277">
        <v>501</v>
      </c>
      <c r="B7277">
        <v>1</v>
      </c>
    </row>
    <row r="7278" spans="1:2" x14ac:dyDescent="0.35">
      <c r="A7278">
        <v>501</v>
      </c>
      <c r="B7278">
        <v>1</v>
      </c>
    </row>
    <row r="7279" spans="1:2" x14ac:dyDescent="0.35">
      <c r="A7279">
        <v>502</v>
      </c>
      <c r="B7279">
        <v>1</v>
      </c>
    </row>
    <row r="7280" spans="1:2" x14ac:dyDescent="0.35">
      <c r="A7280">
        <v>502</v>
      </c>
      <c r="B7280">
        <v>1</v>
      </c>
    </row>
    <row r="7281" spans="1:2" x14ac:dyDescent="0.35">
      <c r="A7281">
        <v>502</v>
      </c>
      <c r="B7281">
        <v>1</v>
      </c>
    </row>
    <row r="7282" spans="1:2" x14ac:dyDescent="0.35">
      <c r="A7282">
        <v>502</v>
      </c>
      <c r="B7282">
        <v>1</v>
      </c>
    </row>
    <row r="7283" spans="1:2" x14ac:dyDescent="0.35">
      <c r="A7283">
        <v>503</v>
      </c>
      <c r="B7283">
        <v>1</v>
      </c>
    </row>
    <row r="7284" spans="1:2" x14ac:dyDescent="0.35">
      <c r="A7284">
        <v>503</v>
      </c>
      <c r="B7284">
        <v>1</v>
      </c>
    </row>
    <row r="7285" spans="1:2" x14ac:dyDescent="0.35">
      <c r="A7285">
        <v>503</v>
      </c>
      <c r="B7285">
        <v>1</v>
      </c>
    </row>
    <row r="7286" spans="1:2" x14ac:dyDescent="0.35">
      <c r="A7286">
        <v>504</v>
      </c>
      <c r="B7286">
        <v>1</v>
      </c>
    </row>
    <row r="7287" spans="1:2" x14ac:dyDescent="0.35">
      <c r="A7287">
        <v>504</v>
      </c>
      <c r="B7287">
        <v>1</v>
      </c>
    </row>
    <row r="7288" spans="1:2" x14ac:dyDescent="0.35">
      <c r="A7288">
        <v>504</v>
      </c>
      <c r="B7288">
        <v>1</v>
      </c>
    </row>
    <row r="7289" spans="1:2" x14ac:dyDescent="0.35">
      <c r="A7289">
        <v>505</v>
      </c>
      <c r="B7289">
        <v>1</v>
      </c>
    </row>
    <row r="7290" spans="1:2" x14ac:dyDescent="0.35">
      <c r="A7290">
        <v>505</v>
      </c>
      <c r="B7290">
        <v>1</v>
      </c>
    </row>
    <row r="7291" spans="1:2" x14ac:dyDescent="0.35">
      <c r="A7291">
        <v>505</v>
      </c>
      <c r="B7291">
        <v>1</v>
      </c>
    </row>
    <row r="7292" spans="1:2" x14ac:dyDescent="0.35">
      <c r="A7292">
        <v>506</v>
      </c>
      <c r="B7292">
        <v>1</v>
      </c>
    </row>
    <row r="7293" spans="1:2" x14ac:dyDescent="0.35">
      <c r="A7293">
        <v>506</v>
      </c>
      <c r="B7293">
        <v>1</v>
      </c>
    </row>
    <row r="7294" spans="1:2" x14ac:dyDescent="0.35">
      <c r="A7294">
        <v>506</v>
      </c>
      <c r="B7294">
        <v>1</v>
      </c>
    </row>
    <row r="7295" spans="1:2" x14ac:dyDescent="0.35">
      <c r="A7295">
        <v>507</v>
      </c>
      <c r="B7295">
        <v>1</v>
      </c>
    </row>
    <row r="7296" spans="1:2" x14ac:dyDescent="0.35">
      <c r="A7296">
        <v>507</v>
      </c>
      <c r="B7296">
        <v>1</v>
      </c>
    </row>
    <row r="7297" spans="1:2" x14ac:dyDescent="0.35">
      <c r="A7297">
        <v>507</v>
      </c>
      <c r="B7297">
        <v>1</v>
      </c>
    </row>
    <row r="7298" spans="1:2" x14ac:dyDescent="0.35">
      <c r="A7298">
        <v>507</v>
      </c>
      <c r="B7298">
        <v>1</v>
      </c>
    </row>
    <row r="7299" spans="1:2" x14ac:dyDescent="0.35">
      <c r="A7299">
        <v>507</v>
      </c>
      <c r="B7299">
        <v>1</v>
      </c>
    </row>
    <row r="7300" spans="1:2" x14ac:dyDescent="0.35">
      <c r="A7300">
        <v>507</v>
      </c>
      <c r="B7300">
        <v>1</v>
      </c>
    </row>
    <row r="7301" spans="1:2" x14ac:dyDescent="0.35">
      <c r="A7301">
        <v>507</v>
      </c>
      <c r="B7301">
        <v>1</v>
      </c>
    </row>
    <row r="7302" spans="1:2" x14ac:dyDescent="0.35">
      <c r="A7302">
        <v>508</v>
      </c>
      <c r="B7302">
        <v>1</v>
      </c>
    </row>
    <row r="7303" spans="1:2" x14ac:dyDescent="0.35">
      <c r="A7303">
        <v>508</v>
      </c>
      <c r="B7303">
        <v>1</v>
      </c>
    </row>
    <row r="7304" spans="1:2" x14ac:dyDescent="0.35">
      <c r="A7304">
        <v>508</v>
      </c>
      <c r="B7304">
        <v>1</v>
      </c>
    </row>
    <row r="7305" spans="1:2" x14ac:dyDescent="0.35">
      <c r="A7305">
        <v>508</v>
      </c>
      <c r="B7305">
        <v>1</v>
      </c>
    </row>
    <row r="7306" spans="1:2" x14ac:dyDescent="0.35">
      <c r="A7306">
        <v>509</v>
      </c>
      <c r="B7306">
        <v>1</v>
      </c>
    </row>
    <row r="7307" spans="1:2" x14ac:dyDescent="0.35">
      <c r="A7307">
        <v>509</v>
      </c>
      <c r="B7307">
        <v>1</v>
      </c>
    </row>
    <row r="7308" spans="1:2" x14ac:dyDescent="0.35">
      <c r="A7308">
        <v>509</v>
      </c>
      <c r="B7308">
        <v>1</v>
      </c>
    </row>
    <row r="7309" spans="1:2" x14ac:dyDescent="0.35">
      <c r="A7309">
        <v>509</v>
      </c>
      <c r="B7309">
        <v>1</v>
      </c>
    </row>
    <row r="7310" spans="1:2" x14ac:dyDescent="0.35">
      <c r="A7310">
        <v>509</v>
      </c>
      <c r="B7310">
        <v>1</v>
      </c>
    </row>
    <row r="7311" spans="1:2" x14ac:dyDescent="0.35">
      <c r="A7311">
        <v>510</v>
      </c>
      <c r="B7311">
        <v>1</v>
      </c>
    </row>
    <row r="7312" spans="1:2" x14ac:dyDescent="0.35">
      <c r="A7312">
        <v>510</v>
      </c>
      <c r="B7312">
        <v>1</v>
      </c>
    </row>
    <row r="7313" spans="1:2" x14ac:dyDescent="0.35">
      <c r="A7313">
        <v>510</v>
      </c>
      <c r="B7313">
        <v>1</v>
      </c>
    </row>
    <row r="7314" spans="1:2" x14ac:dyDescent="0.35">
      <c r="A7314">
        <v>510</v>
      </c>
      <c r="B7314">
        <v>1</v>
      </c>
    </row>
    <row r="7315" spans="1:2" x14ac:dyDescent="0.35">
      <c r="A7315">
        <v>510</v>
      </c>
      <c r="B7315">
        <v>1</v>
      </c>
    </row>
    <row r="7316" spans="1:2" x14ac:dyDescent="0.35">
      <c r="A7316">
        <v>511</v>
      </c>
      <c r="B7316">
        <v>1</v>
      </c>
    </row>
    <row r="7317" spans="1:2" x14ac:dyDescent="0.35">
      <c r="A7317">
        <v>511</v>
      </c>
      <c r="B7317">
        <v>1</v>
      </c>
    </row>
    <row r="7318" spans="1:2" x14ac:dyDescent="0.35">
      <c r="A7318">
        <v>511</v>
      </c>
      <c r="B7318">
        <v>1</v>
      </c>
    </row>
    <row r="7319" spans="1:2" x14ac:dyDescent="0.35">
      <c r="A7319">
        <v>511</v>
      </c>
      <c r="B7319">
        <v>1</v>
      </c>
    </row>
    <row r="7320" spans="1:2" x14ac:dyDescent="0.35">
      <c r="A7320">
        <v>511</v>
      </c>
      <c r="B7320">
        <v>1</v>
      </c>
    </row>
    <row r="7321" spans="1:2" x14ac:dyDescent="0.35">
      <c r="A7321">
        <v>512</v>
      </c>
      <c r="B7321">
        <v>1</v>
      </c>
    </row>
    <row r="7322" spans="1:2" x14ac:dyDescent="0.35">
      <c r="A7322">
        <v>512</v>
      </c>
      <c r="B7322">
        <v>1</v>
      </c>
    </row>
    <row r="7323" spans="1:2" x14ac:dyDescent="0.35">
      <c r="A7323">
        <v>512</v>
      </c>
      <c r="B7323">
        <v>1</v>
      </c>
    </row>
    <row r="7324" spans="1:2" x14ac:dyDescent="0.35">
      <c r="A7324">
        <v>513</v>
      </c>
      <c r="B7324">
        <v>1</v>
      </c>
    </row>
    <row r="7325" spans="1:2" x14ac:dyDescent="0.35">
      <c r="A7325">
        <v>513</v>
      </c>
      <c r="B7325">
        <v>1</v>
      </c>
    </row>
    <row r="7326" spans="1:2" x14ac:dyDescent="0.35">
      <c r="A7326">
        <v>514</v>
      </c>
      <c r="B7326">
        <v>1</v>
      </c>
    </row>
    <row r="7327" spans="1:2" x14ac:dyDescent="0.35">
      <c r="A7327">
        <v>514</v>
      </c>
      <c r="B7327">
        <v>1</v>
      </c>
    </row>
    <row r="7328" spans="1:2" x14ac:dyDescent="0.35">
      <c r="A7328">
        <v>515</v>
      </c>
      <c r="B7328">
        <v>1</v>
      </c>
    </row>
    <row r="7329" spans="1:2" x14ac:dyDescent="0.35">
      <c r="A7329">
        <v>515</v>
      </c>
      <c r="B7329">
        <v>1</v>
      </c>
    </row>
    <row r="7330" spans="1:2" x14ac:dyDescent="0.35">
      <c r="A7330">
        <v>515</v>
      </c>
      <c r="B7330">
        <v>1</v>
      </c>
    </row>
    <row r="7331" spans="1:2" x14ac:dyDescent="0.35">
      <c r="A7331">
        <v>516</v>
      </c>
      <c r="B7331">
        <v>1</v>
      </c>
    </row>
    <row r="7332" spans="1:2" x14ac:dyDescent="0.35">
      <c r="A7332">
        <v>516</v>
      </c>
      <c r="B7332">
        <v>1</v>
      </c>
    </row>
    <row r="7333" spans="1:2" x14ac:dyDescent="0.35">
      <c r="A7333">
        <v>516</v>
      </c>
      <c r="B7333">
        <v>1</v>
      </c>
    </row>
    <row r="7334" spans="1:2" x14ac:dyDescent="0.35">
      <c r="A7334">
        <v>516</v>
      </c>
      <c r="B7334">
        <v>1</v>
      </c>
    </row>
    <row r="7335" spans="1:2" x14ac:dyDescent="0.35">
      <c r="A7335">
        <v>516</v>
      </c>
      <c r="B7335">
        <v>1</v>
      </c>
    </row>
    <row r="7336" spans="1:2" x14ac:dyDescent="0.35">
      <c r="A7336">
        <v>516</v>
      </c>
      <c r="B7336">
        <v>1</v>
      </c>
    </row>
    <row r="7337" spans="1:2" x14ac:dyDescent="0.35">
      <c r="A7337">
        <v>516</v>
      </c>
      <c r="B7337">
        <v>1</v>
      </c>
    </row>
    <row r="7338" spans="1:2" x14ac:dyDescent="0.35">
      <c r="A7338">
        <v>516</v>
      </c>
      <c r="B7338">
        <v>1</v>
      </c>
    </row>
    <row r="7339" spans="1:2" x14ac:dyDescent="0.35">
      <c r="A7339">
        <v>517</v>
      </c>
      <c r="B7339">
        <v>1</v>
      </c>
    </row>
    <row r="7340" spans="1:2" x14ac:dyDescent="0.35">
      <c r="A7340">
        <v>517</v>
      </c>
      <c r="B7340">
        <v>1</v>
      </c>
    </row>
    <row r="7341" spans="1:2" x14ac:dyDescent="0.35">
      <c r="A7341">
        <v>517</v>
      </c>
      <c r="B7341">
        <v>1</v>
      </c>
    </row>
    <row r="7342" spans="1:2" x14ac:dyDescent="0.35">
      <c r="A7342">
        <v>517</v>
      </c>
      <c r="B7342">
        <v>1</v>
      </c>
    </row>
    <row r="7343" spans="1:2" x14ac:dyDescent="0.35">
      <c r="A7343">
        <v>517</v>
      </c>
      <c r="B7343">
        <v>1</v>
      </c>
    </row>
    <row r="7344" spans="1:2" x14ac:dyDescent="0.35">
      <c r="A7344">
        <v>517</v>
      </c>
      <c r="B7344">
        <v>1</v>
      </c>
    </row>
    <row r="7345" spans="1:2" x14ac:dyDescent="0.35">
      <c r="A7345">
        <v>518</v>
      </c>
      <c r="B7345">
        <v>1</v>
      </c>
    </row>
    <row r="7346" spans="1:2" x14ac:dyDescent="0.35">
      <c r="A7346">
        <v>519</v>
      </c>
      <c r="B7346">
        <v>1</v>
      </c>
    </row>
    <row r="7347" spans="1:2" x14ac:dyDescent="0.35">
      <c r="A7347">
        <v>519</v>
      </c>
      <c r="B7347">
        <v>1</v>
      </c>
    </row>
    <row r="7348" spans="1:2" x14ac:dyDescent="0.35">
      <c r="A7348">
        <v>520</v>
      </c>
      <c r="B7348">
        <v>1</v>
      </c>
    </row>
    <row r="7349" spans="1:2" x14ac:dyDescent="0.35">
      <c r="A7349">
        <v>520</v>
      </c>
      <c r="B7349">
        <v>1</v>
      </c>
    </row>
    <row r="7350" spans="1:2" x14ac:dyDescent="0.35">
      <c r="A7350">
        <v>520</v>
      </c>
      <c r="B7350">
        <v>1</v>
      </c>
    </row>
    <row r="7351" spans="1:2" x14ac:dyDescent="0.35">
      <c r="A7351">
        <v>520</v>
      </c>
      <c r="B7351">
        <v>1</v>
      </c>
    </row>
    <row r="7352" spans="1:2" x14ac:dyDescent="0.35">
      <c r="A7352">
        <v>520</v>
      </c>
      <c r="B7352">
        <v>1</v>
      </c>
    </row>
    <row r="7353" spans="1:2" x14ac:dyDescent="0.35">
      <c r="A7353">
        <v>521</v>
      </c>
      <c r="B7353">
        <v>1</v>
      </c>
    </row>
    <row r="7354" spans="1:2" x14ac:dyDescent="0.35">
      <c r="A7354">
        <v>521</v>
      </c>
      <c r="B7354">
        <v>1</v>
      </c>
    </row>
    <row r="7355" spans="1:2" x14ac:dyDescent="0.35">
      <c r="A7355">
        <v>521</v>
      </c>
      <c r="B7355">
        <v>1</v>
      </c>
    </row>
    <row r="7356" spans="1:2" x14ac:dyDescent="0.35">
      <c r="A7356">
        <v>521</v>
      </c>
      <c r="B7356">
        <v>1</v>
      </c>
    </row>
    <row r="7357" spans="1:2" x14ac:dyDescent="0.35">
      <c r="A7357">
        <v>521</v>
      </c>
      <c r="B7357">
        <v>1</v>
      </c>
    </row>
    <row r="7358" spans="1:2" x14ac:dyDescent="0.35">
      <c r="A7358">
        <v>521</v>
      </c>
      <c r="B7358">
        <v>1</v>
      </c>
    </row>
    <row r="7359" spans="1:2" x14ac:dyDescent="0.35">
      <c r="A7359">
        <v>521</v>
      </c>
      <c r="B7359">
        <v>1</v>
      </c>
    </row>
    <row r="7360" spans="1:2" x14ac:dyDescent="0.35">
      <c r="A7360">
        <v>522</v>
      </c>
      <c r="B7360">
        <v>1</v>
      </c>
    </row>
    <row r="7361" spans="1:2" x14ac:dyDescent="0.35">
      <c r="A7361">
        <v>522</v>
      </c>
      <c r="B7361">
        <v>1</v>
      </c>
    </row>
    <row r="7362" spans="1:2" x14ac:dyDescent="0.35">
      <c r="A7362">
        <v>523</v>
      </c>
      <c r="B7362">
        <v>1</v>
      </c>
    </row>
    <row r="7363" spans="1:2" x14ac:dyDescent="0.35">
      <c r="A7363">
        <v>524</v>
      </c>
      <c r="B7363">
        <v>1</v>
      </c>
    </row>
    <row r="7364" spans="1:2" x14ac:dyDescent="0.35">
      <c r="A7364">
        <v>524</v>
      </c>
      <c r="B7364">
        <v>1</v>
      </c>
    </row>
    <row r="7365" spans="1:2" x14ac:dyDescent="0.35">
      <c r="A7365">
        <v>525</v>
      </c>
      <c r="B7365">
        <v>1</v>
      </c>
    </row>
    <row r="7366" spans="1:2" x14ac:dyDescent="0.35">
      <c r="A7366">
        <v>525</v>
      </c>
      <c r="B7366">
        <v>1</v>
      </c>
    </row>
    <row r="7367" spans="1:2" x14ac:dyDescent="0.35">
      <c r="A7367">
        <v>525</v>
      </c>
      <c r="B7367">
        <v>1</v>
      </c>
    </row>
    <row r="7368" spans="1:2" x14ac:dyDescent="0.35">
      <c r="A7368">
        <v>525</v>
      </c>
      <c r="B7368">
        <v>1</v>
      </c>
    </row>
    <row r="7369" spans="1:2" x14ac:dyDescent="0.35">
      <c r="A7369">
        <v>526</v>
      </c>
      <c r="B7369">
        <v>1</v>
      </c>
    </row>
    <row r="7370" spans="1:2" x14ac:dyDescent="0.35">
      <c r="A7370">
        <v>526</v>
      </c>
      <c r="B7370">
        <v>1</v>
      </c>
    </row>
    <row r="7371" spans="1:2" x14ac:dyDescent="0.35">
      <c r="A7371">
        <v>526</v>
      </c>
      <c r="B7371">
        <v>1</v>
      </c>
    </row>
    <row r="7372" spans="1:2" x14ac:dyDescent="0.35">
      <c r="A7372">
        <v>526</v>
      </c>
      <c r="B7372">
        <v>1</v>
      </c>
    </row>
    <row r="7373" spans="1:2" x14ac:dyDescent="0.35">
      <c r="A7373">
        <v>526</v>
      </c>
      <c r="B7373">
        <v>1</v>
      </c>
    </row>
    <row r="7374" spans="1:2" x14ac:dyDescent="0.35">
      <c r="A7374">
        <v>527</v>
      </c>
      <c r="B7374">
        <v>1</v>
      </c>
    </row>
    <row r="7375" spans="1:2" x14ac:dyDescent="0.35">
      <c r="A7375">
        <v>527</v>
      </c>
      <c r="B7375">
        <v>1</v>
      </c>
    </row>
    <row r="7376" spans="1:2" x14ac:dyDescent="0.35">
      <c r="A7376">
        <v>528</v>
      </c>
      <c r="B7376">
        <v>1</v>
      </c>
    </row>
    <row r="7377" spans="1:2" x14ac:dyDescent="0.35">
      <c r="A7377">
        <v>529</v>
      </c>
      <c r="B7377">
        <v>1</v>
      </c>
    </row>
    <row r="7378" spans="1:2" x14ac:dyDescent="0.35">
      <c r="A7378">
        <v>529</v>
      </c>
      <c r="B7378">
        <v>1</v>
      </c>
    </row>
    <row r="7379" spans="1:2" x14ac:dyDescent="0.35">
      <c r="A7379">
        <v>529</v>
      </c>
      <c r="B7379">
        <v>1</v>
      </c>
    </row>
    <row r="7380" spans="1:2" x14ac:dyDescent="0.35">
      <c r="A7380">
        <v>529</v>
      </c>
      <c r="B7380">
        <v>1</v>
      </c>
    </row>
    <row r="7381" spans="1:2" x14ac:dyDescent="0.35">
      <c r="A7381">
        <v>530</v>
      </c>
      <c r="B7381">
        <v>1</v>
      </c>
    </row>
    <row r="7382" spans="1:2" x14ac:dyDescent="0.35">
      <c r="A7382">
        <v>530</v>
      </c>
      <c r="B7382">
        <v>1</v>
      </c>
    </row>
    <row r="7383" spans="1:2" x14ac:dyDescent="0.35">
      <c r="A7383">
        <v>530</v>
      </c>
      <c r="B7383">
        <v>1</v>
      </c>
    </row>
    <row r="7384" spans="1:2" x14ac:dyDescent="0.35">
      <c r="A7384">
        <v>530</v>
      </c>
      <c r="B7384">
        <v>1</v>
      </c>
    </row>
    <row r="7385" spans="1:2" x14ac:dyDescent="0.35">
      <c r="A7385">
        <v>531</v>
      </c>
      <c r="B7385">
        <v>1</v>
      </c>
    </row>
    <row r="7386" spans="1:2" x14ac:dyDescent="0.35">
      <c r="A7386">
        <v>531</v>
      </c>
      <c r="B7386">
        <v>1</v>
      </c>
    </row>
    <row r="7387" spans="1:2" x14ac:dyDescent="0.35">
      <c r="A7387">
        <v>532</v>
      </c>
      <c r="B7387">
        <v>1</v>
      </c>
    </row>
    <row r="7388" spans="1:2" x14ac:dyDescent="0.35">
      <c r="A7388">
        <v>532</v>
      </c>
      <c r="B7388">
        <v>1</v>
      </c>
    </row>
    <row r="7389" spans="1:2" x14ac:dyDescent="0.35">
      <c r="A7389">
        <v>532</v>
      </c>
      <c r="B7389">
        <v>1</v>
      </c>
    </row>
    <row r="7390" spans="1:2" x14ac:dyDescent="0.35">
      <c r="A7390">
        <v>533</v>
      </c>
      <c r="B7390">
        <v>1</v>
      </c>
    </row>
    <row r="7391" spans="1:2" x14ac:dyDescent="0.35">
      <c r="A7391">
        <v>533</v>
      </c>
      <c r="B7391">
        <v>1</v>
      </c>
    </row>
    <row r="7392" spans="1:2" x14ac:dyDescent="0.35">
      <c r="A7392">
        <v>533</v>
      </c>
      <c r="B7392">
        <v>1</v>
      </c>
    </row>
    <row r="7393" spans="1:2" x14ac:dyDescent="0.35">
      <c r="A7393">
        <v>533</v>
      </c>
      <c r="B7393">
        <v>1</v>
      </c>
    </row>
    <row r="7394" spans="1:2" x14ac:dyDescent="0.35">
      <c r="A7394">
        <v>535</v>
      </c>
      <c r="B7394">
        <v>1</v>
      </c>
    </row>
    <row r="7395" spans="1:2" x14ac:dyDescent="0.35">
      <c r="A7395">
        <v>535</v>
      </c>
      <c r="B7395">
        <v>1</v>
      </c>
    </row>
    <row r="7396" spans="1:2" x14ac:dyDescent="0.35">
      <c r="A7396">
        <v>535</v>
      </c>
      <c r="B7396">
        <v>1</v>
      </c>
    </row>
    <row r="7397" spans="1:2" x14ac:dyDescent="0.35">
      <c r="A7397">
        <v>535</v>
      </c>
      <c r="B7397">
        <v>1</v>
      </c>
    </row>
    <row r="7398" spans="1:2" x14ac:dyDescent="0.35">
      <c r="A7398">
        <v>535</v>
      </c>
      <c r="B7398">
        <v>1</v>
      </c>
    </row>
    <row r="7399" spans="1:2" x14ac:dyDescent="0.35">
      <c r="A7399">
        <v>536</v>
      </c>
      <c r="B7399">
        <v>1</v>
      </c>
    </row>
    <row r="7400" spans="1:2" x14ac:dyDescent="0.35">
      <c r="A7400">
        <v>536</v>
      </c>
      <c r="B7400">
        <v>1</v>
      </c>
    </row>
    <row r="7401" spans="1:2" x14ac:dyDescent="0.35">
      <c r="A7401">
        <v>536</v>
      </c>
      <c r="B7401">
        <v>1</v>
      </c>
    </row>
    <row r="7402" spans="1:2" x14ac:dyDescent="0.35">
      <c r="A7402">
        <v>536</v>
      </c>
      <c r="B7402">
        <v>1</v>
      </c>
    </row>
    <row r="7403" spans="1:2" x14ac:dyDescent="0.35">
      <c r="A7403">
        <v>537</v>
      </c>
      <c r="B7403">
        <v>1</v>
      </c>
    </row>
    <row r="7404" spans="1:2" x14ac:dyDescent="0.35">
      <c r="A7404">
        <v>537</v>
      </c>
      <c r="B7404">
        <v>1</v>
      </c>
    </row>
    <row r="7405" spans="1:2" x14ac:dyDescent="0.35">
      <c r="A7405">
        <v>537</v>
      </c>
      <c r="B7405">
        <v>1</v>
      </c>
    </row>
    <row r="7406" spans="1:2" x14ac:dyDescent="0.35">
      <c r="A7406">
        <v>537</v>
      </c>
      <c r="B7406">
        <v>1</v>
      </c>
    </row>
    <row r="7407" spans="1:2" x14ac:dyDescent="0.35">
      <c r="A7407">
        <v>537</v>
      </c>
      <c r="B7407">
        <v>1</v>
      </c>
    </row>
    <row r="7408" spans="1:2" x14ac:dyDescent="0.35">
      <c r="A7408">
        <v>538</v>
      </c>
      <c r="B7408">
        <v>1</v>
      </c>
    </row>
    <row r="7409" spans="1:2" x14ac:dyDescent="0.35">
      <c r="A7409">
        <v>538</v>
      </c>
      <c r="B7409">
        <v>1</v>
      </c>
    </row>
    <row r="7410" spans="1:2" x14ac:dyDescent="0.35">
      <c r="A7410">
        <v>538</v>
      </c>
      <c r="B7410">
        <v>1</v>
      </c>
    </row>
    <row r="7411" spans="1:2" x14ac:dyDescent="0.35">
      <c r="A7411">
        <v>538</v>
      </c>
      <c r="B7411">
        <v>1</v>
      </c>
    </row>
    <row r="7412" spans="1:2" x14ac:dyDescent="0.35">
      <c r="A7412">
        <v>538</v>
      </c>
      <c r="B7412">
        <v>1</v>
      </c>
    </row>
    <row r="7413" spans="1:2" x14ac:dyDescent="0.35">
      <c r="A7413">
        <v>538</v>
      </c>
      <c r="B7413">
        <v>1</v>
      </c>
    </row>
    <row r="7414" spans="1:2" x14ac:dyDescent="0.35">
      <c r="A7414">
        <v>539</v>
      </c>
      <c r="B7414">
        <v>1</v>
      </c>
    </row>
    <row r="7415" spans="1:2" x14ac:dyDescent="0.35">
      <c r="A7415">
        <v>539</v>
      </c>
      <c r="B7415">
        <v>1</v>
      </c>
    </row>
    <row r="7416" spans="1:2" x14ac:dyDescent="0.35">
      <c r="A7416">
        <v>539</v>
      </c>
      <c r="B7416">
        <v>1</v>
      </c>
    </row>
    <row r="7417" spans="1:2" x14ac:dyDescent="0.35">
      <c r="A7417">
        <v>539</v>
      </c>
      <c r="B7417">
        <v>1</v>
      </c>
    </row>
    <row r="7418" spans="1:2" x14ac:dyDescent="0.35">
      <c r="A7418">
        <v>539</v>
      </c>
      <c r="B7418">
        <v>1</v>
      </c>
    </row>
    <row r="7419" spans="1:2" x14ac:dyDescent="0.35">
      <c r="A7419">
        <v>540</v>
      </c>
      <c r="B7419">
        <v>1</v>
      </c>
    </row>
    <row r="7420" spans="1:2" x14ac:dyDescent="0.35">
      <c r="A7420">
        <v>540</v>
      </c>
      <c r="B7420">
        <v>1</v>
      </c>
    </row>
    <row r="7421" spans="1:2" x14ac:dyDescent="0.35">
      <c r="A7421">
        <v>541</v>
      </c>
      <c r="B7421">
        <v>1</v>
      </c>
    </row>
    <row r="7422" spans="1:2" x14ac:dyDescent="0.35">
      <c r="A7422">
        <v>541</v>
      </c>
      <c r="B7422">
        <v>1</v>
      </c>
    </row>
    <row r="7423" spans="1:2" x14ac:dyDescent="0.35">
      <c r="A7423">
        <v>541</v>
      </c>
      <c r="B7423">
        <v>1</v>
      </c>
    </row>
    <row r="7424" spans="1:2" x14ac:dyDescent="0.35">
      <c r="A7424">
        <v>542</v>
      </c>
      <c r="B7424">
        <v>1</v>
      </c>
    </row>
    <row r="7425" spans="1:2" x14ac:dyDescent="0.35">
      <c r="A7425">
        <v>542</v>
      </c>
      <c r="B7425">
        <v>1</v>
      </c>
    </row>
    <row r="7426" spans="1:2" x14ac:dyDescent="0.35">
      <c r="A7426">
        <v>542</v>
      </c>
      <c r="B7426">
        <v>1</v>
      </c>
    </row>
    <row r="7427" spans="1:2" x14ac:dyDescent="0.35">
      <c r="A7427">
        <v>542</v>
      </c>
      <c r="B7427">
        <v>1</v>
      </c>
    </row>
    <row r="7428" spans="1:2" x14ac:dyDescent="0.35">
      <c r="A7428">
        <v>542</v>
      </c>
      <c r="B7428">
        <v>1</v>
      </c>
    </row>
    <row r="7429" spans="1:2" x14ac:dyDescent="0.35">
      <c r="A7429">
        <v>543</v>
      </c>
      <c r="B7429">
        <v>1</v>
      </c>
    </row>
    <row r="7430" spans="1:2" x14ac:dyDescent="0.35">
      <c r="A7430">
        <v>543</v>
      </c>
      <c r="B7430">
        <v>1</v>
      </c>
    </row>
    <row r="7431" spans="1:2" x14ac:dyDescent="0.35">
      <c r="A7431">
        <v>543</v>
      </c>
      <c r="B7431">
        <v>1</v>
      </c>
    </row>
    <row r="7432" spans="1:2" x14ac:dyDescent="0.35">
      <c r="A7432">
        <v>543</v>
      </c>
      <c r="B7432">
        <v>1</v>
      </c>
    </row>
    <row r="7433" spans="1:2" x14ac:dyDescent="0.35">
      <c r="A7433">
        <v>543</v>
      </c>
      <c r="B7433">
        <v>1</v>
      </c>
    </row>
    <row r="7434" spans="1:2" x14ac:dyDescent="0.35">
      <c r="A7434">
        <v>544</v>
      </c>
      <c r="B7434">
        <v>1</v>
      </c>
    </row>
    <row r="7435" spans="1:2" x14ac:dyDescent="0.35">
      <c r="A7435">
        <v>545</v>
      </c>
      <c r="B7435">
        <v>1</v>
      </c>
    </row>
    <row r="7436" spans="1:2" x14ac:dyDescent="0.35">
      <c r="A7436">
        <v>545</v>
      </c>
      <c r="B7436">
        <v>1</v>
      </c>
    </row>
    <row r="7437" spans="1:2" x14ac:dyDescent="0.35">
      <c r="A7437">
        <v>545</v>
      </c>
      <c r="B7437">
        <v>1</v>
      </c>
    </row>
    <row r="7438" spans="1:2" x14ac:dyDescent="0.35">
      <c r="A7438">
        <v>545</v>
      </c>
      <c r="B7438">
        <v>1</v>
      </c>
    </row>
    <row r="7439" spans="1:2" x14ac:dyDescent="0.35">
      <c r="A7439">
        <v>545</v>
      </c>
      <c r="B7439">
        <v>1</v>
      </c>
    </row>
    <row r="7440" spans="1:2" x14ac:dyDescent="0.35">
      <c r="A7440">
        <v>546</v>
      </c>
      <c r="B7440">
        <v>1</v>
      </c>
    </row>
    <row r="7441" spans="1:2" x14ac:dyDescent="0.35">
      <c r="A7441">
        <v>546</v>
      </c>
      <c r="B7441">
        <v>1</v>
      </c>
    </row>
    <row r="7442" spans="1:2" x14ac:dyDescent="0.35">
      <c r="A7442">
        <v>546</v>
      </c>
      <c r="B7442">
        <v>1</v>
      </c>
    </row>
    <row r="7443" spans="1:2" x14ac:dyDescent="0.35">
      <c r="A7443">
        <v>546</v>
      </c>
      <c r="B7443">
        <v>1</v>
      </c>
    </row>
    <row r="7444" spans="1:2" x14ac:dyDescent="0.35">
      <c r="A7444">
        <v>547</v>
      </c>
      <c r="B7444">
        <v>1</v>
      </c>
    </row>
    <row r="7445" spans="1:2" x14ac:dyDescent="0.35">
      <c r="A7445">
        <v>547</v>
      </c>
      <c r="B7445">
        <v>1</v>
      </c>
    </row>
    <row r="7446" spans="1:2" x14ac:dyDescent="0.35">
      <c r="A7446">
        <v>547</v>
      </c>
      <c r="B7446">
        <v>1</v>
      </c>
    </row>
    <row r="7447" spans="1:2" x14ac:dyDescent="0.35">
      <c r="A7447">
        <v>548</v>
      </c>
      <c r="B7447">
        <v>1</v>
      </c>
    </row>
    <row r="7448" spans="1:2" x14ac:dyDescent="0.35">
      <c r="A7448">
        <v>548</v>
      </c>
      <c r="B7448">
        <v>1</v>
      </c>
    </row>
    <row r="7449" spans="1:2" x14ac:dyDescent="0.35">
      <c r="A7449">
        <v>548</v>
      </c>
      <c r="B7449">
        <v>1</v>
      </c>
    </row>
    <row r="7450" spans="1:2" x14ac:dyDescent="0.35">
      <c r="A7450">
        <v>548</v>
      </c>
      <c r="B7450">
        <v>1</v>
      </c>
    </row>
    <row r="7451" spans="1:2" x14ac:dyDescent="0.35">
      <c r="A7451">
        <v>548</v>
      </c>
      <c r="B7451">
        <v>1</v>
      </c>
    </row>
    <row r="7452" spans="1:2" x14ac:dyDescent="0.35">
      <c r="A7452">
        <v>548</v>
      </c>
      <c r="B7452">
        <v>1</v>
      </c>
    </row>
    <row r="7453" spans="1:2" x14ac:dyDescent="0.35">
      <c r="A7453">
        <v>549</v>
      </c>
      <c r="B7453">
        <v>1</v>
      </c>
    </row>
    <row r="7454" spans="1:2" x14ac:dyDescent="0.35">
      <c r="A7454">
        <v>549</v>
      </c>
      <c r="B7454">
        <v>1</v>
      </c>
    </row>
    <row r="7455" spans="1:2" x14ac:dyDescent="0.35">
      <c r="A7455">
        <v>549</v>
      </c>
      <c r="B7455">
        <v>1</v>
      </c>
    </row>
    <row r="7456" spans="1:2" x14ac:dyDescent="0.35">
      <c r="A7456">
        <v>549</v>
      </c>
      <c r="B7456">
        <v>1</v>
      </c>
    </row>
    <row r="7457" spans="1:2" x14ac:dyDescent="0.35">
      <c r="A7457">
        <v>550</v>
      </c>
      <c r="B7457">
        <v>1</v>
      </c>
    </row>
    <row r="7458" spans="1:2" x14ac:dyDescent="0.35">
      <c r="A7458">
        <v>550</v>
      </c>
      <c r="B7458">
        <v>1</v>
      </c>
    </row>
    <row r="7459" spans="1:2" x14ac:dyDescent="0.35">
      <c r="A7459">
        <v>550</v>
      </c>
      <c r="B7459">
        <v>1</v>
      </c>
    </row>
    <row r="7460" spans="1:2" x14ac:dyDescent="0.35">
      <c r="A7460">
        <v>551</v>
      </c>
      <c r="B7460">
        <v>1</v>
      </c>
    </row>
    <row r="7461" spans="1:2" x14ac:dyDescent="0.35">
      <c r="A7461">
        <v>552</v>
      </c>
      <c r="B7461">
        <v>1</v>
      </c>
    </row>
    <row r="7462" spans="1:2" x14ac:dyDescent="0.35">
      <c r="A7462">
        <v>552</v>
      </c>
      <c r="B7462">
        <v>1</v>
      </c>
    </row>
    <row r="7463" spans="1:2" x14ac:dyDescent="0.35">
      <c r="A7463">
        <v>553</v>
      </c>
      <c r="B7463">
        <v>1</v>
      </c>
    </row>
    <row r="7464" spans="1:2" x14ac:dyDescent="0.35">
      <c r="A7464">
        <v>553</v>
      </c>
      <c r="B7464">
        <v>1</v>
      </c>
    </row>
    <row r="7465" spans="1:2" x14ac:dyDescent="0.35">
      <c r="A7465">
        <v>553</v>
      </c>
      <c r="B7465">
        <v>1</v>
      </c>
    </row>
    <row r="7466" spans="1:2" x14ac:dyDescent="0.35">
      <c r="A7466">
        <v>553</v>
      </c>
      <c r="B7466">
        <v>1</v>
      </c>
    </row>
    <row r="7467" spans="1:2" x14ac:dyDescent="0.35">
      <c r="A7467">
        <v>553</v>
      </c>
      <c r="B7467">
        <v>1</v>
      </c>
    </row>
    <row r="7468" spans="1:2" x14ac:dyDescent="0.35">
      <c r="A7468">
        <v>554</v>
      </c>
      <c r="B7468">
        <v>1</v>
      </c>
    </row>
    <row r="7469" spans="1:2" x14ac:dyDescent="0.35">
      <c r="A7469">
        <v>554</v>
      </c>
      <c r="B7469">
        <v>1</v>
      </c>
    </row>
    <row r="7470" spans="1:2" x14ac:dyDescent="0.35">
      <c r="A7470">
        <v>554</v>
      </c>
      <c r="B7470">
        <v>1</v>
      </c>
    </row>
    <row r="7471" spans="1:2" x14ac:dyDescent="0.35">
      <c r="A7471">
        <v>554</v>
      </c>
      <c r="B7471">
        <v>1</v>
      </c>
    </row>
    <row r="7472" spans="1:2" x14ac:dyDescent="0.35">
      <c r="A7472">
        <v>554</v>
      </c>
      <c r="B7472">
        <v>1</v>
      </c>
    </row>
    <row r="7473" spans="1:2" x14ac:dyDescent="0.35">
      <c r="A7473">
        <v>555</v>
      </c>
      <c r="B7473">
        <v>1</v>
      </c>
    </row>
    <row r="7474" spans="1:2" x14ac:dyDescent="0.35">
      <c r="A7474">
        <v>555</v>
      </c>
      <c r="B7474">
        <v>1</v>
      </c>
    </row>
    <row r="7475" spans="1:2" x14ac:dyDescent="0.35">
      <c r="A7475">
        <v>555</v>
      </c>
      <c r="B7475">
        <v>1</v>
      </c>
    </row>
    <row r="7476" spans="1:2" x14ac:dyDescent="0.35">
      <c r="A7476">
        <v>555</v>
      </c>
      <c r="B7476">
        <v>1</v>
      </c>
    </row>
    <row r="7477" spans="1:2" x14ac:dyDescent="0.35">
      <c r="A7477">
        <v>556</v>
      </c>
      <c r="B7477">
        <v>1</v>
      </c>
    </row>
    <row r="7478" spans="1:2" x14ac:dyDescent="0.35">
      <c r="A7478">
        <v>556</v>
      </c>
      <c r="B7478">
        <v>1</v>
      </c>
    </row>
    <row r="7479" spans="1:2" x14ac:dyDescent="0.35">
      <c r="A7479">
        <v>557</v>
      </c>
      <c r="B7479">
        <v>1</v>
      </c>
    </row>
    <row r="7480" spans="1:2" x14ac:dyDescent="0.35">
      <c r="A7480">
        <v>557</v>
      </c>
      <c r="B7480">
        <v>1</v>
      </c>
    </row>
    <row r="7481" spans="1:2" x14ac:dyDescent="0.35">
      <c r="A7481">
        <v>557</v>
      </c>
      <c r="B7481">
        <v>1</v>
      </c>
    </row>
    <row r="7482" spans="1:2" x14ac:dyDescent="0.35">
      <c r="A7482">
        <v>557</v>
      </c>
      <c r="B7482">
        <v>1</v>
      </c>
    </row>
    <row r="7483" spans="1:2" x14ac:dyDescent="0.35">
      <c r="A7483">
        <v>557</v>
      </c>
      <c r="B7483">
        <v>1</v>
      </c>
    </row>
    <row r="7484" spans="1:2" x14ac:dyDescent="0.35">
      <c r="A7484">
        <v>558</v>
      </c>
      <c r="B7484">
        <v>1</v>
      </c>
    </row>
    <row r="7485" spans="1:2" x14ac:dyDescent="0.35">
      <c r="A7485">
        <v>558</v>
      </c>
      <c r="B7485">
        <v>1</v>
      </c>
    </row>
    <row r="7486" spans="1:2" x14ac:dyDescent="0.35">
      <c r="A7486">
        <v>558</v>
      </c>
      <c r="B7486">
        <v>1</v>
      </c>
    </row>
    <row r="7487" spans="1:2" x14ac:dyDescent="0.35">
      <c r="A7487">
        <v>558</v>
      </c>
      <c r="B7487">
        <v>1</v>
      </c>
    </row>
    <row r="7488" spans="1:2" x14ac:dyDescent="0.35">
      <c r="A7488">
        <v>558</v>
      </c>
      <c r="B7488">
        <v>1</v>
      </c>
    </row>
    <row r="7489" spans="1:2" x14ac:dyDescent="0.35">
      <c r="A7489">
        <v>559</v>
      </c>
      <c r="B7489">
        <v>1</v>
      </c>
    </row>
    <row r="7490" spans="1:2" x14ac:dyDescent="0.35">
      <c r="A7490">
        <v>559</v>
      </c>
      <c r="B7490">
        <v>1</v>
      </c>
    </row>
    <row r="7491" spans="1:2" x14ac:dyDescent="0.35">
      <c r="A7491">
        <v>559</v>
      </c>
      <c r="B7491">
        <v>1</v>
      </c>
    </row>
    <row r="7492" spans="1:2" x14ac:dyDescent="0.35">
      <c r="A7492">
        <v>559</v>
      </c>
      <c r="B7492">
        <v>1</v>
      </c>
    </row>
    <row r="7493" spans="1:2" x14ac:dyDescent="0.35">
      <c r="A7493">
        <v>559</v>
      </c>
      <c r="B7493">
        <v>1</v>
      </c>
    </row>
    <row r="7494" spans="1:2" x14ac:dyDescent="0.35">
      <c r="A7494">
        <v>560</v>
      </c>
      <c r="B7494">
        <v>1</v>
      </c>
    </row>
    <row r="7495" spans="1:2" x14ac:dyDescent="0.35">
      <c r="A7495">
        <v>560</v>
      </c>
      <c r="B7495">
        <v>1</v>
      </c>
    </row>
    <row r="7496" spans="1:2" x14ac:dyDescent="0.35">
      <c r="A7496">
        <v>560</v>
      </c>
      <c r="B7496">
        <v>1</v>
      </c>
    </row>
    <row r="7497" spans="1:2" x14ac:dyDescent="0.35">
      <c r="A7497">
        <v>560</v>
      </c>
      <c r="B7497">
        <v>1</v>
      </c>
    </row>
    <row r="7498" spans="1:2" x14ac:dyDescent="0.35">
      <c r="A7498">
        <v>561</v>
      </c>
      <c r="B7498">
        <v>1</v>
      </c>
    </row>
    <row r="7499" spans="1:2" x14ac:dyDescent="0.35">
      <c r="A7499">
        <v>561</v>
      </c>
      <c r="B7499">
        <v>1</v>
      </c>
    </row>
    <row r="7500" spans="1:2" x14ac:dyDescent="0.35">
      <c r="A7500">
        <v>561</v>
      </c>
      <c r="B7500">
        <v>1</v>
      </c>
    </row>
    <row r="7501" spans="1:2" x14ac:dyDescent="0.35">
      <c r="A7501">
        <v>563</v>
      </c>
      <c r="B7501">
        <v>1</v>
      </c>
    </row>
    <row r="7502" spans="1:2" x14ac:dyDescent="0.35">
      <c r="A7502">
        <v>564</v>
      </c>
      <c r="B7502">
        <v>1</v>
      </c>
    </row>
    <row r="7503" spans="1:2" x14ac:dyDescent="0.35">
      <c r="A7503">
        <v>564</v>
      </c>
      <c r="B7503">
        <v>1</v>
      </c>
    </row>
    <row r="7504" spans="1:2" x14ac:dyDescent="0.35">
      <c r="A7504">
        <v>564</v>
      </c>
      <c r="B7504">
        <v>1</v>
      </c>
    </row>
    <row r="7505" spans="1:2" x14ac:dyDescent="0.35">
      <c r="A7505">
        <v>565</v>
      </c>
      <c r="B7505">
        <v>1</v>
      </c>
    </row>
    <row r="7506" spans="1:2" x14ac:dyDescent="0.35">
      <c r="A7506">
        <v>565</v>
      </c>
      <c r="B7506">
        <v>1</v>
      </c>
    </row>
    <row r="7507" spans="1:2" x14ac:dyDescent="0.35">
      <c r="A7507">
        <v>565</v>
      </c>
      <c r="B7507">
        <v>1</v>
      </c>
    </row>
    <row r="7508" spans="1:2" x14ac:dyDescent="0.35">
      <c r="A7508">
        <v>565</v>
      </c>
      <c r="B7508">
        <v>1</v>
      </c>
    </row>
    <row r="7509" spans="1:2" x14ac:dyDescent="0.35">
      <c r="A7509">
        <v>565</v>
      </c>
      <c r="B7509">
        <v>1</v>
      </c>
    </row>
    <row r="7510" spans="1:2" x14ac:dyDescent="0.35">
      <c r="A7510">
        <v>565</v>
      </c>
      <c r="B7510">
        <v>1</v>
      </c>
    </row>
    <row r="7511" spans="1:2" x14ac:dyDescent="0.35">
      <c r="A7511">
        <v>566</v>
      </c>
      <c r="B7511">
        <v>1</v>
      </c>
    </row>
    <row r="7512" spans="1:2" x14ac:dyDescent="0.35">
      <c r="A7512">
        <v>566</v>
      </c>
      <c r="B7512">
        <v>1</v>
      </c>
    </row>
    <row r="7513" spans="1:2" x14ac:dyDescent="0.35">
      <c r="A7513">
        <v>567</v>
      </c>
      <c r="B7513">
        <v>1</v>
      </c>
    </row>
    <row r="7514" spans="1:2" x14ac:dyDescent="0.35">
      <c r="A7514">
        <v>567</v>
      </c>
      <c r="B7514">
        <v>1</v>
      </c>
    </row>
    <row r="7515" spans="1:2" x14ac:dyDescent="0.35">
      <c r="A7515">
        <v>567</v>
      </c>
      <c r="B7515">
        <v>1</v>
      </c>
    </row>
    <row r="7516" spans="1:2" x14ac:dyDescent="0.35">
      <c r="A7516">
        <v>568</v>
      </c>
      <c r="B7516">
        <v>1</v>
      </c>
    </row>
    <row r="7517" spans="1:2" x14ac:dyDescent="0.35">
      <c r="A7517">
        <v>568</v>
      </c>
      <c r="B7517">
        <v>1</v>
      </c>
    </row>
    <row r="7518" spans="1:2" x14ac:dyDescent="0.35">
      <c r="A7518">
        <v>568</v>
      </c>
      <c r="B7518">
        <v>1</v>
      </c>
    </row>
    <row r="7519" spans="1:2" x14ac:dyDescent="0.35">
      <c r="A7519">
        <v>569</v>
      </c>
      <c r="B7519">
        <v>1</v>
      </c>
    </row>
    <row r="7520" spans="1:2" x14ac:dyDescent="0.35">
      <c r="A7520">
        <v>569</v>
      </c>
      <c r="B7520">
        <v>1</v>
      </c>
    </row>
    <row r="7521" spans="1:2" x14ac:dyDescent="0.35">
      <c r="A7521">
        <v>569</v>
      </c>
      <c r="B7521">
        <v>1</v>
      </c>
    </row>
    <row r="7522" spans="1:2" x14ac:dyDescent="0.35">
      <c r="A7522">
        <v>569</v>
      </c>
      <c r="B7522">
        <v>1</v>
      </c>
    </row>
    <row r="7523" spans="1:2" x14ac:dyDescent="0.35">
      <c r="A7523">
        <v>569</v>
      </c>
      <c r="B7523">
        <v>1</v>
      </c>
    </row>
    <row r="7524" spans="1:2" x14ac:dyDescent="0.35">
      <c r="A7524">
        <v>570</v>
      </c>
      <c r="B7524">
        <v>1</v>
      </c>
    </row>
    <row r="7525" spans="1:2" x14ac:dyDescent="0.35">
      <c r="A7525">
        <v>571</v>
      </c>
      <c r="B7525">
        <v>1</v>
      </c>
    </row>
    <row r="7526" spans="1:2" x14ac:dyDescent="0.35">
      <c r="A7526">
        <v>572</v>
      </c>
      <c r="B7526">
        <v>1</v>
      </c>
    </row>
    <row r="7527" spans="1:2" x14ac:dyDescent="0.35">
      <c r="A7527">
        <v>572</v>
      </c>
      <c r="B7527">
        <v>1</v>
      </c>
    </row>
    <row r="7528" spans="1:2" x14ac:dyDescent="0.35">
      <c r="A7528">
        <v>573</v>
      </c>
      <c r="B7528">
        <v>1</v>
      </c>
    </row>
    <row r="7529" spans="1:2" x14ac:dyDescent="0.35">
      <c r="A7529">
        <v>573</v>
      </c>
      <c r="B7529">
        <v>1</v>
      </c>
    </row>
    <row r="7530" spans="1:2" x14ac:dyDescent="0.35">
      <c r="A7530">
        <v>573</v>
      </c>
      <c r="B7530">
        <v>1</v>
      </c>
    </row>
    <row r="7531" spans="1:2" x14ac:dyDescent="0.35">
      <c r="A7531">
        <v>574</v>
      </c>
      <c r="B7531">
        <v>1</v>
      </c>
    </row>
    <row r="7532" spans="1:2" x14ac:dyDescent="0.35">
      <c r="A7532">
        <v>574</v>
      </c>
      <c r="B7532">
        <v>1</v>
      </c>
    </row>
    <row r="7533" spans="1:2" x14ac:dyDescent="0.35">
      <c r="A7533">
        <v>575</v>
      </c>
      <c r="B7533">
        <v>1</v>
      </c>
    </row>
    <row r="7534" spans="1:2" x14ac:dyDescent="0.35">
      <c r="A7534">
        <v>575</v>
      </c>
      <c r="B7534">
        <v>1</v>
      </c>
    </row>
    <row r="7535" spans="1:2" x14ac:dyDescent="0.35">
      <c r="A7535">
        <v>576</v>
      </c>
      <c r="B7535">
        <v>1</v>
      </c>
    </row>
    <row r="7536" spans="1:2" x14ac:dyDescent="0.35">
      <c r="A7536">
        <v>577</v>
      </c>
      <c r="B7536">
        <v>1</v>
      </c>
    </row>
    <row r="7537" spans="1:2" x14ac:dyDescent="0.35">
      <c r="A7537">
        <v>577</v>
      </c>
      <c r="B7537">
        <v>1</v>
      </c>
    </row>
    <row r="7538" spans="1:2" x14ac:dyDescent="0.35">
      <c r="A7538">
        <v>577</v>
      </c>
      <c r="B7538">
        <v>1</v>
      </c>
    </row>
    <row r="7539" spans="1:2" x14ac:dyDescent="0.35">
      <c r="A7539">
        <v>577</v>
      </c>
      <c r="B7539">
        <v>1</v>
      </c>
    </row>
    <row r="7540" spans="1:2" x14ac:dyDescent="0.35">
      <c r="A7540">
        <v>577</v>
      </c>
      <c r="B7540">
        <v>1</v>
      </c>
    </row>
    <row r="7541" spans="1:2" x14ac:dyDescent="0.35">
      <c r="A7541">
        <v>578</v>
      </c>
      <c r="B7541">
        <v>1</v>
      </c>
    </row>
    <row r="7542" spans="1:2" x14ac:dyDescent="0.35">
      <c r="A7542">
        <v>578</v>
      </c>
      <c r="B7542">
        <v>1</v>
      </c>
    </row>
    <row r="7543" spans="1:2" x14ac:dyDescent="0.35">
      <c r="A7543">
        <v>578</v>
      </c>
      <c r="B7543">
        <v>1</v>
      </c>
    </row>
    <row r="7544" spans="1:2" x14ac:dyDescent="0.35">
      <c r="A7544">
        <v>578</v>
      </c>
      <c r="B7544">
        <v>1</v>
      </c>
    </row>
    <row r="7545" spans="1:2" x14ac:dyDescent="0.35">
      <c r="A7545">
        <v>578</v>
      </c>
      <c r="B7545">
        <v>1</v>
      </c>
    </row>
    <row r="7546" spans="1:2" x14ac:dyDescent="0.35">
      <c r="A7546">
        <v>579</v>
      </c>
      <c r="B7546">
        <v>1</v>
      </c>
    </row>
    <row r="7547" spans="1:2" x14ac:dyDescent="0.35">
      <c r="A7547">
        <v>579</v>
      </c>
      <c r="B7547">
        <v>1</v>
      </c>
    </row>
    <row r="7548" spans="1:2" x14ac:dyDescent="0.35">
      <c r="A7548">
        <v>579</v>
      </c>
      <c r="B7548">
        <v>1</v>
      </c>
    </row>
    <row r="7549" spans="1:2" x14ac:dyDescent="0.35">
      <c r="A7549">
        <v>580</v>
      </c>
      <c r="B7549">
        <v>1</v>
      </c>
    </row>
    <row r="7550" spans="1:2" x14ac:dyDescent="0.35">
      <c r="A7550">
        <v>580</v>
      </c>
      <c r="B7550">
        <v>1</v>
      </c>
    </row>
    <row r="7551" spans="1:2" x14ac:dyDescent="0.35">
      <c r="A7551">
        <v>580</v>
      </c>
      <c r="B7551">
        <v>1</v>
      </c>
    </row>
    <row r="7552" spans="1:2" x14ac:dyDescent="0.35">
      <c r="A7552">
        <v>581</v>
      </c>
      <c r="B7552">
        <v>1</v>
      </c>
    </row>
    <row r="7553" spans="1:2" x14ac:dyDescent="0.35">
      <c r="A7553">
        <v>582</v>
      </c>
      <c r="B7553">
        <v>1</v>
      </c>
    </row>
    <row r="7554" spans="1:2" x14ac:dyDescent="0.35">
      <c r="A7554">
        <v>582</v>
      </c>
      <c r="B7554">
        <v>1</v>
      </c>
    </row>
    <row r="7555" spans="1:2" x14ac:dyDescent="0.35">
      <c r="A7555">
        <v>583</v>
      </c>
      <c r="B7555">
        <v>1</v>
      </c>
    </row>
    <row r="7556" spans="1:2" x14ac:dyDescent="0.35">
      <c r="A7556">
        <v>583</v>
      </c>
      <c r="B7556">
        <v>1</v>
      </c>
    </row>
    <row r="7557" spans="1:2" x14ac:dyDescent="0.35">
      <c r="A7557">
        <v>584</v>
      </c>
      <c r="B7557">
        <v>1</v>
      </c>
    </row>
    <row r="7558" spans="1:2" x14ac:dyDescent="0.35">
      <c r="A7558">
        <v>584</v>
      </c>
      <c r="B7558">
        <v>1</v>
      </c>
    </row>
    <row r="7559" spans="1:2" x14ac:dyDescent="0.35">
      <c r="A7559">
        <v>585</v>
      </c>
      <c r="B7559">
        <v>1</v>
      </c>
    </row>
    <row r="7560" spans="1:2" x14ac:dyDescent="0.35">
      <c r="A7560">
        <v>585</v>
      </c>
      <c r="B7560">
        <v>1</v>
      </c>
    </row>
    <row r="7561" spans="1:2" x14ac:dyDescent="0.35">
      <c r="A7561">
        <v>585</v>
      </c>
      <c r="B7561">
        <v>1</v>
      </c>
    </row>
    <row r="7562" spans="1:2" x14ac:dyDescent="0.35">
      <c r="A7562">
        <v>585</v>
      </c>
      <c r="B7562">
        <v>1</v>
      </c>
    </row>
    <row r="7563" spans="1:2" x14ac:dyDescent="0.35">
      <c r="A7563">
        <v>586</v>
      </c>
      <c r="B7563">
        <v>1</v>
      </c>
    </row>
    <row r="7564" spans="1:2" x14ac:dyDescent="0.35">
      <c r="A7564">
        <v>586</v>
      </c>
      <c r="B7564">
        <v>1</v>
      </c>
    </row>
    <row r="7565" spans="1:2" x14ac:dyDescent="0.35">
      <c r="A7565">
        <v>587</v>
      </c>
      <c r="B7565">
        <v>1</v>
      </c>
    </row>
    <row r="7566" spans="1:2" x14ac:dyDescent="0.35">
      <c r="A7566">
        <v>587</v>
      </c>
      <c r="B7566">
        <v>1</v>
      </c>
    </row>
    <row r="7567" spans="1:2" x14ac:dyDescent="0.35">
      <c r="A7567">
        <v>587</v>
      </c>
      <c r="B7567">
        <v>1</v>
      </c>
    </row>
    <row r="7568" spans="1:2" x14ac:dyDescent="0.35">
      <c r="A7568">
        <v>589</v>
      </c>
      <c r="B7568">
        <v>1</v>
      </c>
    </row>
    <row r="7569" spans="1:2" x14ac:dyDescent="0.35">
      <c r="A7569">
        <v>589</v>
      </c>
      <c r="B7569">
        <v>1</v>
      </c>
    </row>
    <row r="7570" spans="1:2" x14ac:dyDescent="0.35">
      <c r="A7570">
        <v>589</v>
      </c>
      <c r="B7570">
        <v>1</v>
      </c>
    </row>
    <row r="7571" spans="1:2" x14ac:dyDescent="0.35">
      <c r="A7571">
        <v>589</v>
      </c>
      <c r="B7571">
        <v>1</v>
      </c>
    </row>
    <row r="7572" spans="1:2" x14ac:dyDescent="0.35">
      <c r="A7572">
        <v>590</v>
      </c>
      <c r="B7572">
        <v>1</v>
      </c>
    </row>
    <row r="7573" spans="1:2" x14ac:dyDescent="0.35">
      <c r="A7573">
        <v>590</v>
      </c>
      <c r="B7573">
        <v>1</v>
      </c>
    </row>
    <row r="7574" spans="1:2" x14ac:dyDescent="0.35">
      <c r="A7574">
        <v>590</v>
      </c>
      <c r="B7574">
        <v>1</v>
      </c>
    </row>
    <row r="7575" spans="1:2" x14ac:dyDescent="0.35">
      <c r="A7575">
        <v>590</v>
      </c>
      <c r="B7575">
        <v>1</v>
      </c>
    </row>
    <row r="7576" spans="1:2" x14ac:dyDescent="0.35">
      <c r="A7576">
        <v>591</v>
      </c>
      <c r="B7576">
        <v>1</v>
      </c>
    </row>
    <row r="7577" spans="1:2" x14ac:dyDescent="0.35">
      <c r="A7577">
        <v>592</v>
      </c>
      <c r="B7577">
        <v>1</v>
      </c>
    </row>
    <row r="7578" spans="1:2" x14ac:dyDescent="0.35">
      <c r="A7578">
        <v>593</v>
      </c>
      <c r="B7578">
        <v>1</v>
      </c>
    </row>
    <row r="7579" spans="1:2" x14ac:dyDescent="0.35">
      <c r="A7579">
        <v>593</v>
      </c>
      <c r="B7579">
        <v>1</v>
      </c>
    </row>
    <row r="7580" spans="1:2" x14ac:dyDescent="0.35">
      <c r="A7580">
        <v>594</v>
      </c>
      <c r="B7580">
        <v>1</v>
      </c>
    </row>
    <row r="7581" spans="1:2" x14ac:dyDescent="0.35">
      <c r="A7581">
        <v>594</v>
      </c>
      <c r="B7581">
        <v>1</v>
      </c>
    </row>
    <row r="7582" spans="1:2" x14ac:dyDescent="0.35">
      <c r="A7582">
        <v>594</v>
      </c>
      <c r="B7582">
        <v>1</v>
      </c>
    </row>
    <row r="7583" spans="1:2" x14ac:dyDescent="0.35">
      <c r="A7583">
        <v>594</v>
      </c>
      <c r="B7583">
        <v>1</v>
      </c>
    </row>
    <row r="7584" spans="1:2" x14ac:dyDescent="0.35">
      <c r="A7584">
        <v>595</v>
      </c>
      <c r="B7584">
        <v>1</v>
      </c>
    </row>
    <row r="7585" spans="1:2" x14ac:dyDescent="0.35">
      <c r="A7585">
        <v>595</v>
      </c>
      <c r="B7585">
        <v>1</v>
      </c>
    </row>
    <row r="7586" spans="1:2" x14ac:dyDescent="0.35">
      <c r="A7586">
        <v>595</v>
      </c>
      <c r="B7586">
        <v>1</v>
      </c>
    </row>
    <row r="7587" spans="1:2" x14ac:dyDescent="0.35">
      <c r="A7587">
        <v>595</v>
      </c>
      <c r="B7587">
        <v>1</v>
      </c>
    </row>
    <row r="7588" spans="1:2" x14ac:dyDescent="0.35">
      <c r="A7588">
        <v>596</v>
      </c>
      <c r="B7588">
        <v>1</v>
      </c>
    </row>
    <row r="7589" spans="1:2" x14ac:dyDescent="0.35">
      <c r="A7589">
        <v>596</v>
      </c>
      <c r="B7589">
        <v>1</v>
      </c>
    </row>
    <row r="7590" spans="1:2" x14ac:dyDescent="0.35">
      <c r="A7590">
        <v>597</v>
      </c>
      <c r="B7590">
        <v>1</v>
      </c>
    </row>
    <row r="7591" spans="1:2" x14ac:dyDescent="0.35">
      <c r="A7591">
        <v>597</v>
      </c>
      <c r="B7591">
        <v>1</v>
      </c>
    </row>
    <row r="7592" spans="1:2" x14ac:dyDescent="0.35">
      <c r="A7592">
        <v>597</v>
      </c>
      <c r="B7592">
        <v>1</v>
      </c>
    </row>
    <row r="7593" spans="1:2" x14ac:dyDescent="0.35">
      <c r="A7593">
        <v>597</v>
      </c>
      <c r="B7593">
        <v>1</v>
      </c>
    </row>
    <row r="7594" spans="1:2" x14ac:dyDescent="0.35">
      <c r="A7594">
        <v>598</v>
      </c>
      <c r="B7594">
        <v>1</v>
      </c>
    </row>
    <row r="7595" spans="1:2" x14ac:dyDescent="0.35">
      <c r="A7595">
        <v>598</v>
      </c>
      <c r="B7595">
        <v>1</v>
      </c>
    </row>
    <row r="7596" spans="1:2" x14ac:dyDescent="0.35">
      <c r="A7596">
        <v>599</v>
      </c>
      <c r="B7596">
        <v>1</v>
      </c>
    </row>
    <row r="7597" spans="1:2" x14ac:dyDescent="0.35">
      <c r="A7597">
        <v>599</v>
      </c>
      <c r="B7597">
        <v>1</v>
      </c>
    </row>
    <row r="7598" spans="1:2" x14ac:dyDescent="0.35">
      <c r="A7598">
        <v>599</v>
      </c>
      <c r="B7598">
        <v>1</v>
      </c>
    </row>
    <row r="7599" spans="1:2" x14ac:dyDescent="0.35">
      <c r="A7599">
        <v>599</v>
      </c>
      <c r="B7599">
        <v>1</v>
      </c>
    </row>
    <row r="7600" spans="1:2" x14ac:dyDescent="0.35">
      <c r="A7600">
        <v>600</v>
      </c>
      <c r="B7600">
        <v>1</v>
      </c>
    </row>
    <row r="7601" spans="1:2" x14ac:dyDescent="0.35">
      <c r="A7601">
        <v>600</v>
      </c>
      <c r="B7601">
        <v>1</v>
      </c>
    </row>
    <row r="7602" spans="1:2" x14ac:dyDescent="0.35">
      <c r="A7602">
        <v>600</v>
      </c>
      <c r="B7602">
        <v>1</v>
      </c>
    </row>
    <row r="7603" spans="1:2" x14ac:dyDescent="0.35">
      <c r="A7603">
        <v>600</v>
      </c>
      <c r="B7603">
        <v>1</v>
      </c>
    </row>
    <row r="7604" spans="1:2" x14ac:dyDescent="0.35">
      <c r="A7604">
        <v>601</v>
      </c>
      <c r="B7604">
        <v>1</v>
      </c>
    </row>
    <row r="7605" spans="1:2" x14ac:dyDescent="0.35">
      <c r="A7605">
        <v>603</v>
      </c>
      <c r="B7605">
        <v>1</v>
      </c>
    </row>
    <row r="7606" spans="1:2" x14ac:dyDescent="0.35">
      <c r="A7606">
        <v>603</v>
      </c>
      <c r="B7606">
        <v>1</v>
      </c>
    </row>
    <row r="7607" spans="1:2" x14ac:dyDescent="0.35">
      <c r="A7607">
        <v>603</v>
      </c>
      <c r="B7607">
        <v>1</v>
      </c>
    </row>
    <row r="7608" spans="1:2" x14ac:dyDescent="0.35">
      <c r="A7608">
        <v>603</v>
      </c>
      <c r="B7608">
        <v>1</v>
      </c>
    </row>
    <row r="7609" spans="1:2" x14ac:dyDescent="0.35">
      <c r="A7609">
        <v>603</v>
      </c>
      <c r="B7609">
        <v>1</v>
      </c>
    </row>
    <row r="7610" spans="1:2" x14ac:dyDescent="0.35">
      <c r="A7610">
        <v>604</v>
      </c>
      <c r="B7610">
        <v>1</v>
      </c>
    </row>
    <row r="7611" spans="1:2" x14ac:dyDescent="0.35">
      <c r="A7611">
        <v>604</v>
      </c>
      <c r="B7611">
        <v>1</v>
      </c>
    </row>
    <row r="7612" spans="1:2" x14ac:dyDescent="0.35">
      <c r="A7612">
        <v>604</v>
      </c>
      <c r="B7612">
        <v>1</v>
      </c>
    </row>
    <row r="7613" spans="1:2" x14ac:dyDescent="0.35">
      <c r="A7613">
        <v>604</v>
      </c>
      <c r="B7613">
        <v>1</v>
      </c>
    </row>
    <row r="7614" spans="1:2" x14ac:dyDescent="0.35">
      <c r="A7614">
        <v>605</v>
      </c>
      <c r="B7614">
        <v>1</v>
      </c>
    </row>
    <row r="7615" spans="1:2" x14ac:dyDescent="0.35">
      <c r="A7615">
        <v>605</v>
      </c>
      <c r="B7615">
        <v>1</v>
      </c>
    </row>
    <row r="7616" spans="1:2" x14ac:dyDescent="0.35">
      <c r="A7616">
        <v>605</v>
      </c>
      <c r="B7616">
        <v>1</v>
      </c>
    </row>
    <row r="7617" spans="1:2" x14ac:dyDescent="0.35">
      <c r="A7617">
        <v>605</v>
      </c>
      <c r="B7617">
        <v>1</v>
      </c>
    </row>
    <row r="7618" spans="1:2" x14ac:dyDescent="0.35">
      <c r="A7618">
        <v>606</v>
      </c>
      <c r="B7618">
        <v>1</v>
      </c>
    </row>
    <row r="7619" spans="1:2" x14ac:dyDescent="0.35">
      <c r="A7619">
        <v>606</v>
      </c>
      <c r="B7619">
        <v>1</v>
      </c>
    </row>
    <row r="7620" spans="1:2" x14ac:dyDescent="0.35">
      <c r="A7620">
        <v>607</v>
      </c>
      <c r="B7620">
        <v>1</v>
      </c>
    </row>
    <row r="7621" spans="1:2" x14ac:dyDescent="0.35">
      <c r="A7621">
        <v>608</v>
      </c>
      <c r="B7621">
        <v>1</v>
      </c>
    </row>
    <row r="7622" spans="1:2" x14ac:dyDescent="0.35">
      <c r="A7622">
        <v>608</v>
      </c>
      <c r="B7622">
        <v>1</v>
      </c>
    </row>
    <row r="7623" spans="1:2" x14ac:dyDescent="0.35">
      <c r="A7623">
        <v>608</v>
      </c>
      <c r="B7623">
        <v>1</v>
      </c>
    </row>
    <row r="7624" spans="1:2" x14ac:dyDescent="0.35">
      <c r="A7624">
        <v>609</v>
      </c>
      <c r="B7624">
        <v>1</v>
      </c>
    </row>
    <row r="7625" spans="1:2" x14ac:dyDescent="0.35">
      <c r="A7625">
        <v>609</v>
      </c>
      <c r="B7625">
        <v>1</v>
      </c>
    </row>
    <row r="7626" spans="1:2" x14ac:dyDescent="0.35">
      <c r="A7626">
        <v>609</v>
      </c>
      <c r="B7626">
        <v>1</v>
      </c>
    </row>
    <row r="7627" spans="1:2" x14ac:dyDescent="0.35">
      <c r="A7627">
        <v>610</v>
      </c>
      <c r="B7627">
        <v>1</v>
      </c>
    </row>
    <row r="7628" spans="1:2" x14ac:dyDescent="0.35">
      <c r="A7628">
        <v>610</v>
      </c>
      <c r="B7628">
        <v>1</v>
      </c>
    </row>
    <row r="7629" spans="1:2" x14ac:dyDescent="0.35">
      <c r="A7629">
        <v>610</v>
      </c>
      <c r="B7629">
        <v>1</v>
      </c>
    </row>
    <row r="7630" spans="1:2" x14ac:dyDescent="0.35">
      <c r="A7630">
        <v>610</v>
      </c>
      <c r="B7630">
        <v>1</v>
      </c>
    </row>
    <row r="7631" spans="1:2" x14ac:dyDescent="0.35">
      <c r="A7631">
        <v>610</v>
      </c>
      <c r="B7631">
        <v>1</v>
      </c>
    </row>
    <row r="7632" spans="1:2" x14ac:dyDescent="0.35">
      <c r="A7632">
        <v>610</v>
      </c>
      <c r="B7632">
        <v>1</v>
      </c>
    </row>
    <row r="7633" spans="1:2" x14ac:dyDescent="0.35">
      <c r="A7633">
        <v>611</v>
      </c>
      <c r="B7633">
        <v>1</v>
      </c>
    </row>
    <row r="7634" spans="1:2" x14ac:dyDescent="0.35">
      <c r="A7634">
        <v>611</v>
      </c>
      <c r="B7634">
        <v>1</v>
      </c>
    </row>
    <row r="7635" spans="1:2" x14ac:dyDescent="0.35">
      <c r="A7635">
        <v>611</v>
      </c>
      <c r="B7635">
        <v>1</v>
      </c>
    </row>
    <row r="7636" spans="1:2" x14ac:dyDescent="0.35">
      <c r="A7636">
        <v>611</v>
      </c>
      <c r="B7636">
        <v>1</v>
      </c>
    </row>
    <row r="7637" spans="1:2" x14ac:dyDescent="0.35">
      <c r="A7637">
        <v>613</v>
      </c>
      <c r="B7637">
        <v>1</v>
      </c>
    </row>
    <row r="7638" spans="1:2" x14ac:dyDescent="0.35">
      <c r="A7638">
        <v>613</v>
      </c>
      <c r="B7638">
        <v>1</v>
      </c>
    </row>
    <row r="7639" spans="1:2" x14ac:dyDescent="0.35">
      <c r="A7639">
        <v>614</v>
      </c>
      <c r="B7639">
        <v>1</v>
      </c>
    </row>
    <row r="7640" spans="1:2" x14ac:dyDescent="0.35">
      <c r="A7640">
        <v>614</v>
      </c>
      <c r="B7640">
        <v>1</v>
      </c>
    </row>
    <row r="7641" spans="1:2" x14ac:dyDescent="0.35">
      <c r="A7641">
        <v>614</v>
      </c>
      <c r="B7641">
        <v>1</v>
      </c>
    </row>
    <row r="7642" spans="1:2" x14ac:dyDescent="0.35">
      <c r="A7642">
        <v>615</v>
      </c>
      <c r="B7642">
        <v>1</v>
      </c>
    </row>
    <row r="7643" spans="1:2" x14ac:dyDescent="0.35">
      <c r="A7643">
        <v>615</v>
      </c>
      <c r="B7643">
        <v>1</v>
      </c>
    </row>
    <row r="7644" spans="1:2" x14ac:dyDescent="0.35">
      <c r="A7644">
        <v>615</v>
      </c>
      <c r="B7644">
        <v>1</v>
      </c>
    </row>
    <row r="7645" spans="1:2" x14ac:dyDescent="0.35">
      <c r="A7645">
        <v>616</v>
      </c>
      <c r="B7645">
        <v>1</v>
      </c>
    </row>
    <row r="7646" spans="1:2" x14ac:dyDescent="0.35">
      <c r="A7646">
        <v>616</v>
      </c>
      <c r="B7646">
        <v>1</v>
      </c>
    </row>
    <row r="7647" spans="1:2" x14ac:dyDescent="0.35">
      <c r="A7647">
        <v>617</v>
      </c>
      <c r="B7647">
        <v>1</v>
      </c>
    </row>
    <row r="7648" spans="1:2" x14ac:dyDescent="0.35">
      <c r="A7648">
        <v>617</v>
      </c>
      <c r="B7648">
        <v>1</v>
      </c>
    </row>
    <row r="7649" spans="1:2" x14ac:dyDescent="0.35">
      <c r="A7649">
        <v>617</v>
      </c>
      <c r="B7649">
        <v>1</v>
      </c>
    </row>
    <row r="7650" spans="1:2" x14ac:dyDescent="0.35">
      <c r="A7650">
        <v>617</v>
      </c>
      <c r="B7650">
        <v>1</v>
      </c>
    </row>
    <row r="7651" spans="1:2" x14ac:dyDescent="0.35">
      <c r="A7651">
        <v>619</v>
      </c>
      <c r="B7651">
        <v>1</v>
      </c>
    </row>
    <row r="7652" spans="1:2" x14ac:dyDescent="0.35">
      <c r="A7652">
        <v>619</v>
      </c>
      <c r="B7652">
        <v>1</v>
      </c>
    </row>
    <row r="7653" spans="1:2" x14ac:dyDescent="0.35">
      <c r="A7653">
        <v>620</v>
      </c>
      <c r="B7653">
        <v>1</v>
      </c>
    </row>
    <row r="7654" spans="1:2" x14ac:dyDescent="0.35">
      <c r="A7654">
        <v>620</v>
      </c>
      <c r="B7654">
        <v>1</v>
      </c>
    </row>
    <row r="7655" spans="1:2" x14ac:dyDescent="0.35">
      <c r="A7655">
        <v>621</v>
      </c>
      <c r="B7655">
        <v>1</v>
      </c>
    </row>
    <row r="7656" spans="1:2" x14ac:dyDescent="0.35">
      <c r="A7656">
        <v>621</v>
      </c>
      <c r="B7656">
        <v>1</v>
      </c>
    </row>
    <row r="7657" spans="1:2" x14ac:dyDescent="0.35">
      <c r="A7657">
        <v>621</v>
      </c>
      <c r="B7657">
        <v>1</v>
      </c>
    </row>
    <row r="7658" spans="1:2" x14ac:dyDescent="0.35">
      <c r="A7658">
        <v>622</v>
      </c>
      <c r="B7658">
        <v>1</v>
      </c>
    </row>
    <row r="7659" spans="1:2" x14ac:dyDescent="0.35">
      <c r="A7659">
        <v>622</v>
      </c>
      <c r="B7659">
        <v>1</v>
      </c>
    </row>
    <row r="7660" spans="1:2" x14ac:dyDescent="0.35">
      <c r="A7660">
        <v>622</v>
      </c>
      <c r="B7660">
        <v>1</v>
      </c>
    </row>
    <row r="7661" spans="1:2" x14ac:dyDescent="0.35">
      <c r="A7661">
        <v>623</v>
      </c>
      <c r="B7661">
        <v>1</v>
      </c>
    </row>
    <row r="7662" spans="1:2" x14ac:dyDescent="0.35">
      <c r="A7662">
        <v>623</v>
      </c>
      <c r="B7662">
        <v>1</v>
      </c>
    </row>
    <row r="7663" spans="1:2" x14ac:dyDescent="0.35">
      <c r="A7663">
        <v>625</v>
      </c>
      <c r="B7663">
        <v>1</v>
      </c>
    </row>
    <row r="7664" spans="1:2" x14ac:dyDescent="0.35">
      <c r="A7664">
        <v>625</v>
      </c>
      <c r="B7664">
        <v>1</v>
      </c>
    </row>
    <row r="7665" spans="1:2" x14ac:dyDescent="0.35">
      <c r="A7665">
        <v>625</v>
      </c>
      <c r="B7665">
        <v>1</v>
      </c>
    </row>
    <row r="7666" spans="1:2" x14ac:dyDescent="0.35">
      <c r="A7666">
        <v>626</v>
      </c>
      <c r="B7666">
        <v>1</v>
      </c>
    </row>
    <row r="7667" spans="1:2" x14ac:dyDescent="0.35">
      <c r="A7667">
        <v>626</v>
      </c>
      <c r="B7667">
        <v>1</v>
      </c>
    </row>
    <row r="7668" spans="1:2" x14ac:dyDescent="0.35">
      <c r="A7668">
        <v>626</v>
      </c>
      <c r="B7668">
        <v>1</v>
      </c>
    </row>
    <row r="7669" spans="1:2" x14ac:dyDescent="0.35">
      <c r="A7669">
        <v>627</v>
      </c>
      <c r="B7669">
        <v>1</v>
      </c>
    </row>
    <row r="7670" spans="1:2" x14ac:dyDescent="0.35">
      <c r="A7670">
        <v>627</v>
      </c>
      <c r="B7670">
        <v>1</v>
      </c>
    </row>
    <row r="7671" spans="1:2" x14ac:dyDescent="0.35">
      <c r="A7671">
        <v>627</v>
      </c>
      <c r="B7671">
        <v>1</v>
      </c>
    </row>
    <row r="7672" spans="1:2" x14ac:dyDescent="0.35">
      <c r="A7672">
        <v>628</v>
      </c>
      <c r="B7672">
        <v>1</v>
      </c>
    </row>
    <row r="7673" spans="1:2" x14ac:dyDescent="0.35">
      <c r="A7673">
        <v>628</v>
      </c>
      <c r="B7673">
        <v>1</v>
      </c>
    </row>
    <row r="7674" spans="1:2" x14ac:dyDescent="0.35">
      <c r="A7674">
        <v>628</v>
      </c>
      <c r="B7674">
        <v>1</v>
      </c>
    </row>
    <row r="7675" spans="1:2" x14ac:dyDescent="0.35">
      <c r="A7675">
        <v>628</v>
      </c>
      <c r="B7675">
        <v>1</v>
      </c>
    </row>
    <row r="7676" spans="1:2" x14ac:dyDescent="0.35">
      <c r="A7676">
        <v>629</v>
      </c>
      <c r="B7676">
        <v>1</v>
      </c>
    </row>
    <row r="7677" spans="1:2" x14ac:dyDescent="0.35">
      <c r="A7677">
        <v>629</v>
      </c>
      <c r="B7677">
        <v>1</v>
      </c>
    </row>
    <row r="7678" spans="1:2" x14ac:dyDescent="0.35">
      <c r="A7678">
        <v>629</v>
      </c>
      <c r="B7678">
        <v>1</v>
      </c>
    </row>
    <row r="7679" spans="1:2" x14ac:dyDescent="0.35">
      <c r="A7679">
        <v>629</v>
      </c>
      <c r="B7679">
        <v>1</v>
      </c>
    </row>
    <row r="7680" spans="1:2" x14ac:dyDescent="0.35">
      <c r="A7680">
        <v>630</v>
      </c>
      <c r="B7680">
        <v>1</v>
      </c>
    </row>
    <row r="7681" spans="1:2" x14ac:dyDescent="0.35">
      <c r="A7681">
        <v>630</v>
      </c>
      <c r="B7681">
        <v>1</v>
      </c>
    </row>
    <row r="7682" spans="1:2" x14ac:dyDescent="0.35">
      <c r="A7682">
        <v>630</v>
      </c>
      <c r="B7682">
        <v>1</v>
      </c>
    </row>
    <row r="7683" spans="1:2" x14ac:dyDescent="0.35">
      <c r="A7683">
        <v>631</v>
      </c>
      <c r="B7683">
        <v>1</v>
      </c>
    </row>
    <row r="7684" spans="1:2" x14ac:dyDescent="0.35">
      <c r="A7684">
        <v>631</v>
      </c>
      <c r="B7684">
        <v>1</v>
      </c>
    </row>
    <row r="7685" spans="1:2" x14ac:dyDescent="0.35">
      <c r="A7685">
        <v>632</v>
      </c>
      <c r="B7685">
        <v>1</v>
      </c>
    </row>
    <row r="7686" spans="1:2" x14ac:dyDescent="0.35">
      <c r="A7686">
        <v>633</v>
      </c>
      <c r="B7686">
        <v>1</v>
      </c>
    </row>
    <row r="7687" spans="1:2" x14ac:dyDescent="0.35">
      <c r="A7687">
        <v>633</v>
      </c>
      <c r="B7687">
        <v>1</v>
      </c>
    </row>
    <row r="7688" spans="1:2" x14ac:dyDescent="0.35">
      <c r="A7688">
        <v>633</v>
      </c>
      <c r="B7688">
        <v>1</v>
      </c>
    </row>
    <row r="7689" spans="1:2" x14ac:dyDescent="0.35">
      <c r="A7689">
        <v>634</v>
      </c>
      <c r="B7689">
        <v>1</v>
      </c>
    </row>
    <row r="7690" spans="1:2" x14ac:dyDescent="0.35">
      <c r="A7690">
        <v>634</v>
      </c>
      <c r="B7690">
        <v>1</v>
      </c>
    </row>
    <row r="7691" spans="1:2" x14ac:dyDescent="0.35">
      <c r="A7691">
        <v>634</v>
      </c>
      <c r="B7691">
        <v>1</v>
      </c>
    </row>
    <row r="7692" spans="1:2" x14ac:dyDescent="0.35">
      <c r="A7692">
        <v>634</v>
      </c>
      <c r="B7692">
        <v>1</v>
      </c>
    </row>
    <row r="7693" spans="1:2" x14ac:dyDescent="0.35">
      <c r="A7693">
        <v>635</v>
      </c>
      <c r="B7693">
        <v>1</v>
      </c>
    </row>
    <row r="7694" spans="1:2" x14ac:dyDescent="0.35">
      <c r="A7694">
        <v>636</v>
      </c>
      <c r="B7694">
        <v>1</v>
      </c>
    </row>
    <row r="7695" spans="1:2" x14ac:dyDescent="0.35">
      <c r="A7695">
        <v>636</v>
      </c>
      <c r="B7695">
        <v>1</v>
      </c>
    </row>
    <row r="7696" spans="1:2" x14ac:dyDescent="0.35">
      <c r="A7696">
        <v>637</v>
      </c>
      <c r="B7696">
        <v>1</v>
      </c>
    </row>
    <row r="7697" spans="1:2" x14ac:dyDescent="0.35">
      <c r="A7697">
        <v>637</v>
      </c>
      <c r="B7697">
        <v>1</v>
      </c>
    </row>
    <row r="7698" spans="1:2" x14ac:dyDescent="0.35">
      <c r="A7698">
        <v>637</v>
      </c>
      <c r="B7698">
        <v>1</v>
      </c>
    </row>
    <row r="7699" spans="1:2" x14ac:dyDescent="0.35">
      <c r="A7699">
        <v>637</v>
      </c>
      <c r="B7699">
        <v>1</v>
      </c>
    </row>
    <row r="7700" spans="1:2" x14ac:dyDescent="0.35">
      <c r="A7700">
        <v>638</v>
      </c>
      <c r="B7700">
        <v>1</v>
      </c>
    </row>
    <row r="7701" spans="1:2" x14ac:dyDescent="0.35">
      <c r="A7701">
        <v>639</v>
      </c>
      <c r="B7701">
        <v>1</v>
      </c>
    </row>
    <row r="7702" spans="1:2" x14ac:dyDescent="0.35">
      <c r="A7702">
        <v>639</v>
      </c>
      <c r="B7702">
        <v>1</v>
      </c>
    </row>
    <row r="7703" spans="1:2" x14ac:dyDescent="0.35">
      <c r="A7703">
        <v>639</v>
      </c>
      <c r="B7703">
        <v>1</v>
      </c>
    </row>
    <row r="7704" spans="1:2" x14ac:dyDescent="0.35">
      <c r="A7704">
        <v>639</v>
      </c>
      <c r="B7704">
        <v>1</v>
      </c>
    </row>
    <row r="7705" spans="1:2" x14ac:dyDescent="0.35">
      <c r="A7705">
        <v>640</v>
      </c>
      <c r="B7705">
        <v>1</v>
      </c>
    </row>
    <row r="7706" spans="1:2" x14ac:dyDescent="0.35">
      <c r="A7706">
        <v>640</v>
      </c>
      <c r="B7706">
        <v>1</v>
      </c>
    </row>
    <row r="7707" spans="1:2" x14ac:dyDescent="0.35">
      <c r="A7707">
        <v>640</v>
      </c>
      <c r="B7707">
        <v>1</v>
      </c>
    </row>
    <row r="7708" spans="1:2" x14ac:dyDescent="0.35">
      <c r="A7708">
        <v>640</v>
      </c>
      <c r="B7708">
        <v>1</v>
      </c>
    </row>
    <row r="7709" spans="1:2" x14ac:dyDescent="0.35">
      <c r="A7709">
        <v>640</v>
      </c>
      <c r="B7709">
        <v>1</v>
      </c>
    </row>
    <row r="7710" spans="1:2" x14ac:dyDescent="0.35">
      <c r="A7710">
        <v>641</v>
      </c>
      <c r="B7710">
        <v>1</v>
      </c>
    </row>
    <row r="7711" spans="1:2" x14ac:dyDescent="0.35">
      <c r="A7711">
        <v>642</v>
      </c>
      <c r="B7711">
        <v>1</v>
      </c>
    </row>
    <row r="7712" spans="1:2" x14ac:dyDescent="0.35">
      <c r="A7712">
        <v>642</v>
      </c>
      <c r="B7712">
        <v>1</v>
      </c>
    </row>
    <row r="7713" spans="1:2" x14ac:dyDescent="0.35">
      <c r="A7713">
        <v>643</v>
      </c>
      <c r="B7713">
        <v>1</v>
      </c>
    </row>
    <row r="7714" spans="1:2" x14ac:dyDescent="0.35">
      <c r="A7714">
        <v>643</v>
      </c>
      <c r="B7714">
        <v>1</v>
      </c>
    </row>
    <row r="7715" spans="1:2" x14ac:dyDescent="0.35">
      <c r="A7715">
        <v>643</v>
      </c>
      <c r="B7715">
        <v>1</v>
      </c>
    </row>
    <row r="7716" spans="1:2" x14ac:dyDescent="0.35">
      <c r="A7716">
        <v>644</v>
      </c>
      <c r="B7716">
        <v>1</v>
      </c>
    </row>
    <row r="7717" spans="1:2" x14ac:dyDescent="0.35">
      <c r="A7717">
        <v>644</v>
      </c>
      <c r="B7717">
        <v>1</v>
      </c>
    </row>
    <row r="7718" spans="1:2" x14ac:dyDescent="0.35">
      <c r="A7718">
        <v>645</v>
      </c>
      <c r="B7718">
        <v>1</v>
      </c>
    </row>
    <row r="7719" spans="1:2" x14ac:dyDescent="0.35">
      <c r="A7719">
        <v>646</v>
      </c>
      <c r="B7719">
        <v>1</v>
      </c>
    </row>
    <row r="7720" spans="1:2" x14ac:dyDescent="0.35">
      <c r="A7720">
        <v>647</v>
      </c>
      <c r="B7720">
        <v>1</v>
      </c>
    </row>
    <row r="7721" spans="1:2" x14ac:dyDescent="0.35">
      <c r="A7721">
        <v>647</v>
      </c>
      <c r="B7721">
        <v>1</v>
      </c>
    </row>
    <row r="7722" spans="1:2" x14ac:dyDescent="0.35">
      <c r="A7722">
        <v>648</v>
      </c>
      <c r="B7722">
        <v>1</v>
      </c>
    </row>
    <row r="7723" spans="1:2" x14ac:dyDescent="0.35">
      <c r="A7723">
        <v>648</v>
      </c>
      <c r="B7723">
        <v>1</v>
      </c>
    </row>
    <row r="7724" spans="1:2" x14ac:dyDescent="0.35">
      <c r="A7724">
        <v>648</v>
      </c>
      <c r="B7724">
        <v>1</v>
      </c>
    </row>
    <row r="7725" spans="1:2" x14ac:dyDescent="0.35">
      <c r="A7725">
        <v>648</v>
      </c>
      <c r="B7725">
        <v>1</v>
      </c>
    </row>
    <row r="7726" spans="1:2" x14ac:dyDescent="0.35">
      <c r="A7726">
        <v>648</v>
      </c>
      <c r="B7726">
        <v>1</v>
      </c>
    </row>
    <row r="7727" spans="1:2" x14ac:dyDescent="0.35">
      <c r="A7727">
        <v>649</v>
      </c>
      <c r="B7727">
        <v>1</v>
      </c>
    </row>
    <row r="7728" spans="1:2" x14ac:dyDescent="0.35">
      <c r="A7728">
        <v>649</v>
      </c>
      <c r="B7728">
        <v>1</v>
      </c>
    </row>
    <row r="7729" spans="1:2" x14ac:dyDescent="0.35">
      <c r="A7729">
        <v>649</v>
      </c>
      <c r="B7729">
        <v>1</v>
      </c>
    </row>
    <row r="7730" spans="1:2" x14ac:dyDescent="0.35">
      <c r="A7730">
        <v>650</v>
      </c>
      <c r="B7730">
        <v>1</v>
      </c>
    </row>
    <row r="7731" spans="1:2" x14ac:dyDescent="0.35">
      <c r="A7731">
        <v>650</v>
      </c>
      <c r="B7731">
        <v>1</v>
      </c>
    </row>
    <row r="7732" spans="1:2" x14ac:dyDescent="0.35">
      <c r="A7732">
        <v>651</v>
      </c>
      <c r="B7732">
        <v>1</v>
      </c>
    </row>
    <row r="7733" spans="1:2" x14ac:dyDescent="0.35">
      <c r="A7733">
        <v>651</v>
      </c>
      <c r="B7733">
        <v>1</v>
      </c>
    </row>
    <row r="7734" spans="1:2" x14ac:dyDescent="0.35">
      <c r="A7734">
        <v>651</v>
      </c>
      <c r="B7734">
        <v>1</v>
      </c>
    </row>
    <row r="7735" spans="1:2" x14ac:dyDescent="0.35">
      <c r="A7735">
        <v>652</v>
      </c>
      <c r="B7735">
        <v>1</v>
      </c>
    </row>
    <row r="7736" spans="1:2" x14ac:dyDescent="0.35">
      <c r="A7736">
        <v>652</v>
      </c>
      <c r="B7736">
        <v>1</v>
      </c>
    </row>
    <row r="7737" spans="1:2" x14ac:dyDescent="0.35">
      <c r="A7737">
        <v>652</v>
      </c>
      <c r="B7737">
        <v>1</v>
      </c>
    </row>
    <row r="7738" spans="1:2" x14ac:dyDescent="0.35">
      <c r="A7738">
        <v>652</v>
      </c>
      <c r="B7738">
        <v>1</v>
      </c>
    </row>
    <row r="7739" spans="1:2" x14ac:dyDescent="0.35">
      <c r="A7739">
        <v>652</v>
      </c>
      <c r="B7739">
        <v>1</v>
      </c>
    </row>
    <row r="7740" spans="1:2" x14ac:dyDescent="0.35">
      <c r="A7740">
        <v>653</v>
      </c>
      <c r="B7740">
        <v>1</v>
      </c>
    </row>
    <row r="7741" spans="1:2" x14ac:dyDescent="0.35">
      <c r="A7741">
        <v>653</v>
      </c>
      <c r="B7741">
        <v>1</v>
      </c>
    </row>
    <row r="7742" spans="1:2" x14ac:dyDescent="0.35">
      <c r="A7742">
        <v>653</v>
      </c>
      <c r="B7742">
        <v>1</v>
      </c>
    </row>
    <row r="7743" spans="1:2" x14ac:dyDescent="0.35">
      <c r="A7743">
        <v>654</v>
      </c>
      <c r="B7743">
        <v>1</v>
      </c>
    </row>
    <row r="7744" spans="1:2" x14ac:dyDescent="0.35">
      <c r="A7744">
        <v>654</v>
      </c>
      <c r="B7744">
        <v>1</v>
      </c>
    </row>
    <row r="7745" spans="1:2" x14ac:dyDescent="0.35">
      <c r="A7745">
        <v>654</v>
      </c>
      <c r="B7745">
        <v>1</v>
      </c>
    </row>
    <row r="7746" spans="1:2" x14ac:dyDescent="0.35">
      <c r="A7746">
        <v>655</v>
      </c>
      <c r="B7746">
        <v>1</v>
      </c>
    </row>
    <row r="7747" spans="1:2" x14ac:dyDescent="0.35">
      <c r="A7747">
        <v>655</v>
      </c>
      <c r="B7747">
        <v>1</v>
      </c>
    </row>
    <row r="7748" spans="1:2" x14ac:dyDescent="0.35">
      <c r="A7748">
        <v>655</v>
      </c>
      <c r="B7748">
        <v>1</v>
      </c>
    </row>
    <row r="7749" spans="1:2" x14ac:dyDescent="0.35">
      <c r="A7749">
        <v>656</v>
      </c>
      <c r="B7749">
        <v>1</v>
      </c>
    </row>
    <row r="7750" spans="1:2" x14ac:dyDescent="0.35">
      <c r="A7750">
        <v>656</v>
      </c>
      <c r="B7750">
        <v>1</v>
      </c>
    </row>
    <row r="7751" spans="1:2" x14ac:dyDescent="0.35">
      <c r="A7751">
        <v>656</v>
      </c>
      <c r="B7751">
        <v>1</v>
      </c>
    </row>
    <row r="7752" spans="1:2" x14ac:dyDescent="0.35">
      <c r="A7752">
        <v>656</v>
      </c>
      <c r="B7752">
        <v>1</v>
      </c>
    </row>
    <row r="7753" spans="1:2" x14ac:dyDescent="0.35">
      <c r="A7753">
        <v>658</v>
      </c>
      <c r="B7753">
        <v>1</v>
      </c>
    </row>
    <row r="7754" spans="1:2" x14ac:dyDescent="0.35">
      <c r="A7754">
        <v>659</v>
      </c>
      <c r="B7754">
        <v>1</v>
      </c>
    </row>
    <row r="7755" spans="1:2" x14ac:dyDescent="0.35">
      <c r="A7755">
        <v>659</v>
      </c>
      <c r="B7755">
        <v>1</v>
      </c>
    </row>
    <row r="7756" spans="1:2" x14ac:dyDescent="0.35">
      <c r="A7756">
        <v>660</v>
      </c>
      <c r="B7756">
        <v>1</v>
      </c>
    </row>
    <row r="7757" spans="1:2" x14ac:dyDescent="0.35">
      <c r="A7757">
        <v>660</v>
      </c>
      <c r="B7757">
        <v>1</v>
      </c>
    </row>
    <row r="7758" spans="1:2" x14ac:dyDescent="0.35">
      <c r="A7758">
        <v>661</v>
      </c>
      <c r="B7758">
        <v>1</v>
      </c>
    </row>
    <row r="7759" spans="1:2" x14ac:dyDescent="0.35">
      <c r="A7759">
        <v>661</v>
      </c>
      <c r="B7759">
        <v>1</v>
      </c>
    </row>
    <row r="7760" spans="1:2" x14ac:dyDescent="0.35">
      <c r="A7760">
        <v>661</v>
      </c>
      <c r="B7760">
        <v>1</v>
      </c>
    </row>
    <row r="7761" spans="1:2" x14ac:dyDescent="0.35">
      <c r="A7761">
        <v>662</v>
      </c>
      <c r="B7761">
        <v>1</v>
      </c>
    </row>
    <row r="7762" spans="1:2" x14ac:dyDescent="0.35">
      <c r="A7762">
        <v>662</v>
      </c>
      <c r="B7762">
        <v>1</v>
      </c>
    </row>
    <row r="7763" spans="1:2" x14ac:dyDescent="0.35">
      <c r="A7763">
        <v>662</v>
      </c>
      <c r="B7763">
        <v>1</v>
      </c>
    </row>
    <row r="7764" spans="1:2" x14ac:dyDescent="0.35">
      <c r="A7764">
        <v>664</v>
      </c>
      <c r="B7764">
        <v>1</v>
      </c>
    </row>
    <row r="7765" spans="1:2" x14ac:dyDescent="0.35">
      <c r="A7765">
        <v>664</v>
      </c>
      <c r="B7765">
        <v>1</v>
      </c>
    </row>
    <row r="7766" spans="1:2" x14ac:dyDescent="0.35">
      <c r="A7766">
        <v>664</v>
      </c>
      <c r="B7766">
        <v>1</v>
      </c>
    </row>
    <row r="7767" spans="1:2" x14ac:dyDescent="0.35">
      <c r="A7767">
        <v>664</v>
      </c>
      <c r="B7767">
        <v>1</v>
      </c>
    </row>
    <row r="7768" spans="1:2" x14ac:dyDescent="0.35">
      <c r="A7768">
        <v>665</v>
      </c>
      <c r="B7768">
        <v>1</v>
      </c>
    </row>
    <row r="7769" spans="1:2" x14ac:dyDescent="0.35">
      <c r="A7769">
        <v>666</v>
      </c>
      <c r="B7769">
        <v>1</v>
      </c>
    </row>
    <row r="7770" spans="1:2" x14ac:dyDescent="0.35">
      <c r="A7770">
        <v>666</v>
      </c>
      <c r="B7770">
        <v>1</v>
      </c>
    </row>
    <row r="7771" spans="1:2" x14ac:dyDescent="0.35">
      <c r="A7771">
        <v>666</v>
      </c>
      <c r="B7771">
        <v>1</v>
      </c>
    </row>
    <row r="7772" spans="1:2" x14ac:dyDescent="0.35">
      <c r="A7772">
        <v>666</v>
      </c>
      <c r="B7772">
        <v>1</v>
      </c>
    </row>
    <row r="7773" spans="1:2" x14ac:dyDescent="0.35">
      <c r="A7773">
        <v>666</v>
      </c>
      <c r="B7773">
        <v>1</v>
      </c>
    </row>
    <row r="7774" spans="1:2" x14ac:dyDescent="0.35">
      <c r="A7774">
        <v>667</v>
      </c>
      <c r="B7774">
        <v>1</v>
      </c>
    </row>
    <row r="7775" spans="1:2" x14ac:dyDescent="0.35">
      <c r="A7775">
        <v>667</v>
      </c>
      <c r="B7775">
        <v>1</v>
      </c>
    </row>
    <row r="7776" spans="1:2" x14ac:dyDescent="0.35">
      <c r="A7776">
        <v>667</v>
      </c>
      <c r="B7776">
        <v>1</v>
      </c>
    </row>
    <row r="7777" spans="1:2" x14ac:dyDescent="0.35">
      <c r="A7777">
        <v>668</v>
      </c>
      <c r="B7777">
        <v>1</v>
      </c>
    </row>
    <row r="7778" spans="1:2" x14ac:dyDescent="0.35">
      <c r="A7778">
        <v>668</v>
      </c>
      <c r="B7778">
        <v>1</v>
      </c>
    </row>
    <row r="7779" spans="1:2" x14ac:dyDescent="0.35">
      <c r="A7779">
        <v>669</v>
      </c>
      <c r="B7779">
        <v>1</v>
      </c>
    </row>
    <row r="7780" spans="1:2" x14ac:dyDescent="0.35">
      <c r="A7780">
        <v>670</v>
      </c>
      <c r="B7780">
        <v>1</v>
      </c>
    </row>
    <row r="7781" spans="1:2" x14ac:dyDescent="0.35">
      <c r="A7781">
        <v>670</v>
      </c>
      <c r="B7781">
        <v>1</v>
      </c>
    </row>
    <row r="7782" spans="1:2" x14ac:dyDescent="0.35">
      <c r="A7782">
        <v>670</v>
      </c>
      <c r="B7782">
        <v>1</v>
      </c>
    </row>
    <row r="7783" spans="1:2" x14ac:dyDescent="0.35">
      <c r="A7783">
        <v>671</v>
      </c>
      <c r="B7783">
        <v>1</v>
      </c>
    </row>
    <row r="7784" spans="1:2" x14ac:dyDescent="0.35">
      <c r="A7784">
        <v>671</v>
      </c>
      <c r="B7784">
        <v>1</v>
      </c>
    </row>
    <row r="7785" spans="1:2" x14ac:dyDescent="0.35">
      <c r="A7785">
        <v>671</v>
      </c>
      <c r="B7785">
        <v>1</v>
      </c>
    </row>
    <row r="7786" spans="1:2" x14ac:dyDescent="0.35">
      <c r="A7786">
        <v>672</v>
      </c>
      <c r="B7786">
        <v>1</v>
      </c>
    </row>
    <row r="7787" spans="1:2" x14ac:dyDescent="0.35">
      <c r="A7787">
        <v>672</v>
      </c>
      <c r="B7787">
        <v>1</v>
      </c>
    </row>
    <row r="7788" spans="1:2" x14ac:dyDescent="0.35">
      <c r="A7788">
        <v>675</v>
      </c>
      <c r="B7788">
        <v>1</v>
      </c>
    </row>
    <row r="7789" spans="1:2" x14ac:dyDescent="0.35">
      <c r="A7789">
        <v>675</v>
      </c>
      <c r="B7789">
        <v>1</v>
      </c>
    </row>
    <row r="7790" spans="1:2" x14ac:dyDescent="0.35">
      <c r="A7790">
        <v>675</v>
      </c>
      <c r="B7790">
        <v>1</v>
      </c>
    </row>
    <row r="7791" spans="1:2" x14ac:dyDescent="0.35">
      <c r="A7791">
        <v>676</v>
      </c>
      <c r="B7791">
        <v>1</v>
      </c>
    </row>
    <row r="7792" spans="1:2" x14ac:dyDescent="0.35">
      <c r="A7792">
        <v>677</v>
      </c>
      <c r="B7792">
        <v>1</v>
      </c>
    </row>
    <row r="7793" spans="1:2" x14ac:dyDescent="0.35">
      <c r="A7793">
        <v>677</v>
      </c>
      <c r="B7793">
        <v>1</v>
      </c>
    </row>
    <row r="7794" spans="1:2" x14ac:dyDescent="0.35">
      <c r="A7794">
        <v>677</v>
      </c>
      <c r="B7794">
        <v>1</v>
      </c>
    </row>
    <row r="7795" spans="1:2" x14ac:dyDescent="0.35">
      <c r="A7795">
        <v>677</v>
      </c>
      <c r="B7795">
        <v>1</v>
      </c>
    </row>
    <row r="7796" spans="1:2" x14ac:dyDescent="0.35">
      <c r="A7796">
        <v>678</v>
      </c>
      <c r="B7796">
        <v>1</v>
      </c>
    </row>
    <row r="7797" spans="1:2" x14ac:dyDescent="0.35">
      <c r="A7797">
        <v>679</v>
      </c>
      <c r="B7797">
        <v>1</v>
      </c>
    </row>
    <row r="7798" spans="1:2" x14ac:dyDescent="0.35">
      <c r="A7798">
        <v>679</v>
      </c>
      <c r="B7798">
        <v>1</v>
      </c>
    </row>
    <row r="7799" spans="1:2" x14ac:dyDescent="0.35">
      <c r="A7799">
        <v>679</v>
      </c>
      <c r="B7799">
        <v>1</v>
      </c>
    </row>
    <row r="7800" spans="1:2" x14ac:dyDescent="0.35">
      <c r="A7800">
        <v>679</v>
      </c>
      <c r="B7800">
        <v>1</v>
      </c>
    </row>
    <row r="7801" spans="1:2" x14ac:dyDescent="0.35">
      <c r="A7801">
        <v>679</v>
      </c>
      <c r="B7801">
        <v>1</v>
      </c>
    </row>
    <row r="7802" spans="1:2" x14ac:dyDescent="0.35">
      <c r="A7802">
        <v>680</v>
      </c>
      <c r="B7802">
        <v>1</v>
      </c>
    </row>
    <row r="7803" spans="1:2" x14ac:dyDescent="0.35">
      <c r="A7803">
        <v>680</v>
      </c>
      <c r="B7803">
        <v>1</v>
      </c>
    </row>
    <row r="7804" spans="1:2" x14ac:dyDescent="0.35">
      <c r="A7804">
        <v>680</v>
      </c>
      <c r="B7804">
        <v>1</v>
      </c>
    </row>
    <row r="7805" spans="1:2" x14ac:dyDescent="0.35">
      <c r="A7805">
        <v>681</v>
      </c>
      <c r="B7805">
        <v>1</v>
      </c>
    </row>
    <row r="7806" spans="1:2" x14ac:dyDescent="0.35">
      <c r="A7806">
        <v>681</v>
      </c>
      <c r="B7806">
        <v>1</v>
      </c>
    </row>
    <row r="7807" spans="1:2" x14ac:dyDescent="0.35">
      <c r="A7807">
        <v>681</v>
      </c>
      <c r="B7807">
        <v>1</v>
      </c>
    </row>
    <row r="7808" spans="1:2" x14ac:dyDescent="0.35">
      <c r="A7808">
        <v>681</v>
      </c>
      <c r="B7808">
        <v>1</v>
      </c>
    </row>
    <row r="7809" spans="1:2" x14ac:dyDescent="0.35">
      <c r="A7809">
        <v>683</v>
      </c>
      <c r="B7809">
        <v>1</v>
      </c>
    </row>
    <row r="7810" spans="1:2" x14ac:dyDescent="0.35">
      <c r="A7810">
        <v>683</v>
      </c>
      <c r="B7810">
        <v>1</v>
      </c>
    </row>
    <row r="7811" spans="1:2" x14ac:dyDescent="0.35">
      <c r="A7811">
        <v>683</v>
      </c>
      <c r="B7811">
        <v>1</v>
      </c>
    </row>
    <row r="7812" spans="1:2" x14ac:dyDescent="0.35">
      <c r="A7812">
        <v>683</v>
      </c>
      <c r="B7812">
        <v>1</v>
      </c>
    </row>
    <row r="7813" spans="1:2" x14ac:dyDescent="0.35">
      <c r="A7813">
        <v>684</v>
      </c>
      <c r="B7813">
        <v>1</v>
      </c>
    </row>
    <row r="7814" spans="1:2" x14ac:dyDescent="0.35">
      <c r="A7814">
        <v>684</v>
      </c>
      <c r="B7814">
        <v>1</v>
      </c>
    </row>
    <row r="7815" spans="1:2" x14ac:dyDescent="0.35">
      <c r="A7815">
        <v>684</v>
      </c>
      <c r="B7815">
        <v>1</v>
      </c>
    </row>
    <row r="7816" spans="1:2" x14ac:dyDescent="0.35">
      <c r="A7816">
        <v>685</v>
      </c>
      <c r="B7816">
        <v>1</v>
      </c>
    </row>
    <row r="7817" spans="1:2" x14ac:dyDescent="0.35">
      <c r="A7817">
        <v>685</v>
      </c>
      <c r="B7817">
        <v>1</v>
      </c>
    </row>
    <row r="7818" spans="1:2" x14ac:dyDescent="0.35">
      <c r="A7818">
        <v>685</v>
      </c>
      <c r="B7818">
        <v>1</v>
      </c>
    </row>
    <row r="7819" spans="1:2" x14ac:dyDescent="0.35">
      <c r="A7819">
        <v>685</v>
      </c>
      <c r="B7819">
        <v>1</v>
      </c>
    </row>
    <row r="7820" spans="1:2" x14ac:dyDescent="0.35">
      <c r="A7820">
        <v>686</v>
      </c>
      <c r="B7820">
        <v>1</v>
      </c>
    </row>
    <row r="7821" spans="1:2" x14ac:dyDescent="0.35">
      <c r="A7821">
        <v>686</v>
      </c>
      <c r="B7821">
        <v>1</v>
      </c>
    </row>
    <row r="7822" spans="1:2" x14ac:dyDescent="0.35">
      <c r="A7822">
        <v>687</v>
      </c>
      <c r="B7822">
        <v>1</v>
      </c>
    </row>
    <row r="7823" spans="1:2" x14ac:dyDescent="0.35">
      <c r="A7823">
        <v>687</v>
      </c>
      <c r="B7823">
        <v>1</v>
      </c>
    </row>
    <row r="7824" spans="1:2" x14ac:dyDescent="0.35">
      <c r="A7824">
        <v>687</v>
      </c>
      <c r="B7824">
        <v>1</v>
      </c>
    </row>
    <row r="7825" spans="1:2" x14ac:dyDescent="0.35">
      <c r="A7825">
        <v>687</v>
      </c>
      <c r="B7825">
        <v>1</v>
      </c>
    </row>
    <row r="7826" spans="1:2" x14ac:dyDescent="0.35">
      <c r="A7826">
        <v>687</v>
      </c>
      <c r="B7826">
        <v>1</v>
      </c>
    </row>
    <row r="7827" spans="1:2" x14ac:dyDescent="0.35">
      <c r="A7827">
        <v>687</v>
      </c>
      <c r="B7827">
        <v>1</v>
      </c>
    </row>
    <row r="7828" spans="1:2" x14ac:dyDescent="0.35">
      <c r="A7828">
        <v>688</v>
      </c>
      <c r="B7828">
        <v>1</v>
      </c>
    </row>
    <row r="7829" spans="1:2" x14ac:dyDescent="0.35">
      <c r="A7829">
        <v>688</v>
      </c>
      <c r="B7829">
        <v>1</v>
      </c>
    </row>
    <row r="7830" spans="1:2" x14ac:dyDescent="0.35">
      <c r="A7830">
        <v>688</v>
      </c>
      <c r="B7830">
        <v>1</v>
      </c>
    </row>
    <row r="7831" spans="1:2" x14ac:dyDescent="0.35">
      <c r="A7831">
        <v>689</v>
      </c>
      <c r="B7831">
        <v>1</v>
      </c>
    </row>
    <row r="7832" spans="1:2" x14ac:dyDescent="0.35">
      <c r="A7832">
        <v>689</v>
      </c>
      <c r="B7832">
        <v>1</v>
      </c>
    </row>
    <row r="7833" spans="1:2" x14ac:dyDescent="0.35">
      <c r="A7833">
        <v>690</v>
      </c>
      <c r="B7833">
        <v>1</v>
      </c>
    </row>
    <row r="7834" spans="1:2" x14ac:dyDescent="0.35">
      <c r="A7834">
        <v>690</v>
      </c>
      <c r="B7834">
        <v>1</v>
      </c>
    </row>
    <row r="7835" spans="1:2" x14ac:dyDescent="0.35">
      <c r="A7835">
        <v>690</v>
      </c>
      <c r="B7835">
        <v>1</v>
      </c>
    </row>
    <row r="7836" spans="1:2" x14ac:dyDescent="0.35">
      <c r="A7836">
        <v>691</v>
      </c>
      <c r="B7836">
        <v>1</v>
      </c>
    </row>
    <row r="7837" spans="1:2" x14ac:dyDescent="0.35">
      <c r="A7837">
        <v>692</v>
      </c>
      <c r="B7837">
        <v>1</v>
      </c>
    </row>
    <row r="7838" spans="1:2" x14ac:dyDescent="0.35">
      <c r="A7838">
        <v>692</v>
      </c>
      <c r="B7838">
        <v>1</v>
      </c>
    </row>
    <row r="7839" spans="1:2" x14ac:dyDescent="0.35">
      <c r="A7839">
        <v>692</v>
      </c>
      <c r="B7839">
        <v>1</v>
      </c>
    </row>
    <row r="7840" spans="1:2" x14ac:dyDescent="0.35">
      <c r="A7840">
        <v>692</v>
      </c>
      <c r="B7840">
        <v>1</v>
      </c>
    </row>
    <row r="7841" spans="1:2" x14ac:dyDescent="0.35">
      <c r="A7841">
        <v>692</v>
      </c>
      <c r="B7841">
        <v>1</v>
      </c>
    </row>
    <row r="7842" spans="1:2" x14ac:dyDescent="0.35">
      <c r="A7842">
        <v>693</v>
      </c>
      <c r="B7842">
        <v>1</v>
      </c>
    </row>
    <row r="7843" spans="1:2" x14ac:dyDescent="0.35">
      <c r="A7843">
        <v>693</v>
      </c>
      <c r="B7843">
        <v>1</v>
      </c>
    </row>
    <row r="7844" spans="1:2" x14ac:dyDescent="0.35">
      <c r="A7844">
        <v>694</v>
      </c>
      <c r="B7844">
        <v>1</v>
      </c>
    </row>
    <row r="7845" spans="1:2" x14ac:dyDescent="0.35">
      <c r="A7845">
        <v>694</v>
      </c>
      <c r="B7845">
        <v>1</v>
      </c>
    </row>
    <row r="7846" spans="1:2" x14ac:dyDescent="0.35">
      <c r="A7846">
        <v>696</v>
      </c>
      <c r="B7846">
        <v>1</v>
      </c>
    </row>
    <row r="7847" spans="1:2" x14ac:dyDescent="0.35">
      <c r="A7847">
        <v>697</v>
      </c>
      <c r="B7847">
        <v>1</v>
      </c>
    </row>
    <row r="7848" spans="1:2" x14ac:dyDescent="0.35">
      <c r="A7848">
        <v>697</v>
      </c>
      <c r="B7848">
        <v>1</v>
      </c>
    </row>
    <row r="7849" spans="1:2" x14ac:dyDescent="0.35">
      <c r="A7849">
        <v>697</v>
      </c>
      <c r="B7849">
        <v>1</v>
      </c>
    </row>
    <row r="7850" spans="1:2" x14ac:dyDescent="0.35">
      <c r="A7850">
        <v>697</v>
      </c>
      <c r="B7850">
        <v>1</v>
      </c>
    </row>
    <row r="7851" spans="1:2" x14ac:dyDescent="0.35">
      <c r="A7851">
        <v>698</v>
      </c>
      <c r="B7851">
        <v>1</v>
      </c>
    </row>
    <row r="7852" spans="1:2" x14ac:dyDescent="0.35">
      <c r="A7852">
        <v>699</v>
      </c>
      <c r="B7852">
        <v>1</v>
      </c>
    </row>
    <row r="7853" spans="1:2" x14ac:dyDescent="0.35">
      <c r="A7853">
        <v>700</v>
      </c>
      <c r="B7853">
        <v>1</v>
      </c>
    </row>
    <row r="7854" spans="1:2" x14ac:dyDescent="0.35">
      <c r="A7854">
        <v>701</v>
      </c>
      <c r="B7854">
        <v>1</v>
      </c>
    </row>
    <row r="7855" spans="1:2" x14ac:dyDescent="0.35">
      <c r="A7855">
        <v>703</v>
      </c>
      <c r="B7855">
        <v>1</v>
      </c>
    </row>
    <row r="7856" spans="1:2" x14ac:dyDescent="0.35">
      <c r="A7856">
        <v>703</v>
      </c>
      <c r="B7856">
        <v>1</v>
      </c>
    </row>
    <row r="7857" spans="1:2" x14ac:dyDescent="0.35">
      <c r="A7857">
        <v>703</v>
      </c>
      <c r="B7857">
        <v>1</v>
      </c>
    </row>
    <row r="7858" spans="1:2" x14ac:dyDescent="0.35">
      <c r="A7858">
        <v>703</v>
      </c>
      <c r="B7858">
        <v>1</v>
      </c>
    </row>
    <row r="7859" spans="1:2" x14ac:dyDescent="0.35">
      <c r="A7859">
        <v>704</v>
      </c>
      <c r="B7859">
        <v>1</v>
      </c>
    </row>
    <row r="7860" spans="1:2" x14ac:dyDescent="0.35">
      <c r="A7860">
        <v>704</v>
      </c>
      <c r="B7860">
        <v>1</v>
      </c>
    </row>
    <row r="7861" spans="1:2" x14ac:dyDescent="0.35">
      <c r="A7861">
        <v>705</v>
      </c>
      <c r="B7861">
        <v>1</v>
      </c>
    </row>
    <row r="7862" spans="1:2" x14ac:dyDescent="0.35">
      <c r="A7862">
        <v>706</v>
      </c>
      <c r="B7862">
        <v>1</v>
      </c>
    </row>
    <row r="7863" spans="1:2" x14ac:dyDescent="0.35">
      <c r="A7863">
        <v>706</v>
      </c>
      <c r="B7863">
        <v>1</v>
      </c>
    </row>
    <row r="7864" spans="1:2" x14ac:dyDescent="0.35">
      <c r="A7864">
        <v>707</v>
      </c>
      <c r="B7864">
        <v>1</v>
      </c>
    </row>
    <row r="7865" spans="1:2" x14ac:dyDescent="0.35">
      <c r="A7865">
        <v>708</v>
      </c>
      <c r="B7865">
        <v>1</v>
      </c>
    </row>
    <row r="7866" spans="1:2" x14ac:dyDescent="0.35">
      <c r="A7866">
        <v>708</v>
      </c>
      <c r="B7866">
        <v>1</v>
      </c>
    </row>
    <row r="7867" spans="1:2" x14ac:dyDescent="0.35">
      <c r="A7867">
        <v>708</v>
      </c>
      <c r="B7867">
        <v>1</v>
      </c>
    </row>
    <row r="7868" spans="1:2" x14ac:dyDescent="0.35">
      <c r="A7868">
        <v>709</v>
      </c>
      <c r="B7868">
        <v>1</v>
      </c>
    </row>
    <row r="7869" spans="1:2" x14ac:dyDescent="0.35">
      <c r="A7869">
        <v>710</v>
      </c>
      <c r="B7869">
        <v>1</v>
      </c>
    </row>
    <row r="7870" spans="1:2" x14ac:dyDescent="0.35">
      <c r="A7870">
        <v>711</v>
      </c>
      <c r="B7870">
        <v>1</v>
      </c>
    </row>
    <row r="7871" spans="1:2" x14ac:dyDescent="0.35">
      <c r="A7871">
        <v>713</v>
      </c>
      <c r="B7871">
        <v>1</v>
      </c>
    </row>
    <row r="7872" spans="1:2" x14ac:dyDescent="0.35">
      <c r="A7872">
        <v>714</v>
      </c>
      <c r="B7872">
        <v>1</v>
      </c>
    </row>
    <row r="7873" spans="1:2" x14ac:dyDescent="0.35">
      <c r="A7873">
        <v>714</v>
      </c>
      <c r="B7873">
        <v>1</v>
      </c>
    </row>
    <row r="7874" spans="1:2" x14ac:dyDescent="0.35">
      <c r="A7874">
        <v>714</v>
      </c>
      <c r="B7874">
        <v>1</v>
      </c>
    </row>
    <row r="7875" spans="1:2" x14ac:dyDescent="0.35">
      <c r="A7875">
        <v>715</v>
      </c>
      <c r="B7875">
        <v>1</v>
      </c>
    </row>
    <row r="7876" spans="1:2" x14ac:dyDescent="0.35">
      <c r="A7876">
        <v>715</v>
      </c>
      <c r="B7876">
        <v>1</v>
      </c>
    </row>
    <row r="7877" spans="1:2" x14ac:dyDescent="0.35">
      <c r="A7877">
        <v>716</v>
      </c>
      <c r="B7877">
        <v>1</v>
      </c>
    </row>
    <row r="7878" spans="1:2" x14ac:dyDescent="0.35">
      <c r="A7878">
        <v>716</v>
      </c>
      <c r="B7878">
        <v>1</v>
      </c>
    </row>
    <row r="7879" spans="1:2" x14ac:dyDescent="0.35">
      <c r="A7879">
        <v>716</v>
      </c>
      <c r="B7879">
        <v>1</v>
      </c>
    </row>
    <row r="7880" spans="1:2" x14ac:dyDescent="0.35">
      <c r="A7880">
        <v>716</v>
      </c>
      <c r="B7880">
        <v>1</v>
      </c>
    </row>
    <row r="7881" spans="1:2" x14ac:dyDescent="0.35">
      <c r="A7881">
        <v>716</v>
      </c>
      <c r="B7881">
        <v>1</v>
      </c>
    </row>
    <row r="7882" spans="1:2" x14ac:dyDescent="0.35">
      <c r="A7882">
        <v>718</v>
      </c>
      <c r="B7882">
        <v>1</v>
      </c>
    </row>
    <row r="7883" spans="1:2" x14ac:dyDescent="0.35">
      <c r="A7883">
        <v>718</v>
      </c>
      <c r="B7883">
        <v>1</v>
      </c>
    </row>
    <row r="7884" spans="1:2" x14ac:dyDescent="0.35">
      <c r="A7884">
        <v>718</v>
      </c>
      <c r="B7884">
        <v>1</v>
      </c>
    </row>
    <row r="7885" spans="1:2" x14ac:dyDescent="0.35">
      <c r="A7885">
        <v>719</v>
      </c>
      <c r="B7885">
        <v>1</v>
      </c>
    </row>
    <row r="7886" spans="1:2" x14ac:dyDescent="0.35">
      <c r="A7886">
        <v>719</v>
      </c>
      <c r="B7886">
        <v>1</v>
      </c>
    </row>
    <row r="7887" spans="1:2" x14ac:dyDescent="0.35">
      <c r="A7887">
        <v>719</v>
      </c>
      <c r="B7887">
        <v>1</v>
      </c>
    </row>
    <row r="7888" spans="1:2" x14ac:dyDescent="0.35">
      <c r="A7888">
        <v>719</v>
      </c>
      <c r="B7888">
        <v>1</v>
      </c>
    </row>
    <row r="7889" spans="1:2" x14ac:dyDescent="0.35">
      <c r="A7889">
        <v>721</v>
      </c>
      <c r="B7889">
        <v>1</v>
      </c>
    </row>
    <row r="7890" spans="1:2" x14ac:dyDescent="0.35">
      <c r="A7890">
        <v>722</v>
      </c>
      <c r="B7890">
        <v>1</v>
      </c>
    </row>
    <row r="7891" spans="1:2" x14ac:dyDescent="0.35">
      <c r="A7891">
        <v>722</v>
      </c>
      <c r="B7891">
        <v>1</v>
      </c>
    </row>
    <row r="7892" spans="1:2" x14ac:dyDescent="0.35">
      <c r="A7892">
        <v>722</v>
      </c>
      <c r="B7892">
        <v>1</v>
      </c>
    </row>
    <row r="7893" spans="1:2" x14ac:dyDescent="0.35">
      <c r="A7893">
        <v>722</v>
      </c>
      <c r="B7893">
        <v>1</v>
      </c>
    </row>
    <row r="7894" spans="1:2" x14ac:dyDescent="0.35">
      <c r="A7894">
        <v>722</v>
      </c>
      <c r="B7894">
        <v>1</v>
      </c>
    </row>
    <row r="7895" spans="1:2" x14ac:dyDescent="0.35">
      <c r="A7895">
        <v>722</v>
      </c>
      <c r="B7895">
        <v>1</v>
      </c>
    </row>
    <row r="7896" spans="1:2" x14ac:dyDescent="0.35">
      <c r="A7896">
        <v>723</v>
      </c>
      <c r="B7896">
        <v>1</v>
      </c>
    </row>
    <row r="7897" spans="1:2" x14ac:dyDescent="0.35">
      <c r="A7897">
        <v>723</v>
      </c>
      <c r="B7897">
        <v>1</v>
      </c>
    </row>
    <row r="7898" spans="1:2" x14ac:dyDescent="0.35">
      <c r="A7898">
        <v>724</v>
      </c>
      <c r="B7898">
        <v>1</v>
      </c>
    </row>
    <row r="7899" spans="1:2" x14ac:dyDescent="0.35">
      <c r="A7899">
        <v>724</v>
      </c>
      <c r="B7899">
        <v>1</v>
      </c>
    </row>
    <row r="7900" spans="1:2" x14ac:dyDescent="0.35">
      <c r="A7900">
        <v>725</v>
      </c>
      <c r="B7900">
        <v>1</v>
      </c>
    </row>
    <row r="7901" spans="1:2" x14ac:dyDescent="0.35">
      <c r="A7901">
        <v>726</v>
      </c>
      <c r="B7901">
        <v>1</v>
      </c>
    </row>
    <row r="7902" spans="1:2" x14ac:dyDescent="0.35">
      <c r="A7902">
        <v>726</v>
      </c>
      <c r="B7902">
        <v>1</v>
      </c>
    </row>
    <row r="7903" spans="1:2" x14ac:dyDescent="0.35">
      <c r="A7903">
        <v>728</v>
      </c>
      <c r="B7903">
        <v>1</v>
      </c>
    </row>
    <row r="7904" spans="1:2" x14ac:dyDescent="0.35">
      <c r="A7904">
        <v>728</v>
      </c>
      <c r="B7904">
        <v>1</v>
      </c>
    </row>
    <row r="7905" spans="1:2" x14ac:dyDescent="0.35">
      <c r="A7905">
        <v>728</v>
      </c>
      <c r="B7905">
        <v>1</v>
      </c>
    </row>
    <row r="7906" spans="1:2" x14ac:dyDescent="0.35">
      <c r="A7906">
        <v>729</v>
      </c>
      <c r="B7906">
        <v>1</v>
      </c>
    </row>
    <row r="7907" spans="1:2" x14ac:dyDescent="0.35">
      <c r="A7907">
        <v>729</v>
      </c>
      <c r="B7907">
        <v>1</v>
      </c>
    </row>
    <row r="7908" spans="1:2" x14ac:dyDescent="0.35">
      <c r="A7908">
        <v>730</v>
      </c>
      <c r="B7908">
        <v>1</v>
      </c>
    </row>
    <row r="7909" spans="1:2" x14ac:dyDescent="0.35">
      <c r="A7909">
        <v>730</v>
      </c>
      <c r="B7909">
        <v>1</v>
      </c>
    </row>
    <row r="7910" spans="1:2" x14ac:dyDescent="0.35">
      <c r="A7910">
        <v>730</v>
      </c>
      <c r="B7910">
        <v>1</v>
      </c>
    </row>
    <row r="7911" spans="1:2" x14ac:dyDescent="0.35">
      <c r="A7911">
        <v>731</v>
      </c>
      <c r="B7911">
        <v>1</v>
      </c>
    </row>
    <row r="7912" spans="1:2" x14ac:dyDescent="0.35">
      <c r="A7912">
        <v>731</v>
      </c>
      <c r="B7912">
        <v>1</v>
      </c>
    </row>
    <row r="7913" spans="1:2" x14ac:dyDescent="0.35">
      <c r="A7913">
        <v>731</v>
      </c>
      <c r="B7913">
        <v>1</v>
      </c>
    </row>
    <row r="7914" spans="1:2" x14ac:dyDescent="0.35">
      <c r="A7914">
        <v>731</v>
      </c>
      <c r="B7914">
        <v>1</v>
      </c>
    </row>
    <row r="7915" spans="1:2" x14ac:dyDescent="0.35">
      <c r="A7915">
        <v>732</v>
      </c>
      <c r="B7915">
        <v>1</v>
      </c>
    </row>
    <row r="7916" spans="1:2" x14ac:dyDescent="0.35">
      <c r="A7916">
        <v>732</v>
      </c>
      <c r="B7916">
        <v>1</v>
      </c>
    </row>
    <row r="7917" spans="1:2" x14ac:dyDescent="0.35">
      <c r="A7917">
        <v>733</v>
      </c>
      <c r="B7917">
        <v>1</v>
      </c>
    </row>
    <row r="7918" spans="1:2" x14ac:dyDescent="0.35">
      <c r="A7918">
        <v>733</v>
      </c>
      <c r="B7918">
        <v>1</v>
      </c>
    </row>
    <row r="7919" spans="1:2" x14ac:dyDescent="0.35">
      <c r="A7919">
        <v>733</v>
      </c>
      <c r="B7919">
        <v>1</v>
      </c>
    </row>
    <row r="7920" spans="1:2" x14ac:dyDescent="0.35">
      <c r="A7920">
        <v>733</v>
      </c>
      <c r="B7920">
        <v>1</v>
      </c>
    </row>
    <row r="7921" spans="1:2" x14ac:dyDescent="0.35">
      <c r="A7921">
        <v>733</v>
      </c>
      <c r="B7921">
        <v>1</v>
      </c>
    </row>
    <row r="7922" spans="1:2" x14ac:dyDescent="0.35">
      <c r="A7922">
        <v>735</v>
      </c>
      <c r="B7922">
        <v>1</v>
      </c>
    </row>
    <row r="7923" spans="1:2" x14ac:dyDescent="0.35">
      <c r="A7923">
        <v>735</v>
      </c>
      <c r="B7923">
        <v>1</v>
      </c>
    </row>
    <row r="7924" spans="1:2" x14ac:dyDescent="0.35">
      <c r="A7924">
        <v>736</v>
      </c>
      <c r="B7924">
        <v>1</v>
      </c>
    </row>
    <row r="7925" spans="1:2" x14ac:dyDescent="0.35">
      <c r="A7925">
        <v>736</v>
      </c>
      <c r="B7925">
        <v>1</v>
      </c>
    </row>
    <row r="7926" spans="1:2" x14ac:dyDescent="0.35">
      <c r="A7926">
        <v>737</v>
      </c>
      <c r="B7926">
        <v>1</v>
      </c>
    </row>
    <row r="7927" spans="1:2" x14ac:dyDescent="0.35">
      <c r="A7927">
        <v>737</v>
      </c>
      <c r="B7927">
        <v>1</v>
      </c>
    </row>
    <row r="7928" spans="1:2" x14ac:dyDescent="0.35">
      <c r="A7928">
        <v>737</v>
      </c>
      <c r="B7928">
        <v>1</v>
      </c>
    </row>
    <row r="7929" spans="1:2" x14ac:dyDescent="0.35">
      <c r="A7929">
        <v>737</v>
      </c>
      <c r="B7929">
        <v>1</v>
      </c>
    </row>
    <row r="7930" spans="1:2" x14ac:dyDescent="0.35">
      <c r="A7930">
        <v>739</v>
      </c>
      <c r="B7930">
        <v>1</v>
      </c>
    </row>
    <row r="7931" spans="1:2" x14ac:dyDescent="0.35">
      <c r="A7931">
        <v>739</v>
      </c>
      <c r="B7931">
        <v>1</v>
      </c>
    </row>
    <row r="7932" spans="1:2" x14ac:dyDescent="0.35">
      <c r="A7932">
        <v>739</v>
      </c>
      <c r="B7932">
        <v>1</v>
      </c>
    </row>
    <row r="7933" spans="1:2" x14ac:dyDescent="0.35">
      <c r="A7933">
        <v>739</v>
      </c>
      <c r="B7933">
        <v>1</v>
      </c>
    </row>
    <row r="7934" spans="1:2" x14ac:dyDescent="0.35">
      <c r="A7934">
        <v>740</v>
      </c>
      <c r="B7934">
        <v>1</v>
      </c>
    </row>
    <row r="7935" spans="1:2" x14ac:dyDescent="0.35">
      <c r="A7935">
        <v>740</v>
      </c>
      <c r="B7935">
        <v>1</v>
      </c>
    </row>
    <row r="7936" spans="1:2" x14ac:dyDescent="0.35">
      <c r="A7936">
        <v>740</v>
      </c>
      <c r="B7936">
        <v>1</v>
      </c>
    </row>
    <row r="7937" spans="1:2" x14ac:dyDescent="0.35">
      <c r="A7937">
        <v>740</v>
      </c>
      <c r="B7937">
        <v>1</v>
      </c>
    </row>
    <row r="7938" spans="1:2" x14ac:dyDescent="0.35">
      <c r="A7938">
        <v>740</v>
      </c>
      <c r="B7938">
        <v>1</v>
      </c>
    </row>
    <row r="7939" spans="1:2" x14ac:dyDescent="0.35">
      <c r="A7939">
        <v>741</v>
      </c>
      <c r="B7939">
        <v>1</v>
      </c>
    </row>
    <row r="7940" spans="1:2" x14ac:dyDescent="0.35">
      <c r="A7940">
        <v>741</v>
      </c>
      <c r="B7940">
        <v>1</v>
      </c>
    </row>
    <row r="7941" spans="1:2" x14ac:dyDescent="0.35">
      <c r="A7941">
        <v>742</v>
      </c>
      <c r="B7941">
        <v>1</v>
      </c>
    </row>
    <row r="7942" spans="1:2" x14ac:dyDescent="0.35">
      <c r="A7942">
        <v>742</v>
      </c>
      <c r="B7942">
        <v>1</v>
      </c>
    </row>
    <row r="7943" spans="1:2" x14ac:dyDescent="0.35">
      <c r="A7943">
        <v>743</v>
      </c>
      <c r="B7943">
        <v>1</v>
      </c>
    </row>
    <row r="7944" spans="1:2" x14ac:dyDescent="0.35">
      <c r="A7944">
        <v>743</v>
      </c>
      <c r="B7944">
        <v>1</v>
      </c>
    </row>
    <row r="7945" spans="1:2" x14ac:dyDescent="0.35">
      <c r="A7945">
        <v>743</v>
      </c>
      <c r="B7945">
        <v>1</v>
      </c>
    </row>
    <row r="7946" spans="1:2" x14ac:dyDescent="0.35">
      <c r="A7946">
        <v>743</v>
      </c>
      <c r="B7946">
        <v>1</v>
      </c>
    </row>
    <row r="7947" spans="1:2" x14ac:dyDescent="0.35">
      <c r="A7947">
        <v>744</v>
      </c>
      <c r="B7947">
        <v>1</v>
      </c>
    </row>
    <row r="7948" spans="1:2" x14ac:dyDescent="0.35">
      <c r="A7948">
        <v>744</v>
      </c>
      <c r="B7948">
        <v>1</v>
      </c>
    </row>
    <row r="7949" spans="1:2" x14ac:dyDescent="0.35">
      <c r="A7949">
        <v>744</v>
      </c>
      <c r="B7949">
        <v>1</v>
      </c>
    </row>
    <row r="7950" spans="1:2" x14ac:dyDescent="0.35">
      <c r="A7950">
        <v>745</v>
      </c>
      <c r="B7950">
        <v>1</v>
      </c>
    </row>
    <row r="7951" spans="1:2" x14ac:dyDescent="0.35">
      <c r="A7951">
        <v>745</v>
      </c>
      <c r="B7951">
        <v>1</v>
      </c>
    </row>
    <row r="7952" spans="1:2" x14ac:dyDescent="0.35">
      <c r="A7952">
        <v>745</v>
      </c>
      <c r="B7952">
        <v>1</v>
      </c>
    </row>
    <row r="7953" spans="1:2" x14ac:dyDescent="0.35">
      <c r="A7953">
        <v>746</v>
      </c>
      <c r="B7953">
        <v>1</v>
      </c>
    </row>
    <row r="7954" spans="1:2" x14ac:dyDescent="0.35">
      <c r="A7954">
        <v>746</v>
      </c>
      <c r="B7954">
        <v>1</v>
      </c>
    </row>
    <row r="7955" spans="1:2" x14ac:dyDescent="0.35">
      <c r="A7955">
        <v>746</v>
      </c>
      <c r="B7955">
        <v>1</v>
      </c>
    </row>
    <row r="7956" spans="1:2" x14ac:dyDescent="0.35">
      <c r="A7956">
        <v>746</v>
      </c>
      <c r="B7956">
        <v>1</v>
      </c>
    </row>
    <row r="7957" spans="1:2" x14ac:dyDescent="0.35">
      <c r="A7957">
        <v>746</v>
      </c>
      <c r="B7957">
        <v>1</v>
      </c>
    </row>
    <row r="7958" spans="1:2" x14ac:dyDescent="0.35">
      <c r="A7958">
        <v>746</v>
      </c>
      <c r="B7958">
        <v>1</v>
      </c>
    </row>
    <row r="7959" spans="1:2" x14ac:dyDescent="0.35">
      <c r="A7959">
        <v>746</v>
      </c>
      <c r="B7959">
        <v>1</v>
      </c>
    </row>
    <row r="7960" spans="1:2" x14ac:dyDescent="0.35">
      <c r="A7960">
        <v>747</v>
      </c>
      <c r="B7960">
        <v>1</v>
      </c>
    </row>
    <row r="7961" spans="1:2" x14ac:dyDescent="0.35">
      <c r="A7961">
        <v>748</v>
      </c>
      <c r="B7961">
        <v>1</v>
      </c>
    </row>
    <row r="7962" spans="1:2" x14ac:dyDescent="0.35">
      <c r="A7962">
        <v>749</v>
      </c>
      <c r="B7962">
        <v>1</v>
      </c>
    </row>
    <row r="7963" spans="1:2" x14ac:dyDescent="0.35">
      <c r="A7963">
        <v>749</v>
      </c>
      <c r="B7963">
        <v>1</v>
      </c>
    </row>
    <row r="7964" spans="1:2" x14ac:dyDescent="0.35">
      <c r="A7964">
        <v>749</v>
      </c>
      <c r="B7964">
        <v>1</v>
      </c>
    </row>
    <row r="7965" spans="1:2" x14ac:dyDescent="0.35">
      <c r="A7965">
        <v>749</v>
      </c>
      <c r="B7965">
        <v>1</v>
      </c>
    </row>
    <row r="7966" spans="1:2" x14ac:dyDescent="0.35">
      <c r="A7966">
        <v>749</v>
      </c>
      <c r="B7966">
        <v>1</v>
      </c>
    </row>
    <row r="7967" spans="1:2" x14ac:dyDescent="0.35">
      <c r="A7967">
        <v>749</v>
      </c>
      <c r="B7967">
        <v>1</v>
      </c>
    </row>
    <row r="7968" spans="1:2" x14ac:dyDescent="0.35">
      <c r="A7968">
        <v>750</v>
      </c>
      <c r="B7968">
        <v>1</v>
      </c>
    </row>
    <row r="7969" spans="1:2" x14ac:dyDescent="0.35">
      <c r="A7969">
        <v>751</v>
      </c>
      <c r="B7969">
        <v>1</v>
      </c>
    </row>
    <row r="7970" spans="1:2" x14ac:dyDescent="0.35">
      <c r="A7970">
        <v>751</v>
      </c>
      <c r="B7970">
        <v>1</v>
      </c>
    </row>
    <row r="7971" spans="1:2" x14ac:dyDescent="0.35">
      <c r="A7971">
        <v>751</v>
      </c>
      <c r="B7971">
        <v>1</v>
      </c>
    </row>
    <row r="7972" spans="1:2" x14ac:dyDescent="0.35">
      <c r="A7972">
        <v>752</v>
      </c>
      <c r="B7972">
        <v>1</v>
      </c>
    </row>
    <row r="7973" spans="1:2" x14ac:dyDescent="0.35">
      <c r="A7973">
        <v>752</v>
      </c>
      <c r="B7973">
        <v>1</v>
      </c>
    </row>
    <row r="7974" spans="1:2" x14ac:dyDescent="0.35">
      <c r="A7974">
        <v>752</v>
      </c>
      <c r="B7974">
        <v>1</v>
      </c>
    </row>
    <row r="7975" spans="1:2" x14ac:dyDescent="0.35">
      <c r="A7975">
        <v>753</v>
      </c>
      <c r="B7975">
        <v>1</v>
      </c>
    </row>
    <row r="7976" spans="1:2" x14ac:dyDescent="0.35">
      <c r="A7976">
        <v>753</v>
      </c>
      <c r="B7976">
        <v>1</v>
      </c>
    </row>
    <row r="7977" spans="1:2" x14ac:dyDescent="0.35">
      <c r="A7977">
        <v>754</v>
      </c>
      <c r="B7977">
        <v>1</v>
      </c>
    </row>
    <row r="7978" spans="1:2" x14ac:dyDescent="0.35">
      <c r="A7978">
        <v>754</v>
      </c>
      <c r="B7978">
        <v>1</v>
      </c>
    </row>
    <row r="7979" spans="1:2" x14ac:dyDescent="0.35">
      <c r="A7979">
        <v>755</v>
      </c>
      <c r="B7979">
        <v>1</v>
      </c>
    </row>
    <row r="7980" spans="1:2" x14ac:dyDescent="0.35">
      <c r="A7980">
        <v>755</v>
      </c>
      <c r="B7980">
        <v>1</v>
      </c>
    </row>
    <row r="7981" spans="1:2" x14ac:dyDescent="0.35">
      <c r="A7981">
        <v>757</v>
      </c>
      <c r="B7981">
        <v>1</v>
      </c>
    </row>
    <row r="7982" spans="1:2" x14ac:dyDescent="0.35">
      <c r="A7982">
        <v>758</v>
      </c>
      <c r="B7982">
        <v>1</v>
      </c>
    </row>
    <row r="7983" spans="1:2" x14ac:dyDescent="0.35">
      <c r="A7983">
        <v>758</v>
      </c>
      <c r="B7983">
        <v>1</v>
      </c>
    </row>
    <row r="7984" spans="1:2" x14ac:dyDescent="0.35">
      <c r="A7984">
        <v>759</v>
      </c>
      <c r="B7984">
        <v>1</v>
      </c>
    </row>
    <row r="7985" spans="1:2" x14ac:dyDescent="0.35">
      <c r="A7985">
        <v>760</v>
      </c>
      <c r="B7985">
        <v>1</v>
      </c>
    </row>
    <row r="7986" spans="1:2" x14ac:dyDescent="0.35">
      <c r="A7986">
        <v>761</v>
      </c>
      <c r="B7986">
        <v>1</v>
      </c>
    </row>
    <row r="7987" spans="1:2" x14ac:dyDescent="0.35">
      <c r="A7987">
        <v>761</v>
      </c>
      <c r="B7987">
        <v>1</v>
      </c>
    </row>
    <row r="7988" spans="1:2" x14ac:dyDescent="0.35">
      <c r="A7988">
        <v>761</v>
      </c>
      <c r="B7988">
        <v>1</v>
      </c>
    </row>
    <row r="7989" spans="1:2" x14ac:dyDescent="0.35">
      <c r="A7989">
        <v>763</v>
      </c>
      <c r="B7989">
        <v>1</v>
      </c>
    </row>
    <row r="7990" spans="1:2" x14ac:dyDescent="0.35">
      <c r="A7990">
        <v>763</v>
      </c>
      <c r="B7990">
        <v>1</v>
      </c>
    </row>
    <row r="7991" spans="1:2" x14ac:dyDescent="0.35">
      <c r="A7991">
        <v>763</v>
      </c>
      <c r="B7991">
        <v>1</v>
      </c>
    </row>
    <row r="7992" spans="1:2" x14ac:dyDescent="0.35">
      <c r="A7992">
        <v>763</v>
      </c>
      <c r="B7992">
        <v>1</v>
      </c>
    </row>
    <row r="7993" spans="1:2" x14ac:dyDescent="0.35">
      <c r="A7993">
        <v>763</v>
      </c>
      <c r="B7993">
        <v>1</v>
      </c>
    </row>
    <row r="7994" spans="1:2" x14ac:dyDescent="0.35">
      <c r="A7994">
        <v>763</v>
      </c>
      <c r="B7994">
        <v>1</v>
      </c>
    </row>
    <row r="7995" spans="1:2" x14ac:dyDescent="0.35">
      <c r="A7995">
        <v>764</v>
      </c>
      <c r="B7995">
        <v>1</v>
      </c>
    </row>
    <row r="7996" spans="1:2" x14ac:dyDescent="0.35">
      <c r="A7996">
        <v>766</v>
      </c>
      <c r="B7996">
        <v>1</v>
      </c>
    </row>
    <row r="7997" spans="1:2" x14ac:dyDescent="0.35">
      <c r="A7997">
        <v>766</v>
      </c>
      <c r="B7997">
        <v>1</v>
      </c>
    </row>
    <row r="7998" spans="1:2" x14ac:dyDescent="0.35">
      <c r="A7998">
        <v>766</v>
      </c>
      <c r="B7998">
        <v>1</v>
      </c>
    </row>
    <row r="7999" spans="1:2" x14ac:dyDescent="0.35">
      <c r="A7999">
        <v>766</v>
      </c>
      <c r="B7999">
        <v>1</v>
      </c>
    </row>
    <row r="8000" spans="1:2" x14ac:dyDescent="0.35">
      <c r="A8000">
        <v>768</v>
      </c>
      <c r="B8000">
        <v>1</v>
      </c>
    </row>
    <row r="8001" spans="1:2" x14ac:dyDescent="0.35">
      <c r="A8001">
        <v>768</v>
      </c>
      <c r="B8001">
        <v>1</v>
      </c>
    </row>
    <row r="8002" spans="1:2" x14ac:dyDescent="0.35">
      <c r="A8002">
        <v>769</v>
      </c>
      <c r="B8002">
        <v>1</v>
      </c>
    </row>
    <row r="8003" spans="1:2" x14ac:dyDescent="0.35">
      <c r="A8003">
        <v>769</v>
      </c>
      <c r="B8003">
        <v>1</v>
      </c>
    </row>
    <row r="8004" spans="1:2" x14ac:dyDescent="0.35">
      <c r="A8004">
        <v>770</v>
      </c>
      <c r="B8004">
        <v>1</v>
      </c>
    </row>
    <row r="8005" spans="1:2" x14ac:dyDescent="0.35">
      <c r="A8005">
        <v>772</v>
      </c>
      <c r="B8005">
        <v>1</v>
      </c>
    </row>
    <row r="8006" spans="1:2" x14ac:dyDescent="0.35">
      <c r="A8006">
        <v>772</v>
      </c>
      <c r="B8006">
        <v>1</v>
      </c>
    </row>
    <row r="8007" spans="1:2" x14ac:dyDescent="0.35">
      <c r="A8007">
        <v>773</v>
      </c>
      <c r="B8007">
        <v>1</v>
      </c>
    </row>
    <row r="8008" spans="1:2" x14ac:dyDescent="0.35">
      <c r="A8008">
        <v>773</v>
      </c>
      <c r="B8008">
        <v>1</v>
      </c>
    </row>
    <row r="8009" spans="1:2" x14ac:dyDescent="0.35">
      <c r="A8009">
        <v>773</v>
      </c>
      <c r="B8009">
        <v>1</v>
      </c>
    </row>
    <row r="8010" spans="1:2" x14ac:dyDescent="0.35">
      <c r="A8010">
        <v>774</v>
      </c>
      <c r="B8010">
        <v>1</v>
      </c>
    </row>
    <row r="8011" spans="1:2" x14ac:dyDescent="0.35">
      <c r="A8011">
        <v>775</v>
      </c>
      <c r="B8011">
        <v>1</v>
      </c>
    </row>
    <row r="8012" spans="1:2" x14ac:dyDescent="0.35">
      <c r="A8012">
        <v>775</v>
      </c>
      <c r="B8012">
        <v>1</v>
      </c>
    </row>
    <row r="8013" spans="1:2" x14ac:dyDescent="0.35">
      <c r="A8013">
        <v>776</v>
      </c>
      <c r="B8013">
        <v>1</v>
      </c>
    </row>
    <row r="8014" spans="1:2" x14ac:dyDescent="0.35">
      <c r="A8014">
        <v>776</v>
      </c>
      <c r="B8014">
        <v>1</v>
      </c>
    </row>
    <row r="8015" spans="1:2" x14ac:dyDescent="0.35">
      <c r="A8015">
        <v>776</v>
      </c>
      <c r="B8015">
        <v>1</v>
      </c>
    </row>
    <row r="8016" spans="1:2" x14ac:dyDescent="0.35">
      <c r="A8016">
        <v>776</v>
      </c>
      <c r="B8016">
        <v>1</v>
      </c>
    </row>
    <row r="8017" spans="1:2" x14ac:dyDescent="0.35">
      <c r="A8017">
        <v>777</v>
      </c>
      <c r="B8017">
        <v>1</v>
      </c>
    </row>
    <row r="8018" spans="1:2" x14ac:dyDescent="0.35">
      <c r="A8018">
        <v>779</v>
      </c>
      <c r="B8018">
        <v>1</v>
      </c>
    </row>
    <row r="8019" spans="1:2" x14ac:dyDescent="0.35">
      <c r="A8019">
        <v>779</v>
      </c>
      <c r="B8019">
        <v>1</v>
      </c>
    </row>
    <row r="8020" spans="1:2" x14ac:dyDescent="0.35">
      <c r="A8020">
        <v>780</v>
      </c>
      <c r="B8020">
        <v>1</v>
      </c>
    </row>
    <row r="8021" spans="1:2" x14ac:dyDescent="0.35">
      <c r="A8021">
        <v>780</v>
      </c>
      <c r="B8021">
        <v>1</v>
      </c>
    </row>
    <row r="8022" spans="1:2" x14ac:dyDescent="0.35">
      <c r="A8022">
        <v>780</v>
      </c>
      <c r="B8022">
        <v>1</v>
      </c>
    </row>
    <row r="8023" spans="1:2" x14ac:dyDescent="0.35">
      <c r="A8023">
        <v>781</v>
      </c>
      <c r="B8023">
        <v>1</v>
      </c>
    </row>
    <row r="8024" spans="1:2" x14ac:dyDescent="0.35">
      <c r="A8024">
        <v>782</v>
      </c>
      <c r="B8024">
        <v>1</v>
      </c>
    </row>
    <row r="8025" spans="1:2" x14ac:dyDescent="0.35">
      <c r="A8025">
        <v>782</v>
      </c>
      <c r="B8025">
        <v>1</v>
      </c>
    </row>
    <row r="8026" spans="1:2" x14ac:dyDescent="0.35">
      <c r="A8026">
        <v>782</v>
      </c>
      <c r="B8026">
        <v>1</v>
      </c>
    </row>
    <row r="8027" spans="1:2" x14ac:dyDescent="0.35">
      <c r="A8027">
        <v>783</v>
      </c>
      <c r="B8027">
        <v>1</v>
      </c>
    </row>
    <row r="8028" spans="1:2" x14ac:dyDescent="0.35">
      <c r="A8028">
        <v>783</v>
      </c>
      <c r="B8028">
        <v>1</v>
      </c>
    </row>
    <row r="8029" spans="1:2" x14ac:dyDescent="0.35">
      <c r="A8029">
        <v>785</v>
      </c>
      <c r="B8029">
        <v>1</v>
      </c>
    </row>
    <row r="8030" spans="1:2" x14ac:dyDescent="0.35">
      <c r="A8030">
        <v>785</v>
      </c>
      <c r="B8030">
        <v>1</v>
      </c>
    </row>
    <row r="8031" spans="1:2" x14ac:dyDescent="0.35">
      <c r="A8031">
        <v>785</v>
      </c>
      <c r="B8031">
        <v>1</v>
      </c>
    </row>
    <row r="8032" spans="1:2" x14ac:dyDescent="0.35">
      <c r="A8032">
        <v>786</v>
      </c>
      <c r="B8032">
        <v>1</v>
      </c>
    </row>
    <row r="8033" spans="1:2" x14ac:dyDescent="0.35">
      <c r="A8033">
        <v>786</v>
      </c>
      <c r="B8033">
        <v>1</v>
      </c>
    </row>
    <row r="8034" spans="1:2" x14ac:dyDescent="0.35">
      <c r="A8034">
        <v>787</v>
      </c>
      <c r="B8034">
        <v>1</v>
      </c>
    </row>
    <row r="8035" spans="1:2" x14ac:dyDescent="0.35">
      <c r="A8035">
        <v>787</v>
      </c>
      <c r="B8035">
        <v>1</v>
      </c>
    </row>
    <row r="8036" spans="1:2" x14ac:dyDescent="0.35">
      <c r="A8036">
        <v>788</v>
      </c>
      <c r="B8036">
        <v>1</v>
      </c>
    </row>
    <row r="8037" spans="1:2" x14ac:dyDescent="0.35">
      <c r="A8037">
        <v>789</v>
      </c>
      <c r="B8037">
        <v>1</v>
      </c>
    </row>
    <row r="8038" spans="1:2" x14ac:dyDescent="0.35">
      <c r="A8038">
        <v>789</v>
      </c>
      <c r="B8038">
        <v>1</v>
      </c>
    </row>
    <row r="8039" spans="1:2" x14ac:dyDescent="0.35">
      <c r="A8039">
        <v>790</v>
      </c>
      <c r="B8039">
        <v>1</v>
      </c>
    </row>
    <row r="8040" spans="1:2" x14ac:dyDescent="0.35">
      <c r="A8040">
        <v>790</v>
      </c>
      <c r="B8040">
        <v>1</v>
      </c>
    </row>
    <row r="8041" spans="1:2" x14ac:dyDescent="0.35">
      <c r="A8041">
        <v>790</v>
      </c>
      <c r="B8041">
        <v>1</v>
      </c>
    </row>
    <row r="8042" spans="1:2" x14ac:dyDescent="0.35">
      <c r="A8042">
        <v>790</v>
      </c>
      <c r="B8042">
        <v>1</v>
      </c>
    </row>
    <row r="8043" spans="1:2" x14ac:dyDescent="0.35">
      <c r="A8043">
        <v>791</v>
      </c>
      <c r="B8043">
        <v>1</v>
      </c>
    </row>
    <row r="8044" spans="1:2" x14ac:dyDescent="0.35">
      <c r="A8044">
        <v>791</v>
      </c>
      <c r="B8044">
        <v>1</v>
      </c>
    </row>
    <row r="8045" spans="1:2" x14ac:dyDescent="0.35">
      <c r="A8045">
        <v>793</v>
      </c>
      <c r="B8045">
        <v>1</v>
      </c>
    </row>
    <row r="8046" spans="1:2" x14ac:dyDescent="0.35">
      <c r="A8046">
        <v>793</v>
      </c>
      <c r="B8046">
        <v>1</v>
      </c>
    </row>
    <row r="8047" spans="1:2" x14ac:dyDescent="0.35">
      <c r="A8047">
        <v>793</v>
      </c>
      <c r="B8047">
        <v>1</v>
      </c>
    </row>
    <row r="8048" spans="1:2" x14ac:dyDescent="0.35">
      <c r="A8048">
        <v>794</v>
      </c>
      <c r="B8048">
        <v>1</v>
      </c>
    </row>
    <row r="8049" spans="1:2" x14ac:dyDescent="0.35">
      <c r="A8049">
        <v>794</v>
      </c>
      <c r="B8049">
        <v>1</v>
      </c>
    </row>
    <row r="8050" spans="1:2" x14ac:dyDescent="0.35">
      <c r="A8050">
        <v>794</v>
      </c>
      <c r="B8050">
        <v>1</v>
      </c>
    </row>
    <row r="8051" spans="1:2" x14ac:dyDescent="0.35">
      <c r="A8051">
        <v>795</v>
      </c>
      <c r="B8051">
        <v>1</v>
      </c>
    </row>
    <row r="8052" spans="1:2" x14ac:dyDescent="0.35">
      <c r="A8052">
        <v>795</v>
      </c>
      <c r="B8052">
        <v>1</v>
      </c>
    </row>
    <row r="8053" spans="1:2" x14ac:dyDescent="0.35">
      <c r="A8053">
        <v>796</v>
      </c>
      <c r="B8053">
        <v>1</v>
      </c>
    </row>
    <row r="8054" spans="1:2" x14ac:dyDescent="0.35">
      <c r="A8054">
        <v>797</v>
      </c>
      <c r="B8054">
        <v>1</v>
      </c>
    </row>
    <row r="8055" spans="1:2" x14ac:dyDescent="0.35">
      <c r="A8055">
        <v>797</v>
      </c>
      <c r="B8055">
        <v>1</v>
      </c>
    </row>
    <row r="8056" spans="1:2" x14ac:dyDescent="0.35">
      <c r="A8056">
        <v>797</v>
      </c>
      <c r="B8056">
        <v>1</v>
      </c>
    </row>
    <row r="8057" spans="1:2" x14ac:dyDescent="0.35">
      <c r="A8057">
        <v>797</v>
      </c>
      <c r="B8057">
        <v>1</v>
      </c>
    </row>
    <row r="8058" spans="1:2" x14ac:dyDescent="0.35">
      <c r="A8058">
        <v>797</v>
      </c>
      <c r="B8058">
        <v>1</v>
      </c>
    </row>
    <row r="8059" spans="1:2" x14ac:dyDescent="0.35">
      <c r="A8059">
        <v>798</v>
      </c>
      <c r="B8059">
        <v>1</v>
      </c>
    </row>
    <row r="8060" spans="1:2" x14ac:dyDescent="0.35">
      <c r="A8060">
        <v>798</v>
      </c>
      <c r="B8060">
        <v>1</v>
      </c>
    </row>
    <row r="8061" spans="1:2" x14ac:dyDescent="0.35">
      <c r="A8061">
        <v>798</v>
      </c>
      <c r="B8061">
        <v>1</v>
      </c>
    </row>
    <row r="8062" spans="1:2" x14ac:dyDescent="0.35">
      <c r="A8062">
        <v>798</v>
      </c>
      <c r="B8062">
        <v>1</v>
      </c>
    </row>
    <row r="8063" spans="1:2" x14ac:dyDescent="0.35">
      <c r="A8063">
        <v>799</v>
      </c>
      <c r="B8063">
        <v>1</v>
      </c>
    </row>
    <row r="8064" spans="1:2" x14ac:dyDescent="0.35">
      <c r="A8064">
        <v>799</v>
      </c>
      <c r="B8064">
        <v>1</v>
      </c>
    </row>
    <row r="8065" spans="1:2" x14ac:dyDescent="0.35">
      <c r="A8065">
        <v>799</v>
      </c>
      <c r="B8065">
        <v>1</v>
      </c>
    </row>
    <row r="8066" spans="1:2" x14ac:dyDescent="0.35">
      <c r="A8066">
        <v>799</v>
      </c>
      <c r="B8066">
        <v>1</v>
      </c>
    </row>
    <row r="8067" spans="1:2" x14ac:dyDescent="0.35">
      <c r="A8067">
        <v>800</v>
      </c>
      <c r="B8067">
        <v>1</v>
      </c>
    </row>
    <row r="8068" spans="1:2" x14ac:dyDescent="0.35">
      <c r="A8068">
        <v>802</v>
      </c>
      <c r="B8068">
        <v>1</v>
      </c>
    </row>
    <row r="8069" spans="1:2" x14ac:dyDescent="0.35">
      <c r="A8069">
        <v>802</v>
      </c>
      <c r="B8069">
        <v>1</v>
      </c>
    </row>
    <row r="8070" spans="1:2" x14ac:dyDescent="0.35">
      <c r="A8070">
        <v>802</v>
      </c>
      <c r="B8070">
        <v>1</v>
      </c>
    </row>
    <row r="8071" spans="1:2" x14ac:dyDescent="0.35">
      <c r="A8071">
        <v>802</v>
      </c>
      <c r="B8071">
        <v>1</v>
      </c>
    </row>
    <row r="8072" spans="1:2" x14ac:dyDescent="0.35">
      <c r="A8072">
        <v>803</v>
      </c>
      <c r="B8072">
        <v>1</v>
      </c>
    </row>
    <row r="8073" spans="1:2" x14ac:dyDescent="0.35">
      <c r="A8073">
        <v>806</v>
      </c>
      <c r="B8073">
        <v>1</v>
      </c>
    </row>
    <row r="8074" spans="1:2" x14ac:dyDescent="0.35">
      <c r="A8074">
        <v>806</v>
      </c>
      <c r="B8074">
        <v>1</v>
      </c>
    </row>
    <row r="8075" spans="1:2" x14ac:dyDescent="0.35">
      <c r="A8075">
        <v>806</v>
      </c>
      <c r="B8075">
        <v>1</v>
      </c>
    </row>
    <row r="8076" spans="1:2" x14ac:dyDescent="0.35">
      <c r="A8076">
        <v>806</v>
      </c>
      <c r="B8076">
        <v>1</v>
      </c>
    </row>
    <row r="8077" spans="1:2" x14ac:dyDescent="0.35">
      <c r="A8077">
        <v>808</v>
      </c>
      <c r="B8077">
        <v>1</v>
      </c>
    </row>
    <row r="8078" spans="1:2" x14ac:dyDescent="0.35">
      <c r="A8078">
        <v>810</v>
      </c>
      <c r="B8078">
        <v>1</v>
      </c>
    </row>
    <row r="8079" spans="1:2" x14ac:dyDescent="0.35">
      <c r="A8079">
        <v>810</v>
      </c>
      <c r="B8079">
        <v>1</v>
      </c>
    </row>
    <row r="8080" spans="1:2" x14ac:dyDescent="0.35">
      <c r="A8080">
        <v>810</v>
      </c>
      <c r="B8080">
        <v>1</v>
      </c>
    </row>
    <row r="8081" spans="1:2" x14ac:dyDescent="0.35">
      <c r="A8081">
        <v>810</v>
      </c>
      <c r="B8081">
        <v>1</v>
      </c>
    </row>
    <row r="8082" spans="1:2" x14ac:dyDescent="0.35">
      <c r="A8082">
        <v>811</v>
      </c>
      <c r="B8082">
        <v>1</v>
      </c>
    </row>
    <row r="8083" spans="1:2" x14ac:dyDescent="0.35">
      <c r="A8083">
        <v>811</v>
      </c>
      <c r="B8083">
        <v>1</v>
      </c>
    </row>
    <row r="8084" spans="1:2" x14ac:dyDescent="0.35">
      <c r="A8084">
        <v>812</v>
      </c>
      <c r="B8084">
        <v>1</v>
      </c>
    </row>
    <row r="8085" spans="1:2" x14ac:dyDescent="0.35">
      <c r="A8085">
        <v>812</v>
      </c>
      <c r="B8085">
        <v>1</v>
      </c>
    </row>
    <row r="8086" spans="1:2" x14ac:dyDescent="0.35">
      <c r="A8086">
        <v>814</v>
      </c>
      <c r="B8086">
        <v>1</v>
      </c>
    </row>
    <row r="8087" spans="1:2" x14ac:dyDescent="0.35">
      <c r="A8087">
        <v>814</v>
      </c>
      <c r="B8087">
        <v>1</v>
      </c>
    </row>
    <row r="8088" spans="1:2" x14ac:dyDescent="0.35">
      <c r="A8088">
        <v>814</v>
      </c>
      <c r="B8088">
        <v>1</v>
      </c>
    </row>
    <row r="8089" spans="1:2" x14ac:dyDescent="0.35">
      <c r="A8089">
        <v>814</v>
      </c>
      <c r="B8089">
        <v>1</v>
      </c>
    </row>
    <row r="8090" spans="1:2" x14ac:dyDescent="0.35">
      <c r="A8090">
        <v>814</v>
      </c>
      <c r="B8090">
        <v>1</v>
      </c>
    </row>
    <row r="8091" spans="1:2" x14ac:dyDescent="0.35">
      <c r="A8091">
        <v>815</v>
      </c>
      <c r="B8091">
        <v>1</v>
      </c>
    </row>
    <row r="8092" spans="1:2" x14ac:dyDescent="0.35">
      <c r="A8092">
        <v>815</v>
      </c>
      <c r="B8092">
        <v>1</v>
      </c>
    </row>
    <row r="8093" spans="1:2" x14ac:dyDescent="0.35">
      <c r="A8093">
        <v>816</v>
      </c>
      <c r="B8093">
        <v>1</v>
      </c>
    </row>
    <row r="8094" spans="1:2" x14ac:dyDescent="0.35">
      <c r="A8094">
        <v>817</v>
      </c>
      <c r="B8094">
        <v>1</v>
      </c>
    </row>
    <row r="8095" spans="1:2" x14ac:dyDescent="0.35">
      <c r="A8095">
        <v>817</v>
      </c>
      <c r="B8095">
        <v>1</v>
      </c>
    </row>
    <row r="8096" spans="1:2" x14ac:dyDescent="0.35">
      <c r="A8096">
        <v>818</v>
      </c>
      <c r="B8096">
        <v>1</v>
      </c>
    </row>
    <row r="8097" spans="1:2" x14ac:dyDescent="0.35">
      <c r="A8097">
        <v>819</v>
      </c>
      <c r="B8097">
        <v>1</v>
      </c>
    </row>
    <row r="8098" spans="1:2" x14ac:dyDescent="0.35">
      <c r="A8098">
        <v>820</v>
      </c>
      <c r="B8098">
        <v>1</v>
      </c>
    </row>
    <row r="8099" spans="1:2" x14ac:dyDescent="0.35">
      <c r="A8099">
        <v>820</v>
      </c>
      <c r="B8099">
        <v>1</v>
      </c>
    </row>
    <row r="8100" spans="1:2" x14ac:dyDescent="0.35">
      <c r="A8100">
        <v>820</v>
      </c>
      <c r="B8100">
        <v>1</v>
      </c>
    </row>
    <row r="8101" spans="1:2" x14ac:dyDescent="0.35">
      <c r="A8101">
        <v>820</v>
      </c>
      <c r="B8101">
        <v>1</v>
      </c>
    </row>
    <row r="8102" spans="1:2" x14ac:dyDescent="0.35">
      <c r="A8102">
        <v>821</v>
      </c>
      <c r="B8102">
        <v>1</v>
      </c>
    </row>
    <row r="8103" spans="1:2" x14ac:dyDescent="0.35">
      <c r="A8103">
        <v>821</v>
      </c>
      <c r="B8103">
        <v>1</v>
      </c>
    </row>
    <row r="8104" spans="1:2" x14ac:dyDescent="0.35">
      <c r="A8104">
        <v>821</v>
      </c>
      <c r="B8104">
        <v>1</v>
      </c>
    </row>
    <row r="8105" spans="1:2" x14ac:dyDescent="0.35">
      <c r="A8105">
        <v>821</v>
      </c>
      <c r="B8105">
        <v>1</v>
      </c>
    </row>
    <row r="8106" spans="1:2" x14ac:dyDescent="0.35">
      <c r="A8106">
        <v>822</v>
      </c>
      <c r="B8106">
        <v>1</v>
      </c>
    </row>
    <row r="8107" spans="1:2" x14ac:dyDescent="0.35">
      <c r="A8107">
        <v>822</v>
      </c>
      <c r="B8107">
        <v>1</v>
      </c>
    </row>
    <row r="8108" spans="1:2" x14ac:dyDescent="0.35">
      <c r="A8108">
        <v>822</v>
      </c>
      <c r="B8108">
        <v>1</v>
      </c>
    </row>
    <row r="8109" spans="1:2" x14ac:dyDescent="0.35">
      <c r="A8109">
        <v>823</v>
      </c>
      <c r="B8109">
        <v>1</v>
      </c>
    </row>
    <row r="8110" spans="1:2" x14ac:dyDescent="0.35">
      <c r="A8110">
        <v>823</v>
      </c>
      <c r="B8110">
        <v>1</v>
      </c>
    </row>
    <row r="8111" spans="1:2" x14ac:dyDescent="0.35">
      <c r="A8111">
        <v>823</v>
      </c>
      <c r="B8111">
        <v>1</v>
      </c>
    </row>
    <row r="8112" spans="1:2" x14ac:dyDescent="0.35">
      <c r="A8112">
        <v>824</v>
      </c>
      <c r="B8112">
        <v>1</v>
      </c>
    </row>
    <row r="8113" spans="1:2" x14ac:dyDescent="0.35">
      <c r="A8113">
        <v>824</v>
      </c>
      <c r="B8113">
        <v>1</v>
      </c>
    </row>
    <row r="8114" spans="1:2" x14ac:dyDescent="0.35">
      <c r="A8114">
        <v>825</v>
      </c>
      <c r="B8114">
        <v>1</v>
      </c>
    </row>
    <row r="8115" spans="1:2" x14ac:dyDescent="0.35">
      <c r="A8115">
        <v>827</v>
      </c>
      <c r="B8115">
        <v>1</v>
      </c>
    </row>
    <row r="8116" spans="1:2" x14ac:dyDescent="0.35">
      <c r="A8116">
        <v>827</v>
      </c>
      <c r="B8116">
        <v>1</v>
      </c>
    </row>
    <row r="8117" spans="1:2" x14ac:dyDescent="0.35">
      <c r="A8117">
        <v>829</v>
      </c>
      <c r="B8117">
        <v>1</v>
      </c>
    </row>
    <row r="8118" spans="1:2" x14ac:dyDescent="0.35">
      <c r="A8118">
        <v>829</v>
      </c>
      <c r="B8118">
        <v>1</v>
      </c>
    </row>
    <row r="8119" spans="1:2" x14ac:dyDescent="0.35">
      <c r="A8119">
        <v>829</v>
      </c>
      <c r="B8119">
        <v>1</v>
      </c>
    </row>
    <row r="8120" spans="1:2" x14ac:dyDescent="0.35">
      <c r="A8120">
        <v>831</v>
      </c>
      <c r="B8120">
        <v>1</v>
      </c>
    </row>
    <row r="8121" spans="1:2" x14ac:dyDescent="0.35">
      <c r="A8121">
        <v>832</v>
      </c>
      <c r="B8121">
        <v>1</v>
      </c>
    </row>
    <row r="8122" spans="1:2" x14ac:dyDescent="0.35">
      <c r="A8122">
        <v>833</v>
      </c>
      <c r="B8122">
        <v>1</v>
      </c>
    </row>
    <row r="8123" spans="1:2" x14ac:dyDescent="0.35">
      <c r="A8123">
        <v>833</v>
      </c>
      <c r="B8123">
        <v>1</v>
      </c>
    </row>
    <row r="8124" spans="1:2" x14ac:dyDescent="0.35">
      <c r="A8124">
        <v>834</v>
      </c>
      <c r="B8124">
        <v>1</v>
      </c>
    </row>
    <row r="8125" spans="1:2" x14ac:dyDescent="0.35">
      <c r="A8125">
        <v>834</v>
      </c>
      <c r="B8125">
        <v>1</v>
      </c>
    </row>
    <row r="8126" spans="1:2" x14ac:dyDescent="0.35">
      <c r="A8126">
        <v>834</v>
      </c>
      <c r="B8126">
        <v>1</v>
      </c>
    </row>
    <row r="8127" spans="1:2" x14ac:dyDescent="0.35">
      <c r="A8127">
        <v>836</v>
      </c>
      <c r="B8127">
        <v>1</v>
      </c>
    </row>
    <row r="8128" spans="1:2" x14ac:dyDescent="0.35">
      <c r="A8128">
        <v>836</v>
      </c>
      <c r="B8128">
        <v>1</v>
      </c>
    </row>
    <row r="8129" spans="1:2" x14ac:dyDescent="0.35">
      <c r="A8129">
        <v>837</v>
      </c>
      <c r="B8129">
        <v>1</v>
      </c>
    </row>
    <row r="8130" spans="1:2" x14ac:dyDescent="0.35">
      <c r="A8130">
        <v>837</v>
      </c>
      <c r="B8130">
        <v>1</v>
      </c>
    </row>
    <row r="8131" spans="1:2" x14ac:dyDescent="0.35">
      <c r="A8131">
        <v>838</v>
      </c>
      <c r="B8131">
        <v>1</v>
      </c>
    </row>
    <row r="8132" spans="1:2" x14ac:dyDescent="0.35">
      <c r="A8132">
        <v>838</v>
      </c>
      <c r="B8132">
        <v>1</v>
      </c>
    </row>
    <row r="8133" spans="1:2" x14ac:dyDescent="0.35">
      <c r="A8133">
        <v>838</v>
      </c>
      <c r="B8133">
        <v>1</v>
      </c>
    </row>
    <row r="8134" spans="1:2" x14ac:dyDescent="0.35">
      <c r="A8134">
        <v>838</v>
      </c>
      <c r="B8134">
        <v>1</v>
      </c>
    </row>
    <row r="8135" spans="1:2" x14ac:dyDescent="0.35">
      <c r="A8135">
        <v>838</v>
      </c>
      <c r="B8135">
        <v>1</v>
      </c>
    </row>
    <row r="8136" spans="1:2" x14ac:dyDescent="0.35">
      <c r="A8136">
        <v>839</v>
      </c>
      <c r="B8136">
        <v>1</v>
      </c>
    </row>
    <row r="8137" spans="1:2" x14ac:dyDescent="0.35">
      <c r="A8137">
        <v>839</v>
      </c>
      <c r="B8137">
        <v>1</v>
      </c>
    </row>
    <row r="8138" spans="1:2" x14ac:dyDescent="0.35">
      <c r="A8138">
        <v>841</v>
      </c>
      <c r="B8138">
        <v>1</v>
      </c>
    </row>
    <row r="8139" spans="1:2" x14ac:dyDescent="0.35">
      <c r="A8139">
        <v>841</v>
      </c>
      <c r="B8139">
        <v>1</v>
      </c>
    </row>
    <row r="8140" spans="1:2" x14ac:dyDescent="0.35">
      <c r="A8140">
        <v>842</v>
      </c>
      <c r="B8140">
        <v>1</v>
      </c>
    </row>
    <row r="8141" spans="1:2" x14ac:dyDescent="0.35">
      <c r="A8141">
        <v>842</v>
      </c>
      <c r="B8141">
        <v>1</v>
      </c>
    </row>
    <row r="8142" spans="1:2" x14ac:dyDescent="0.35">
      <c r="A8142">
        <v>842</v>
      </c>
      <c r="B8142">
        <v>1</v>
      </c>
    </row>
    <row r="8143" spans="1:2" x14ac:dyDescent="0.35">
      <c r="A8143">
        <v>842</v>
      </c>
      <c r="B8143">
        <v>1</v>
      </c>
    </row>
    <row r="8144" spans="1:2" x14ac:dyDescent="0.35">
      <c r="A8144">
        <v>843</v>
      </c>
      <c r="B8144">
        <v>1</v>
      </c>
    </row>
    <row r="8145" spans="1:2" x14ac:dyDescent="0.35">
      <c r="A8145">
        <v>844</v>
      </c>
      <c r="B8145">
        <v>1</v>
      </c>
    </row>
    <row r="8146" spans="1:2" x14ac:dyDescent="0.35">
      <c r="A8146">
        <v>845</v>
      </c>
      <c r="B8146">
        <v>1</v>
      </c>
    </row>
    <row r="8147" spans="1:2" x14ac:dyDescent="0.35">
      <c r="A8147">
        <v>846</v>
      </c>
      <c r="B8147">
        <v>1</v>
      </c>
    </row>
    <row r="8148" spans="1:2" x14ac:dyDescent="0.35">
      <c r="A8148">
        <v>847</v>
      </c>
      <c r="B8148">
        <v>1</v>
      </c>
    </row>
    <row r="8149" spans="1:2" x14ac:dyDescent="0.35">
      <c r="A8149">
        <v>850</v>
      </c>
      <c r="B8149">
        <v>1</v>
      </c>
    </row>
    <row r="8150" spans="1:2" x14ac:dyDescent="0.35">
      <c r="A8150">
        <v>850</v>
      </c>
      <c r="B8150">
        <v>1</v>
      </c>
    </row>
    <row r="8151" spans="1:2" x14ac:dyDescent="0.35">
      <c r="A8151">
        <v>850</v>
      </c>
      <c r="B8151">
        <v>1</v>
      </c>
    </row>
    <row r="8152" spans="1:2" x14ac:dyDescent="0.35">
      <c r="A8152">
        <v>850</v>
      </c>
      <c r="B8152">
        <v>1</v>
      </c>
    </row>
    <row r="8153" spans="1:2" x14ac:dyDescent="0.35">
      <c r="A8153">
        <v>850</v>
      </c>
      <c r="B8153">
        <v>1</v>
      </c>
    </row>
    <row r="8154" spans="1:2" x14ac:dyDescent="0.35">
      <c r="A8154">
        <v>851</v>
      </c>
      <c r="B8154">
        <v>1</v>
      </c>
    </row>
    <row r="8155" spans="1:2" x14ac:dyDescent="0.35">
      <c r="A8155">
        <v>851</v>
      </c>
      <c r="B8155">
        <v>1</v>
      </c>
    </row>
    <row r="8156" spans="1:2" x14ac:dyDescent="0.35">
      <c r="A8156">
        <v>851</v>
      </c>
      <c r="B8156">
        <v>1</v>
      </c>
    </row>
    <row r="8157" spans="1:2" x14ac:dyDescent="0.35">
      <c r="A8157">
        <v>852</v>
      </c>
      <c r="B8157">
        <v>1</v>
      </c>
    </row>
    <row r="8158" spans="1:2" x14ac:dyDescent="0.35">
      <c r="A8158">
        <v>852</v>
      </c>
      <c r="B8158">
        <v>1</v>
      </c>
    </row>
    <row r="8159" spans="1:2" x14ac:dyDescent="0.35">
      <c r="A8159">
        <v>852</v>
      </c>
      <c r="B8159">
        <v>1</v>
      </c>
    </row>
    <row r="8160" spans="1:2" x14ac:dyDescent="0.35">
      <c r="A8160">
        <v>853</v>
      </c>
      <c r="B8160">
        <v>1</v>
      </c>
    </row>
    <row r="8161" spans="1:2" x14ac:dyDescent="0.35">
      <c r="A8161">
        <v>853</v>
      </c>
      <c r="B8161">
        <v>1</v>
      </c>
    </row>
    <row r="8162" spans="1:2" x14ac:dyDescent="0.35">
      <c r="A8162">
        <v>853</v>
      </c>
      <c r="B8162">
        <v>1</v>
      </c>
    </row>
    <row r="8163" spans="1:2" x14ac:dyDescent="0.35">
      <c r="A8163">
        <v>854</v>
      </c>
      <c r="B8163">
        <v>1</v>
      </c>
    </row>
    <row r="8164" spans="1:2" x14ac:dyDescent="0.35">
      <c r="A8164">
        <v>855</v>
      </c>
      <c r="B8164">
        <v>1</v>
      </c>
    </row>
    <row r="8165" spans="1:2" x14ac:dyDescent="0.35">
      <c r="A8165">
        <v>857</v>
      </c>
      <c r="B8165">
        <v>1</v>
      </c>
    </row>
    <row r="8166" spans="1:2" x14ac:dyDescent="0.35">
      <c r="A8166">
        <v>857</v>
      </c>
      <c r="B8166">
        <v>1</v>
      </c>
    </row>
    <row r="8167" spans="1:2" x14ac:dyDescent="0.35">
      <c r="A8167">
        <v>859</v>
      </c>
      <c r="B8167">
        <v>1</v>
      </c>
    </row>
    <row r="8168" spans="1:2" x14ac:dyDescent="0.35">
      <c r="A8168">
        <v>860</v>
      </c>
      <c r="B8168">
        <v>1</v>
      </c>
    </row>
    <row r="8169" spans="1:2" x14ac:dyDescent="0.35">
      <c r="A8169">
        <v>861</v>
      </c>
      <c r="B8169">
        <v>1</v>
      </c>
    </row>
    <row r="8170" spans="1:2" x14ac:dyDescent="0.35">
      <c r="A8170">
        <v>861</v>
      </c>
      <c r="B8170">
        <v>1</v>
      </c>
    </row>
    <row r="8171" spans="1:2" x14ac:dyDescent="0.35">
      <c r="A8171">
        <v>861</v>
      </c>
      <c r="B8171">
        <v>1</v>
      </c>
    </row>
    <row r="8172" spans="1:2" x14ac:dyDescent="0.35">
      <c r="A8172">
        <v>861</v>
      </c>
      <c r="B8172">
        <v>1</v>
      </c>
    </row>
    <row r="8173" spans="1:2" x14ac:dyDescent="0.35">
      <c r="A8173">
        <v>861</v>
      </c>
      <c r="B8173">
        <v>1</v>
      </c>
    </row>
    <row r="8174" spans="1:2" x14ac:dyDescent="0.35">
      <c r="A8174">
        <v>861</v>
      </c>
      <c r="B8174">
        <v>1</v>
      </c>
    </row>
    <row r="8175" spans="1:2" x14ac:dyDescent="0.35">
      <c r="A8175">
        <v>862</v>
      </c>
      <c r="B8175">
        <v>1</v>
      </c>
    </row>
    <row r="8176" spans="1:2" x14ac:dyDescent="0.35">
      <c r="A8176">
        <v>862</v>
      </c>
      <c r="B8176">
        <v>1</v>
      </c>
    </row>
    <row r="8177" spans="1:2" x14ac:dyDescent="0.35">
      <c r="A8177">
        <v>864</v>
      </c>
      <c r="B8177">
        <v>1</v>
      </c>
    </row>
    <row r="8178" spans="1:2" x14ac:dyDescent="0.35">
      <c r="A8178">
        <v>864</v>
      </c>
      <c r="B8178">
        <v>1</v>
      </c>
    </row>
    <row r="8179" spans="1:2" x14ac:dyDescent="0.35">
      <c r="A8179">
        <v>864</v>
      </c>
      <c r="B8179">
        <v>1</v>
      </c>
    </row>
    <row r="8180" spans="1:2" x14ac:dyDescent="0.35">
      <c r="A8180">
        <v>864</v>
      </c>
      <c r="B8180">
        <v>1</v>
      </c>
    </row>
    <row r="8181" spans="1:2" x14ac:dyDescent="0.35">
      <c r="A8181">
        <v>865</v>
      </c>
      <c r="B8181">
        <v>1</v>
      </c>
    </row>
    <row r="8182" spans="1:2" x14ac:dyDescent="0.35">
      <c r="A8182">
        <v>867</v>
      </c>
      <c r="B8182">
        <v>1</v>
      </c>
    </row>
    <row r="8183" spans="1:2" x14ac:dyDescent="0.35">
      <c r="A8183">
        <v>867</v>
      </c>
      <c r="B8183">
        <v>1</v>
      </c>
    </row>
    <row r="8184" spans="1:2" x14ac:dyDescent="0.35">
      <c r="A8184">
        <v>867</v>
      </c>
      <c r="B8184">
        <v>1</v>
      </c>
    </row>
    <row r="8185" spans="1:2" x14ac:dyDescent="0.35">
      <c r="A8185">
        <v>868</v>
      </c>
      <c r="B8185">
        <v>1</v>
      </c>
    </row>
    <row r="8186" spans="1:2" x14ac:dyDescent="0.35">
      <c r="A8186">
        <v>868</v>
      </c>
      <c r="B8186">
        <v>1</v>
      </c>
    </row>
    <row r="8187" spans="1:2" x14ac:dyDescent="0.35">
      <c r="A8187">
        <v>870</v>
      </c>
      <c r="B8187">
        <v>1</v>
      </c>
    </row>
    <row r="8188" spans="1:2" x14ac:dyDescent="0.35">
      <c r="A8188">
        <v>870</v>
      </c>
      <c r="B8188">
        <v>1</v>
      </c>
    </row>
    <row r="8189" spans="1:2" x14ac:dyDescent="0.35">
      <c r="A8189">
        <v>871</v>
      </c>
      <c r="B8189">
        <v>1</v>
      </c>
    </row>
    <row r="8190" spans="1:2" x14ac:dyDescent="0.35">
      <c r="A8190">
        <v>871</v>
      </c>
      <c r="B8190">
        <v>1</v>
      </c>
    </row>
    <row r="8191" spans="1:2" x14ac:dyDescent="0.35">
      <c r="A8191">
        <v>872</v>
      </c>
      <c r="B8191">
        <v>1</v>
      </c>
    </row>
    <row r="8192" spans="1:2" x14ac:dyDescent="0.35">
      <c r="A8192">
        <v>873</v>
      </c>
      <c r="B8192">
        <v>1</v>
      </c>
    </row>
    <row r="8193" spans="1:2" x14ac:dyDescent="0.35">
      <c r="A8193">
        <v>874</v>
      </c>
      <c r="B8193">
        <v>1</v>
      </c>
    </row>
    <row r="8194" spans="1:2" x14ac:dyDescent="0.35">
      <c r="A8194">
        <v>874</v>
      </c>
      <c r="B8194">
        <v>1</v>
      </c>
    </row>
    <row r="8195" spans="1:2" x14ac:dyDescent="0.35">
      <c r="A8195">
        <v>874</v>
      </c>
      <c r="B8195">
        <v>1</v>
      </c>
    </row>
    <row r="8196" spans="1:2" x14ac:dyDescent="0.35">
      <c r="A8196">
        <v>877</v>
      </c>
      <c r="B8196">
        <v>1</v>
      </c>
    </row>
    <row r="8197" spans="1:2" x14ac:dyDescent="0.35">
      <c r="A8197">
        <v>877</v>
      </c>
      <c r="B8197">
        <v>1</v>
      </c>
    </row>
    <row r="8198" spans="1:2" x14ac:dyDescent="0.35">
      <c r="A8198">
        <v>878</v>
      </c>
      <c r="B8198">
        <v>1</v>
      </c>
    </row>
    <row r="8199" spans="1:2" x14ac:dyDescent="0.35">
      <c r="A8199">
        <v>878</v>
      </c>
      <c r="B8199">
        <v>1</v>
      </c>
    </row>
    <row r="8200" spans="1:2" x14ac:dyDescent="0.35">
      <c r="A8200">
        <v>878</v>
      </c>
      <c r="B8200">
        <v>1</v>
      </c>
    </row>
    <row r="8201" spans="1:2" x14ac:dyDescent="0.35">
      <c r="A8201">
        <v>879</v>
      </c>
      <c r="B8201">
        <v>1</v>
      </c>
    </row>
    <row r="8202" spans="1:2" x14ac:dyDescent="0.35">
      <c r="A8202">
        <v>879</v>
      </c>
      <c r="B8202">
        <v>1</v>
      </c>
    </row>
    <row r="8203" spans="1:2" x14ac:dyDescent="0.35">
      <c r="A8203">
        <v>880</v>
      </c>
      <c r="B8203">
        <v>1</v>
      </c>
    </row>
    <row r="8204" spans="1:2" x14ac:dyDescent="0.35">
      <c r="A8204">
        <v>881</v>
      </c>
      <c r="B8204">
        <v>1</v>
      </c>
    </row>
    <row r="8205" spans="1:2" x14ac:dyDescent="0.35">
      <c r="A8205">
        <v>882</v>
      </c>
      <c r="B8205">
        <v>1</v>
      </c>
    </row>
    <row r="8206" spans="1:2" x14ac:dyDescent="0.35">
      <c r="A8206">
        <v>883</v>
      </c>
      <c r="B8206">
        <v>1</v>
      </c>
    </row>
    <row r="8207" spans="1:2" x14ac:dyDescent="0.35">
      <c r="A8207">
        <v>884</v>
      </c>
      <c r="B8207">
        <v>1</v>
      </c>
    </row>
    <row r="8208" spans="1:2" x14ac:dyDescent="0.35">
      <c r="A8208">
        <v>884</v>
      </c>
      <c r="B8208">
        <v>1</v>
      </c>
    </row>
    <row r="8209" spans="1:2" x14ac:dyDescent="0.35">
      <c r="A8209">
        <v>884</v>
      </c>
      <c r="B8209">
        <v>1</v>
      </c>
    </row>
    <row r="8210" spans="1:2" x14ac:dyDescent="0.35">
      <c r="A8210">
        <v>885</v>
      </c>
      <c r="B8210">
        <v>1</v>
      </c>
    </row>
    <row r="8211" spans="1:2" x14ac:dyDescent="0.35">
      <c r="A8211">
        <v>885</v>
      </c>
      <c r="B8211">
        <v>1</v>
      </c>
    </row>
    <row r="8212" spans="1:2" x14ac:dyDescent="0.35">
      <c r="A8212">
        <v>887</v>
      </c>
      <c r="B8212">
        <v>1</v>
      </c>
    </row>
    <row r="8213" spans="1:2" x14ac:dyDescent="0.35">
      <c r="A8213">
        <v>888</v>
      </c>
      <c r="B8213">
        <v>1</v>
      </c>
    </row>
    <row r="8214" spans="1:2" x14ac:dyDescent="0.35">
      <c r="A8214">
        <v>888</v>
      </c>
      <c r="B8214">
        <v>1</v>
      </c>
    </row>
    <row r="8215" spans="1:2" x14ac:dyDescent="0.35">
      <c r="A8215">
        <v>890</v>
      </c>
      <c r="B8215">
        <v>1</v>
      </c>
    </row>
    <row r="8216" spans="1:2" x14ac:dyDescent="0.35">
      <c r="A8216">
        <v>890</v>
      </c>
      <c r="B8216">
        <v>1</v>
      </c>
    </row>
    <row r="8217" spans="1:2" x14ac:dyDescent="0.35">
      <c r="A8217">
        <v>890</v>
      </c>
      <c r="B8217">
        <v>1</v>
      </c>
    </row>
    <row r="8218" spans="1:2" x14ac:dyDescent="0.35">
      <c r="A8218">
        <v>890</v>
      </c>
      <c r="B8218">
        <v>1</v>
      </c>
    </row>
    <row r="8219" spans="1:2" x14ac:dyDescent="0.35">
      <c r="A8219">
        <v>891</v>
      </c>
      <c r="B8219">
        <v>1</v>
      </c>
    </row>
    <row r="8220" spans="1:2" x14ac:dyDescent="0.35">
      <c r="A8220">
        <v>891</v>
      </c>
      <c r="B8220">
        <v>1</v>
      </c>
    </row>
    <row r="8221" spans="1:2" x14ac:dyDescent="0.35">
      <c r="A8221">
        <v>892</v>
      </c>
      <c r="B8221">
        <v>1</v>
      </c>
    </row>
    <row r="8222" spans="1:2" x14ac:dyDescent="0.35">
      <c r="A8222">
        <v>892</v>
      </c>
      <c r="B8222">
        <v>1</v>
      </c>
    </row>
    <row r="8223" spans="1:2" x14ac:dyDescent="0.35">
      <c r="A8223">
        <v>893</v>
      </c>
      <c r="B8223">
        <v>1</v>
      </c>
    </row>
    <row r="8224" spans="1:2" x14ac:dyDescent="0.35">
      <c r="A8224">
        <v>894</v>
      </c>
      <c r="B8224">
        <v>1</v>
      </c>
    </row>
    <row r="8225" spans="1:2" x14ac:dyDescent="0.35">
      <c r="A8225">
        <v>894</v>
      </c>
      <c r="B8225">
        <v>1</v>
      </c>
    </row>
    <row r="8226" spans="1:2" x14ac:dyDescent="0.35">
      <c r="A8226">
        <v>895</v>
      </c>
      <c r="B8226">
        <v>1</v>
      </c>
    </row>
    <row r="8227" spans="1:2" x14ac:dyDescent="0.35">
      <c r="A8227">
        <v>897</v>
      </c>
      <c r="B8227">
        <v>1</v>
      </c>
    </row>
    <row r="8228" spans="1:2" x14ac:dyDescent="0.35">
      <c r="A8228">
        <v>897</v>
      </c>
      <c r="B8228">
        <v>1</v>
      </c>
    </row>
    <row r="8229" spans="1:2" x14ac:dyDescent="0.35">
      <c r="A8229">
        <v>899</v>
      </c>
      <c r="B8229">
        <v>1</v>
      </c>
    </row>
    <row r="8230" spans="1:2" x14ac:dyDescent="0.35">
      <c r="A8230">
        <v>900</v>
      </c>
      <c r="B8230">
        <v>1</v>
      </c>
    </row>
    <row r="8231" spans="1:2" x14ac:dyDescent="0.35">
      <c r="A8231">
        <v>900</v>
      </c>
      <c r="B8231">
        <v>1</v>
      </c>
    </row>
    <row r="8232" spans="1:2" x14ac:dyDescent="0.35">
      <c r="A8232">
        <v>900</v>
      </c>
      <c r="B8232">
        <v>1</v>
      </c>
    </row>
    <row r="8233" spans="1:2" x14ac:dyDescent="0.35">
      <c r="A8233">
        <v>901</v>
      </c>
      <c r="B8233">
        <v>1</v>
      </c>
    </row>
    <row r="8234" spans="1:2" x14ac:dyDescent="0.35">
      <c r="A8234">
        <v>903</v>
      </c>
      <c r="B8234">
        <v>1</v>
      </c>
    </row>
    <row r="8235" spans="1:2" x14ac:dyDescent="0.35">
      <c r="A8235">
        <v>903</v>
      </c>
      <c r="B8235">
        <v>1</v>
      </c>
    </row>
    <row r="8236" spans="1:2" x14ac:dyDescent="0.35">
      <c r="A8236">
        <v>904</v>
      </c>
      <c r="B8236">
        <v>1</v>
      </c>
    </row>
    <row r="8237" spans="1:2" x14ac:dyDescent="0.35">
      <c r="A8237">
        <v>905</v>
      </c>
      <c r="B8237">
        <v>1</v>
      </c>
    </row>
    <row r="8238" spans="1:2" x14ac:dyDescent="0.35">
      <c r="A8238">
        <v>905</v>
      </c>
      <c r="B8238">
        <v>1</v>
      </c>
    </row>
    <row r="8239" spans="1:2" x14ac:dyDescent="0.35">
      <c r="A8239">
        <v>906</v>
      </c>
      <c r="B8239">
        <v>1</v>
      </c>
    </row>
    <row r="8240" spans="1:2" x14ac:dyDescent="0.35">
      <c r="A8240">
        <v>909</v>
      </c>
      <c r="B8240">
        <v>1</v>
      </c>
    </row>
    <row r="8241" spans="1:2" x14ac:dyDescent="0.35">
      <c r="A8241">
        <v>910</v>
      </c>
      <c r="B8241">
        <v>1</v>
      </c>
    </row>
    <row r="8242" spans="1:2" x14ac:dyDescent="0.35">
      <c r="A8242">
        <v>910</v>
      </c>
      <c r="B8242">
        <v>1</v>
      </c>
    </row>
    <row r="8243" spans="1:2" x14ac:dyDescent="0.35">
      <c r="A8243">
        <v>911</v>
      </c>
      <c r="B8243">
        <v>1</v>
      </c>
    </row>
    <row r="8244" spans="1:2" x14ac:dyDescent="0.35">
      <c r="A8244">
        <v>911</v>
      </c>
      <c r="B8244">
        <v>1</v>
      </c>
    </row>
    <row r="8245" spans="1:2" x14ac:dyDescent="0.35">
      <c r="A8245">
        <v>912</v>
      </c>
      <c r="B8245">
        <v>1</v>
      </c>
    </row>
    <row r="8246" spans="1:2" x14ac:dyDescent="0.35">
      <c r="A8246">
        <v>912</v>
      </c>
      <c r="B8246">
        <v>1</v>
      </c>
    </row>
    <row r="8247" spans="1:2" x14ac:dyDescent="0.35">
      <c r="A8247">
        <v>913</v>
      </c>
      <c r="B8247">
        <v>1</v>
      </c>
    </row>
    <row r="8248" spans="1:2" x14ac:dyDescent="0.35">
      <c r="A8248">
        <v>913</v>
      </c>
      <c r="B8248">
        <v>1</v>
      </c>
    </row>
    <row r="8249" spans="1:2" x14ac:dyDescent="0.35">
      <c r="A8249">
        <v>914</v>
      </c>
      <c r="B8249">
        <v>1</v>
      </c>
    </row>
    <row r="8250" spans="1:2" x14ac:dyDescent="0.35">
      <c r="A8250">
        <v>915</v>
      </c>
      <c r="B8250">
        <v>1</v>
      </c>
    </row>
    <row r="8251" spans="1:2" x14ac:dyDescent="0.35">
      <c r="A8251">
        <v>916</v>
      </c>
      <c r="B8251">
        <v>1</v>
      </c>
    </row>
    <row r="8252" spans="1:2" x14ac:dyDescent="0.35">
      <c r="A8252">
        <v>916</v>
      </c>
      <c r="B8252">
        <v>1</v>
      </c>
    </row>
    <row r="8253" spans="1:2" x14ac:dyDescent="0.35">
      <c r="A8253">
        <v>916</v>
      </c>
      <c r="B8253">
        <v>1</v>
      </c>
    </row>
    <row r="8254" spans="1:2" x14ac:dyDescent="0.35">
      <c r="A8254">
        <v>917</v>
      </c>
      <c r="B8254">
        <v>1</v>
      </c>
    </row>
    <row r="8255" spans="1:2" x14ac:dyDescent="0.35">
      <c r="A8255">
        <v>917</v>
      </c>
      <c r="B8255">
        <v>1</v>
      </c>
    </row>
    <row r="8256" spans="1:2" x14ac:dyDescent="0.35">
      <c r="A8256">
        <v>918</v>
      </c>
      <c r="B8256">
        <v>1</v>
      </c>
    </row>
    <row r="8257" spans="1:2" x14ac:dyDescent="0.35">
      <c r="A8257">
        <v>920</v>
      </c>
      <c r="B8257">
        <v>1</v>
      </c>
    </row>
    <row r="8258" spans="1:2" x14ac:dyDescent="0.35">
      <c r="A8258">
        <v>920</v>
      </c>
      <c r="B8258">
        <v>1</v>
      </c>
    </row>
    <row r="8259" spans="1:2" x14ac:dyDescent="0.35">
      <c r="A8259">
        <v>921</v>
      </c>
      <c r="B8259">
        <v>1</v>
      </c>
    </row>
    <row r="8260" spans="1:2" x14ac:dyDescent="0.35">
      <c r="A8260">
        <v>921</v>
      </c>
      <c r="B8260">
        <v>1</v>
      </c>
    </row>
    <row r="8261" spans="1:2" x14ac:dyDescent="0.35">
      <c r="A8261">
        <v>921</v>
      </c>
      <c r="B8261">
        <v>1</v>
      </c>
    </row>
    <row r="8262" spans="1:2" x14ac:dyDescent="0.35">
      <c r="A8262">
        <v>921</v>
      </c>
      <c r="B8262">
        <v>1</v>
      </c>
    </row>
    <row r="8263" spans="1:2" x14ac:dyDescent="0.35">
      <c r="A8263">
        <v>925</v>
      </c>
      <c r="B8263">
        <v>1</v>
      </c>
    </row>
    <row r="8264" spans="1:2" x14ac:dyDescent="0.35">
      <c r="A8264">
        <v>925</v>
      </c>
      <c r="B8264">
        <v>1</v>
      </c>
    </row>
    <row r="8265" spans="1:2" x14ac:dyDescent="0.35">
      <c r="A8265">
        <v>925</v>
      </c>
      <c r="B8265">
        <v>1</v>
      </c>
    </row>
    <row r="8266" spans="1:2" x14ac:dyDescent="0.35">
      <c r="A8266">
        <v>925</v>
      </c>
      <c r="B8266">
        <v>1</v>
      </c>
    </row>
    <row r="8267" spans="1:2" x14ac:dyDescent="0.35">
      <c r="A8267">
        <v>926</v>
      </c>
      <c r="B8267">
        <v>1</v>
      </c>
    </row>
    <row r="8268" spans="1:2" x14ac:dyDescent="0.35">
      <c r="A8268">
        <v>927</v>
      </c>
      <c r="B8268">
        <v>1</v>
      </c>
    </row>
    <row r="8269" spans="1:2" x14ac:dyDescent="0.35">
      <c r="A8269">
        <v>927</v>
      </c>
      <c r="B8269">
        <v>1</v>
      </c>
    </row>
    <row r="8270" spans="1:2" x14ac:dyDescent="0.35">
      <c r="A8270">
        <v>928</v>
      </c>
      <c r="B8270">
        <v>1</v>
      </c>
    </row>
    <row r="8271" spans="1:2" x14ac:dyDescent="0.35">
      <c r="A8271">
        <v>928</v>
      </c>
      <c r="B8271">
        <v>1</v>
      </c>
    </row>
    <row r="8272" spans="1:2" x14ac:dyDescent="0.35">
      <c r="A8272">
        <v>928</v>
      </c>
      <c r="B8272">
        <v>1</v>
      </c>
    </row>
    <row r="8273" spans="1:2" x14ac:dyDescent="0.35">
      <c r="A8273">
        <v>928</v>
      </c>
      <c r="B8273">
        <v>1</v>
      </c>
    </row>
    <row r="8274" spans="1:2" x14ac:dyDescent="0.35">
      <c r="A8274">
        <v>929</v>
      </c>
      <c r="B8274">
        <v>1</v>
      </c>
    </row>
    <row r="8275" spans="1:2" x14ac:dyDescent="0.35">
      <c r="A8275">
        <v>931</v>
      </c>
      <c r="B8275">
        <v>1</v>
      </c>
    </row>
    <row r="8276" spans="1:2" x14ac:dyDescent="0.35">
      <c r="A8276">
        <v>931</v>
      </c>
      <c r="B8276">
        <v>1</v>
      </c>
    </row>
    <row r="8277" spans="1:2" x14ac:dyDescent="0.35">
      <c r="A8277">
        <v>933</v>
      </c>
      <c r="B8277">
        <v>1</v>
      </c>
    </row>
    <row r="8278" spans="1:2" x14ac:dyDescent="0.35">
      <c r="A8278">
        <v>935</v>
      </c>
      <c r="B8278">
        <v>1</v>
      </c>
    </row>
    <row r="8279" spans="1:2" x14ac:dyDescent="0.35">
      <c r="A8279">
        <v>935</v>
      </c>
      <c r="B8279">
        <v>1</v>
      </c>
    </row>
    <row r="8280" spans="1:2" x14ac:dyDescent="0.35">
      <c r="A8280">
        <v>935</v>
      </c>
      <c r="B8280">
        <v>1</v>
      </c>
    </row>
    <row r="8281" spans="1:2" x14ac:dyDescent="0.35">
      <c r="A8281">
        <v>935</v>
      </c>
      <c r="B8281">
        <v>1</v>
      </c>
    </row>
    <row r="8282" spans="1:2" x14ac:dyDescent="0.35">
      <c r="A8282">
        <v>936</v>
      </c>
      <c r="B8282">
        <v>1</v>
      </c>
    </row>
    <row r="8283" spans="1:2" x14ac:dyDescent="0.35">
      <c r="A8283">
        <v>936</v>
      </c>
      <c r="B8283">
        <v>1</v>
      </c>
    </row>
    <row r="8284" spans="1:2" x14ac:dyDescent="0.35">
      <c r="A8284">
        <v>937</v>
      </c>
      <c r="B8284">
        <v>1</v>
      </c>
    </row>
    <row r="8285" spans="1:2" x14ac:dyDescent="0.35">
      <c r="A8285">
        <v>937</v>
      </c>
      <c r="B8285">
        <v>1</v>
      </c>
    </row>
    <row r="8286" spans="1:2" x14ac:dyDescent="0.35">
      <c r="A8286">
        <v>938</v>
      </c>
      <c r="B8286">
        <v>1</v>
      </c>
    </row>
    <row r="8287" spans="1:2" x14ac:dyDescent="0.35">
      <c r="A8287">
        <v>939</v>
      </c>
      <c r="B8287">
        <v>1</v>
      </c>
    </row>
    <row r="8288" spans="1:2" x14ac:dyDescent="0.35">
      <c r="A8288">
        <v>940</v>
      </c>
      <c r="B8288">
        <v>1</v>
      </c>
    </row>
    <row r="8289" spans="1:2" x14ac:dyDescent="0.35">
      <c r="A8289">
        <v>940</v>
      </c>
      <c r="B8289">
        <v>1</v>
      </c>
    </row>
    <row r="8290" spans="1:2" x14ac:dyDescent="0.35">
      <c r="A8290">
        <v>941</v>
      </c>
      <c r="B8290">
        <v>1</v>
      </c>
    </row>
    <row r="8291" spans="1:2" x14ac:dyDescent="0.35">
      <c r="A8291">
        <v>942</v>
      </c>
      <c r="B8291">
        <v>1</v>
      </c>
    </row>
    <row r="8292" spans="1:2" x14ac:dyDescent="0.35">
      <c r="A8292">
        <v>943</v>
      </c>
      <c r="B8292">
        <v>1</v>
      </c>
    </row>
    <row r="8293" spans="1:2" x14ac:dyDescent="0.35">
      <c r="A8293">
        <v>943</v>
      </c>
      <c r="B8293">
        <v>1</v>
      </c>
    </row>
    <row r="8294" spans="1:2" x14ac:dyDescent="0.35">
      <c r="A8294">
        <v>943</v>
      </c>
      <c r="B8294">
        <v>1</v>
      </c>
    </row>
    <row r="8295" spans="1:2" x14ac:dyDescent="0.35">
      <c r="A8295">
        <v>944</v>
      </c>
      <c r="B8295">
        <v>1</v>
      </c>
    </row>
    <row r="8296" spans="1:2" x14ac:dyDescent="0.35">
      <c r="A8296">
        <v>944</v>
      </c>
      <c r="B8296">
        <v>1</v>
      </c>
    </row>
    <row r="8297" spans="1:2" x14ac:dyDescent="0.35">
      <c r="A8297">
        <v>944</v>
      </c>
      <c r="B8297">
        <v>1</v>
      </c>
    </row>
    <row r="8298" spans="1:2" x14ac:dyDescent="0.35">
      <c r="A8298">
        <v>946</v>
      </c>
      <c r="B8298">
        <v>1</v>
      </c>
    </row>
    <row r="8299" spans="1:2" x14ac:dyDescent="0.35">
      <c r="A8299">
        <v>946</v>
      </c>
      <c r="B8299">
        <v>1</v>
      </c>
    </row>
    <row r="8300" spans="1:2" x14ac:dyDescent="0.35">
      <c r="A8300">
        <v>946</v>
      </c>
      <c r="B8300">
        <v>1</v>
      </c>
    </row>
    <row r="8301" spans="1:2" x14ac:dyDescent="0.35">
      <c r="A8301">
        <v>949</v>
      </c>
      <c r="B8301">
        <v>1</v>
      </c>
    </row>
    <row r="8302" spans="1:2" x14ac:dyDescent="0.35">
      <c r="A8302">
        <v>949</v>
      </c>
      <c r="B8302">
        <v>1</v>
      </c>
    </row>
    <row r="8303" spans="1:2" x14ac:dyDescent="0.35">
      <c r="A8303">
        <v>949</v>
      </c>
      <c r="B8303">
        <v>1</v>
      </c>
    </row>
    <row r="8304" spans="1:2" x14ac:dyDescent="0.35">
      <c r="A8304">
        <v>950</v>
      </c>
      <c r="B8304">
        <v>1</v>
      </c>
    </row>
    <row r="8305" spans="1:2" x14ac:dyDescent="0.35">
      <c r="A8305">
        <v>951</v>
      </c>
      <c r="B8305">
        <v>1</v>
      </c>
    </row>
    <row r="8306" spans="1:2" x14ac:dyDescent="0.35">
      <c r="A8306">
        <v>951</v>
      </c>
      <c r="B8306">
        <v>1</v>
      </c>
    </row>
    <row r="8307" spans="1:2" x14ac:dyDescent="0.35">
      <c r="A8307">
        <v>951</v>
      </c>
      <c r="B8307">
        <v>1</v>
      </c>
    </row>
    <row r="8308" spans="1:2" x14ac:dyDescent="0.35">
      <c r="A8308">
        <v>952</v>
      </c>
      <c r="B8308">
        <v>1</v>
      </c>
    </row>
    <row r="8309" spans="1:2" x14ac:dyDescent="0.35">
      <c r="A8309">
        <v>953</v>
      </c>
      <c r="B8309">
        <v>1</v>
      </c>
    </row>
    <row r="8310" spans="1:2" x14ac:dyDescent="0.35">
      <c r="A8310">
        <v>953</v>
      </c>
      <c r="B8310">
        <v>1</v>
      </c>
    </row>
    <row r="8311" spans="1:2" x14ac:dyDescent="0.35">
      <c r="A8311">
        <v>954</v>
      </c>
      <c r="B8311">
        <v>1</v>
      </c>
    </row>
    <row r="8312" spans="1:2" x14ac:dyDescent="0.35">
      <c r="A8312">
        <v>955</v>
      </c>
      <c r="B8312">
        <v>1</v>
      </c>
    </row>
    <row r="8313" spans="1:2" x14ac:dyDescent="0.35">
      <c r="A8313">
        <v>956</v>
      </c>
      <c r="B8313">
        <v>1</v>
      </c>
    </row>
    <row r="8314" spans="1:2" x14ac:dyDescent="0.35">
      <c r="A8314">
        <v>956</v>
      </c>
      <c r="B8314">
        <v>1</v>
      </c>
    </row>
    <row r="8315" spans="1:2" x14ac:dyDescent="0.35">
      <c r="A8315">
        <v>958</v>
      </c>
      <c r="B8315">
        <v>1</v>
      </c>
    </row>
    <row r="8316" spans="1:2" x14ac:dyDescent="0.35">
      <c r="A8316">
        <v>960</v>
      </c>
      <c r="B8316">
        <v>1</v>
      </c>
    </row>
    <row r="8317" spans="1:2" x14ac:dyDescent="0.35">
      <c r="A8317">
        <v>961</v>
      </c>
      <c r="B8317">
        <v>1</v>
      </c>
    </row>
    <row r="8318" spans="1:2" x14ac:dyDescent="0.35">
      <c r="A8318">
        <v>961</v>
      </c>
      <c r="B8318">
        <v>1</v>
      </c>
    </row>
    <row r="8319" spans="1:2" x14ac:dyDescent="0.35">
      <c r="A8319">
        <v>962</v>
      </c>
      <c r="B8319">
        <v>1</v>
      </c>
    </row>
    <row r="8320" spans="1:2" x14ac:dyDescent="0.35">
      <c r="A8320">
        <v>964</v>
      </c>
      <c r="B8320">
        <v>1</v>
      </c>
    </row>
    <row r="8321" spans="1:2" x14ac:dyDescent="0.35">
      <c r="A8321">
        <v>964</v>
      </c>
      <c r="B8321">
        <v>1</v>
      </c>
    </row>
    <row r="8322" spans="1:2" x14ac:dyDescent="0.35">
      <c r="A8322">
        <v>964</v>
      </c>
      <c r="B8322">
        <v>1</v>
      </c>
    </row>
    <row r="8323" spans="1:2" x14ac:dyDescent="0.35">
      <c r="A8323">
        <v>964</v>
      </c>
      <c r="B8323">
        <v>1</v>
      </c>
    </row>
    <row r="8324" spans="1:2" x14ac:dyDescent="0.35">
      <c r="A8324">
        <v>964</v>
      </c>
      <c r="B8324">
        <v>1</v>
      </c>
    </row>
    <row r="8325" spans="1:2" x14ac:dyDescent="0.35">
      <c r="A8325">
        <v>965</v>
      </c>
      <c r="B8325">
        <v>1</v>
      </c>
    </row>
    <row r="8326" spans="1:2" x14ac:dyDescent="0.35">
      <c r="A8326">
        <v>965</v>
      </c>
      <c r="B8326">
        <v>1</v>
      </c>
    </row>
    <row r="8327" spans="1:2" x14ac:dyDescent="0.35">
      <c r="A8327">
        <v>967</v>
      </c>
      <c r="B8327">
        <v>1</v>
      </c>
    </row>
    <row r="8328" spans="1:2" x14ac:dyDescent="0.35">
      <c r="A8328">
        <v>967</v>
      </c>
      <c r="B8328">
        <v>1</v>
      </c>
    </row>
    <row r="8329" spans="1:2" x14ac:dyDescent="0.35">
      <c r="A8329">
        <v>968</v>
      </c>
      <c r="B8329">
        <v>1</v>
      </c>
    </row>
    <row r="8330" spans="1:2" x14ac:dyDescent="0.35">
      <c r="A8330">
        <v>968</v>
      </c>
      <c r="B8330">
        <v>1</v>
      </c>
    </row>
    <row r="8331" spans="1:2" x14ac:dyDescent="0.35">
      <c r="A8331">
        <v>969</v>
      </c>
      <c r="B8331">
        <v>1</v>
      </c>
    </row>
    <row r="8332" spans="1:2" x14ac:dyDescent="0.35">
      <c r="A8332">
        <v>969</v>
      </c>
      <c r="B8332">
        <v>1</v>
      </c>
    </row>
    <row r="8333" spans="1:2" x14ac:dyDescent="0.35">
      <c r="A8333">
        <v>969</v>
      </c>
      <c r="B8333">
        <v>1</v>
      </c>
    </row>
    <row r="8334" spans="1:2" x14ac:dyDescent="0.35">
      <c r="A8334">
        <v>970</v>
      </c>
      <c r="B8334">
        <v>1</v>
      </c>
    </row>
    <row r="8335" spans="1:2" x14ac:dyDescent="0.35">
      <c r="A8335">
        <v>970</v>
      </c>
      <c r="B8335">
        <v>1</v>
      </c>
    </row>
    <row r="8336" spans="1:2" x14ac:dyDescent="0.35">
      <c r="A8336">
        <v>970</v>
      </c>
      <c r="B8336">
        <v>1</v>
      </c>
    </row>
    <row r="8337" spans="1:2" x14ac:dyDescent="0.35">
      <c r="A8337">
        <v>971</v>
      </c>
      <c r="B8337">
        <v>1</v>
      </c>
    </row>
    <row r="8338" spans="1:2" x14ac:dyDescent="0.35">
      <c r="A8338">
        <v>971</v>
      </c>
      <c r="B8338">
        <v>1</v>
      </c>
    </row>
    <row r="8339" spans="1:2" x14ac:dyDescent="0.35">
      <c r="A8339">
        <v>972</v>
      </c>
      <c r="B8339">
        <v>1</v>
      </c>
    </row>
    <row r="8340" spans="1:2" x14ac:dyDescent="0.35">
      <c r="A8340">
        <v>973</v>
      </c>
      <c r="B8340">
        <v>1</v>
      </c>
    </row>
    <row r="8341" spans="1:2" x14ac:dyDescent="0.35">
      <c r="A8341">
        <v>973</v>
      </c>
      <c r="B8341">
        <v>1</v>
      </c>
    </row>
    <row r="8342" spans="1:2" x14ac:dyDescent="0.35">
      <c r="A8342">
        <v>974</v>
      </c>
      <c r="B8342">
        <v>1</v>
      </c>
    </row>
    <row r="8343" spans="1:2" x14ac:dyDescent="0.35">
      <c r="A8343">
        <v>974</v>
      </c>
      <c r="B8343">
        <v>1</v>
      </c>
    </row>
    <row r="8344" spans="1:2" x14ac:dyDescent="0.35">
      <c r="A8344">
        <v>975</v>
      </c>
      <c r="B8344">
        <v>1</v>
      </c>
    </row>
    <row r="8345" spans="1:2" x14ac:dyDescent="0.35">
      <c r="A8345">
        <v>975</v>
      </c>
      <c r="B8345">
        <v>1</v>
      </c>
    </row>
    <row r="8346" spans="1:2" x14ac:dyDescent="0.35">
      <c r="A8346">
        <v>975</v>
      </c>
      <c r="B8346">
        <v>1</v>
      </c>
    </row>
    <row r="8347" spans="1:2" x14ac:dyDescent="0.35">
      <c r="A8347">
        <v>976</v>
      </c>
      <c r="B8347">
        <v>1</v>
      </c>
    </row>
    <row r="8348" spans="1:2" x14ac:dyDescent="0.35">
      <c r="A8348">
        <v>976</v>
      </c>
      <c r="B8348">
        <v>1</v>
      </c>
    </row>
    <row r="8349" spans="1:2" x14ac:dyDescent="0.35">
      <c r="A8349">
        <v>977</v>
      </c>
      <c r="B8349">
        <v>1</v>
      </c>
    </row>
    <row r="8350" spans="1:2" x14ac:dyDescent="0.35">
      <c r="A8350">
        <v>978</v>
      </c>
      <c r="B8350">
        <v>1</v>
      </c>
    </row>
    <row r="8351" spans="1:2" x14ac:dyDescent="0.35">
      <c r="A8351">
        <v>978</v>
      </c>
      <c r="B8351">
        <v>1</v>
      </c>
    </row>
    <row r="8352" spans="1:2" x14ac:dyDescent="0.35">
      <c r="A8352">
        <v>980</v>
      </c>
      <c r="B8352">
        <v>1</v>
      </c>
    </row>
    <row r="8353" spans="1:2" x14ac:dyDescent="0.35">
      <c r="A8353">
        <v>982</v>
      </c>
      <c r="B8353">
        <v>1</v>
      </c>
    </row>
    <row r="8354" spans="1:2" x14ac:dyDescent="0.35">
      <c r="A8354">
        <v>984</v>
      </c>
      <c r="B8354">
        <v>1</v>
      </c>
    </row>
    <row r="8355" spans="1:2" x14ac:dyDescent="0.35">
      <c r="A8355">
        <v>986</v>
      </c>
      <c r="B8355">
        <v>1</v>
      </c>
    </row>
    <row r="8356" spans="1:2" x14ac:dyDescent="0.35">
      <c r="A8356">
        <v>988</v>
      </c>
      <c r="B8356">
        <v>1</v>
      </c>
    </row>
    <row r="8357" spans="1:2" x14ac:dyDescent="0.35">
      <c r="A8357">
        <v>988</v>
      </c>
      <c r="B8357">
        <v>1</v>
      </c>
    </row>
    <row r="8358" spans="1:2" x14ac:dyDescent="0.35">
      <c r="A8358">
        <v>991</v>
      </c>
      <c r="B8358">
        <v>1</v>
      </c>
    </row>
    <row r="8359" spans="1:2" x14ac:dyDescent="0.35">
      <c r="A8359">
        <v>992</v>
      </c>
      <c r="B8359">
        <v>1</v>
      </c>
    </row>
    <row r="8360" spans="1:2" x14ac:dyDescent="0.35">
      <c r="A8360">
        <v>992</v>
      </c>
      <c r="B8360">
        <v>1</v>
      </c>
    </row>
    <row r="8361" spans="1:2" x14ac:dyDescent="0.35">
      <c r="A8361">
        <v>992</v>
      </c>
      <c r="B8361">
        <v>1</v>
      </c>
    </row>
    <row r="8362" spans="1:2" x14ac:dyDescent="0.35">
      <c r="A8362">
        <v>994</v>
      </c>
      <c r="B8362">
        <v>1</v>
      </c>
    </row>
    <row r="8363" spans="1:2" x14ac:dyDescent="0.35">
      <c r="A8363">
        <v>994</v>
      </c>
      <c r="B8363">
        <v>1</v>
      </c>
    </row>
    <row r="8364" spans="1:2" x14ac:dyDescent="0.35">
      <c r="A8364">
        <v>994</v>
      </c>
      <c r="B8364">
        <v>1</v>
      </c>
    </row>
    <row r="8365" spans="1:2" x14ac:dyDescent="0.35">
      <c r="A8365">
        <v>994</v>
      </c>
      <c r="B8365">
        <v>1</v>
      </c>
    </row>
    <row r="8366" spans="1:2" x14ac:dyDescent="0.35">
      <c r="A8366">
        <v>997</v>
      </c>
      <c r="B8366">
        <v>1</v>
      </c>
    </row>
    <row r="8367" spans="1:2" x14ac:dyDescent="0.35">
      <c r="A8367">
        <v>997</v>
      </c>
      <c r="B8367">
        <v>1</v>
      </c>
    </row>
    <row r="8368" spans="1:2" x14ac:dyDescent="0.35">
      <c r="A8368">
        <v>998</v>
      </c>
      <c r="B8368">
        <v>1</v>
      </c>
    </row>
    <row r="8369" spans="1:2" x14ac:dyDescent="0.35">
      <c r="A8369">
        <v>999</v>
      </c>
      <c r="B8369">
        <v>1</v>
      </c>
    </row>
    <row r="8370" spans="1:2" x14ac:dyDescent="0.35">
      <c r="A8370">
        <v>999</v>
      </c>
      <c r="B8370">
        <v>1</v>
      </c>
    </row>
    <row r="8371" spans="1:2" x14ac:dyDescent="0.35">
      <c r="A8371">
        <v>1000</v>
      </c>
      <c r="B8371">
        <v>1</v>
      </c>
    </row>
    <row r="8372" spans="1:2" x14ac:dyDescent="0.35">
      <c r="A8372">
        <v>1001</v>
      </c>
      <c r="B8372">
        <v>1</v>
      </c>
    </row>
    <row r="8373" spans="1:2" x14ac:dyDescent="0.35">
      <c r="A8373">
        <v>1002</v>
      </c>
      <c r="B8373">
        <v>1</v>
      </c>
    </row>
    <row r="8374" spans="1:2" x14ac:dyDescent="0.35">
      <c r="A8374">
        <v>1002</v>
      </c>
      <c r="B8374">
        <v>1</v>
      </c>
    </row>
    <row r="8375" spans="1:2" x14ac:dyDescent="0.35">
      <c r="A8375">
        <v>1003</v>
      </c>
      <c r="B8375">
        <v>1</v>
      </c>
    </row>
    <row r="8376" spans="1:2" x14ac:dyDescent="0.35">
      <c r="A8376">
        <v>1003</v>
      </c>
      <c r="B8376">
        <v>1</v>
      </c>
    </row>
    <row r="8377" spans="1:2" x14ac:dyDescent="0.35">
      <c r="A8377">
        <v>1003</v>
      </c>
      <c r="B8377">
        <v>1</v>
      </c>
    </row>
    <row r="8378" spans="1:2" x14ac:dyDescent="0.35">
      <c r="A8378">
        <v>1003</v>
      </c>
      <c r="B8378">
        <v>1</v>
      </c>
    </row>
    <row r="8379" spans="1:2" x14ac:dyDescent="0.35">
      <c r="A8379">
        <v>1005</v>
      </c>
      <c r="B8379">
        <v>1</v>
      </c>
    </row>
    <row r="8380" spans="1:2" x14ac:dyDescent="0.35">
      <c r="A8380">
        <v>1005</v>
      </c>
      <c r="B8380">
        <v>1</v>
      </c>
    </row>
    <row r="8381" spans="1:2" x14ac:dyDescent="0.35">
      <c r="A8381">
        <v>1007</v>
      </c>
      <c r="B8381">
        <v>1</v>
      </c>
    </row>
    <row r="8382" spans="1:2" x14ac:dyDescent="0.35">
      <c r="A8382">
        <v>1008</v>
      </c>
      <c r="B8382">
        <v>1</v>
      </c>
    </row>
    <row r="8383" spans="1:2" x14ac:dyDescent="0.35">
      <c r="A8383">
        <v>1008</v>
      </c>
      <c r="B8383">
        <v>1</v>
      </c>
    </row>
    <row r="8384" spans="1:2" x14ac:dyDescent="0.35">
      <c r="A8384">
        <v>1010</v>
      </c>
      <c r="B8384">
        <v>1</v>
      </c>
    </row>
    <row r="8385" spans="1:2" x14ac:dyDescent="0.35">
      <c r="A8385">
        <v>1011</v>
      </c>
      <c r="B8385">
        <v>1</v>
      </c>
    </row>
    <row r="8386" spans="1:2" x14ac:dyDescent="0.35">
      <c r="A8386">
        <v>1012</v>
      </c>
      <c r="B8386">
        <v>1</v>
      </c>
    </row>
    <row r="8387" spans="1:2" x14ac:dyDescent="0.35">
      <c r="A8387">
        <v>1012</v>
      </c>
      <c r="B8387">
        <v>1</v>
      </c>
    </row>
    <row r="8388" spans="1:2" x14ac:dyDescent="0.35">
      <c r="A8388">
        <v>1016</v>
      </c>
      <c r="B8388">
        <v>1</v>
      </c>
    </row>
    <row r="8389" spans="1:2" x14ac:dyDescent="0.35">
      <c r="A8389">
        <v>1016</v>
      </c>
      <c r="B8389">
        <v>1</v>
      </c>
    </row>
    <row r="8390" spans="1:2" x14ac:dyDescent="0.35">
      <c r="A8390">
        <v>1017</v>
      </c>
      <c r="B8390">
        <v>1</v>
      </c>
    </row>
    <row r="8391" spans="1:2" x14ac:dyDescent="0.35">
      <c r="A8391">
        <v>1018</v>
      </c>
      <c r="B8391">
        <v>1</v>
      </c>
    </row>
    <row r="8392" spans="1:2" x14ac:dyDescent="0.35">
      <c r="A8392">
        <v>1018</v>
      </c>
      <c r="B8392">
        <v>1</v>
      </c>
    </row>
    <row r="8393" spans="1:2" x14ac:dyDescent="0.35">
      <c r="A8393">
        <v>1019</v>
      </c>
      <c r="B8393">
        <v>1</v>
      </c>
    </row>
    <row r="8394" spans="1:2" x14ac:dyDescent="0.35">
      <c r="A8394">
        <v>1019</v>
      </c>
      <c r="B8394">
        <v>1</v>
      </c>
    </row>
    <row r="8395" spans="1:2" x14ac:dyDescent="0.35">
      <c r="A8395">
        <v>1020</v>
      </c>
      <c r="B8395">
        <v>1</v>
      </c>
    </row>
    <row r="8396" spans="1:2" x14ac:dyDescent="0.35">
      <c r="A8396">
        <v>1020</v>
      </c>
      <c r="B8396">
        <v>1</v>
      </c>
    </row>
    <row r="8397" spans="1:2" x14ac:dyDescent="0.35">
      <c r="A8397">
        <v>1021</v>
      </c>
      <c r="B8397">
        <v>1</v>
      </c>
    </row>
    <row r="8398" spans="1:2" x14ac:dyDescent="0.35">
      <c r="A8398">
        <v>1021</v>
      </c>
      <c r="B8398">
        <v>1</v>
      </c>
    </row>
    <row r="8399" spans="1:2" x14ac:dyDescent="0.35">
      <c r="A8399">
        <v>1021</v>
      </c>
      <c r="B8399">
        <v>1</v>
      </c>
    </row>
    <row r="8400" spans="1:2" x14ac:dyDescent="0.35">
      <c r="A8400">
        <v>1022</v>
      </c>
      <c r="B8400">
        <v>1</v>
      </c>
    </row>
    <row r="8401" spans="1:2" x14ac:dyDescent="0.35">
      <c r="A8401">
        <v>1022</v>
      </c>
      <c r="B8401">
        <v>1</v>
      </c>
    </row>
    <row r="8402" spans="1:2" x14ac:dyDescent="0.35">
      <c r="A8402">
        <v>1022</v>
      </c>
      <c r="B8402">
        <v>1</v>
      </c>
    </row>
    <row r="8403" spans="1:2" x14ac:dyDescent="0.35">
      <c r="A8403">
        <v>1024</v>
      </c>
      <c r="B8403">
        <v>1</v>
      </c>
    </row>
    <row r="8404" spans="1:2" x14ac:dyDescent="0.35">
      <c r="A8404">
        <v>1025</v>
      </c>
      <c r="B8404">
        <v>1</v>
      </c>
    </row>
    <row r="8405" spans="1:2" x14ac:dyDescent="0.35">
      <c r="A8405">
        <v>1026</v>
      </c>
      <c r="B8405">
        <v>1</v>
      </c>
    </row>
    <row r="8406" spans="1:2" x14ac:dyDescent="0.35">
      <c r="A8406">
        <v>1026</v>
      </c>
      <c r="B8406">
        <v>1</v>
      </c>
    </row>
    <row r="8407" spans="1:2" x14ac:dyDescent="0.35">
      <c r="A8407">
        <v>1027</v>
      </c>
      <c r="B8407">
        <v>1</v>
      </c>
    </row>
    <row r="8408" spans="1:2" x14ac:dyDescent="0.35">
      <c r="A8408">
        <v>1027</v>
      </c>
      <c r="B8408">
        <v>1</v>
      </c>
    </row>
    <row r="8409" spans="1:2" x14ac:dyDescent="0.35">
      <c r="A8409">
        <v>1029</v>
      </c>
      <c r="B8409">
        <v>1</v>
      </c>
    </row>
    <row r="8410" spans="1:2" x14ac:dyDescent="0.35">
      <c r="A8410">
        <v>1031</v>
      </c>
      <c r="B8410">
        <v>1</v>
      </c>
    </row>
    <row r="8411" spans="1:2" x14ac:dyDescent="0.35">
      <c r="A8411">
        <v>1031</v>
      </c>
      <c r="B8411">
        <v>1</v>
      </c>
    </row>
    <row r="8412" spans="1:2" x14ac:dyDescent="0.35">
      <c r="A8412">
        <v>1032</v>
      </c>
      <c r="B8412">
        <v>1</v>
      </c>
    </row>
    <row r="8413" spans="1:2" x14ac:dyDescent="0.35">
      <c r="A8413">
        <v>1034</v>
      </c>
      <c r="B8413">
        <v>1</v>
      </c>
    </row>
    <row r="8414" spans="1:2" x14ac:dyDescent="0.35">
      <c r="A8414">
        <v>1035</v>
      </c>
      <c r="B8414">
        <v>1</v>
      </c>
    </row>
    <row r="8415" spans="1:2" x14ac:dyDescent="0.35">
      <c r="A8415">
        <v>1035</v>
      </c>
      <c r="B8415">
        <v>1</v>
      </c>
    </row>
    <row r="8416" spans="1:2" x14ac:dyDescent="0.35">
      <c r="A8416">
        <v>1035</v>
      </c>
      <c r="B8416">
        <v>1</v>
      </c>
    </row>
    <row r="8417" spans="1:2" x14ac:dyDescent="0.35">
      <c r="A8417">
        <v>1036</v>
      </c>
      <c r="B8417">
        <v>1</v>
      </c>
    </row>
    <row r="8418" spans="1:2" x14ac:dyDescent="0.35">
      <c r="A8418">
        <v>1038</v>
      </c>
      <c r="B8418">
        <v>1</v>
      </c>
    </row>
    <row r="8419" spans="1:2" x14ac:dyDescent="0.35">
      <c r="A8419">
        <v>1040</v>
      </c>
      <c r="B8419">
        <v>1</v>
      </c>
    </row>
    <row r="8420" spans="1:2" x14ac:dyDescent="0.35">
      <c r="A8420">
        <v>1041</v>
      </c>
      <c r="B8420">
        <v>1</v>
      </c>
    </row>
    <row r="8421" spans="1:2" x14ac:dyDescent="0.35">
      <c r="A8421">
        <v>1043</v>
      </c>
      <c r="B8421">
        <v>1</v>
      </c>
    </row>
    <row r="8422" spans="1:2" x14ac:dyDescent="0.35">
      <c r="A8422">
        <v>1043</v>
      </c>
      <c r="B8422">
        <v>1</v>
      </c>
    </row>
    <row r="8423" spans="1:2" x14ac:dyDescent="0.35">
      <c r="A8423">
        <v>1043</v>
      </c>
      <c r="B8423">
        <v>1</v>
      </c>
    </row>
    <row r="8424" spans="1:2" x14ac:dyDescent="0.35">
      <c r="A8424">
        <v>1045</v>
      </c>
      <c r="B8424">
        <v>1</v>
      </c>
    </row>
    <row r="8425" spans="1:2" x14ac:dyDescent="0.35">
      <c r="A8425">
        <v>1045</v>
      </c>
      <c r="B8425">
        <v>1</v>
      </c>
    </row>
    <row r="8426" spans="1:2" x14ac:dyDescent="0.35">
      <c r="A8426">
        <v>1046</v>
      </c>
      <c r="B8426">
        <v>1</v>
      </c>
    </row>
    <row r="8427" spans="1:2" x14ac:dyDescent="0.35">
      <c r="A8427">
        <v>1048</v>
      </c>
      <c r="B8427">
        <v>1</v>
      </c>
    </row>
    <row r="8428" spans="1:2" x14ac:dyDescent="0.35">
      <c r="A8428">
        <v>1049</v>
      </c>
      <c r="B8428">
        <v>1</v>
      </c>
    </row>
    <row r="8429" spans="1:2" x14ac:dyDescent="0.35">
      <c r="A8429">
        <v>1050</v>
      </c>
      <c r="B8429">
        <v>1</v>
      </c>
    </row>
    <row r="8430" spans="1:2" x14ac:dyDescent="0.35">
      <c r="A8430">
        <v>1052</v>
      </c>
      <c r="B8430">
        <v>1</v>
      </c>
    </row>
    <row r="8431" spans="1:2" x14ac:dyDescent="0.35">
      <c r="A8431">
        <v>1053</v>
      </c>
      <c r="B8431">
        <v>1</v>
      </c>
    </row>
    <row r="8432" spans="1:2" x14ac:dyDescent="0.35">
      <c r="A8432">
        <v>1054</v>
      </c>
      <c r="B8432">
        <v>1</v>
      </c>
    </row>
    <row r="8433" spans="1:2" x14ac:dyDescent="0.35">
      <c r="A8433">
        <v>1055</v>
      </c>
      <c r="B8433">
        <v>1</v>
      </c>
    </row>
    <row r="8434" spans="1:2" x14ac:dyDescent="0.35">
      <c r="A8434">
        <v>1055</v>
      </c>
      <c r="B8434">
        <v>1</v>
      </c>
    </row>
    <row r="8435" spans="1:2" x14ac:dyDescent="0.35">
      <c r="A8435">
        <v>1057</v>
      </c>
      <c r="B8435">
        <v>1</v>
      </c>
    </row>
    <row r="8436" spans="1:2" x14ac:dyDescent="0.35">
      <c r="A8436">
        <v>1058</v>
      </c>
      <c r="B8436">
        <v>1</v>
      </c>
    </row>
    <row r="8437" spans="1:2" x14ac:dyDescent="0.35">
      <c r="A8437">
        <v>1059</v>
      </c>
      <c r="B8437">
        <v>1</v>
      </c>
    </row>
    <row r="8438" spans="1:2" x14ac:dyDescent="0.35">
      <c r="A8438">
        <v>1060</v>
      </c>
      <c r="B8438">
        <v>1</v>
      </c>
    </row>
    <row r="8439" spans="1:2" x14ac:dyDescent="0.35">
      <c r="A8439">
        <v>1062</v>
      </c>
      <c r="B8439">
        <v>1</v>
      </c>
    </row>
    <row r="8440" spans="1:2" x14ac:dyDescent="0.35">
      <c r="A8440">
        <v>1064</v>
      </c>
      <c r="B8440">
        <v>1</v>
      </c>
    </row>
    <row r="8441" spans="1:2" x14ac:dyDescent="0.35">
      <c r="A8441">
        <v>1065</v>
      </c>
      <c r="B8441">
        <v>1</v>
      </c>
    </row>
    <row r="8442" spans="1:2" x14ac:dyDescent="0.35">
      <c r="A8442">
        <v>1065</v>
      </c>
      <c r="B8442">
        <v>1</v>
      </c>
    </row>
    <row r="8443" spans="1:2" x14ac:dyDescent="0.35">
      <c r="A8443">
        <v>1065</v>
      </c>
      <c r="B8443">
        <v>1</v>
      </c>
    </row>
    <row r="8444" spans="1:2" x14ac:dyDescent="0.35">
      <c r="A8444">
        <v>1065</v>
      </c>
      <c r="B8444">
        <v>1</v>
      </c>
    </row>
    <row r="8445" spans="1:2" x14ac:dyDescent="0.35">
      <c r="A8445">
        <v>1065</v>
      </c>
      <c r="B8445">
        <v>1</v>
      </c>
    </row>
    <row r="8446" spans="1:2" x14ac:dyDescent="0.35">
      <c r="A8446">
        <v>1066</v>
      </c>
      <c r="B8446">
        <v>1</v>
      </c>
    </row>
    <row r="8447" spans="1:2" x14ac:dyDescent="0.35">
      <c r="A8447">
        <v>1067</v>
      </c>
      <c r="B8447">
        <v>1</v>
      </c>
    </row>
    <row r="8448" spans="1:2" x14ac:dyDescent="0.35">
      <c r="A8448">
        <v>1067</v>
      </c>
      <c r="B8448">
        <v>1</v>
      </c>
    </row>
    <row r="8449" spans="1:2" x14ac:dyDescent="0.35">
      <c r="A8449">
        <v>1067</v>
      </c>
      <c r="B8449">
        <v>1</v>
      </c>
    </row>
    <row r="8450" spans="1:2" x14ac:dyDescent="0.35">
      <c r="A8450">
        <v>1067</v>
      </c>
      <c r="B8450">
        <v>1</v>
      </c>
    </row>
    <row r="8451" spans="1:2" x14ac:dyDescent="0.35">
      <c r="A8451">
        <v>1069</v>
      </c>
      <c r="B8451">
        <v>1</v>
      </c>
    </row>
    <row r="8452" spans="1:2" x14ac:dyDescent="0.35">
      <c r="A8452">
        <v>1069</v>
      </c>
      <c r="B8452">
        <v>1</v>
      </c>
    </row>
    <row r="8453" spans="1:2" x14ac:dyDescent="0.35">
      <c r="A8453">
        <v>1069</v>
      </c>
      <c r="B8453">
        <v>1</v>
      </c>
    </row>
    <row r="8454" spans="1:2" x14ac:dyDescent="0.35">
      <c r="A8454">
        <v>1070</v>
      </c>
      <c r="B8454">
        <v>1</v>
      </c>
    </row>
    <row r="8455" spans="1:2" x14ac:dyDescent="0.35">
      <c r="A8455">
        <v>1070</v>
      </c>
      <c r="B8455">
        <v>1</v>
      </c>
    </row>
    <row r="8456" spans="1:2" x14ac:dyDescent="0.35">
      <c r="A8456">
        <v>1070</v>
      </c>
      <c r="B8456">
        <v>1</v>
      </c>
    </row>
    <row r="8457" spans="1:2" x14ac:dyDescent="0.35">
      <c r="A8457">
        <v>1071</v>
      </c>
      <c r="B8457">
        <v>1</v>
      </c>
    </row>
    <row r="8458" spans="1:2" x14ac:dyDescent="0.35">
      <c r="A8458">
        <v>1073</v>
      </c>
      <c r="B8458">
        <v>1</v>
      </c>
    </row>
    <row r="8459" spans="1:2" x14ac:dyDescent="0.35">
      <c r="A8459">
        <v>1073</v>
      </c>
      <c r="B8459">
        <v>1</v>
      </c>
    </row>
    <row r="8460" spans="1:2" x14ac:dyDescent="0.35">
      <c r="A8460">
        <v>1074</v>
      </c>
      <c r="B8460">
        <v>1</v>
      </c>
    </row>
    <row r="8461" spans="1:2" x14ac:dyDescent="0.35">
      <c r="A8461">
        <v>1074</v>
      </c>
      <c r="B8461">
        <v>1</v>
      </c>
    </row>
    <row r="8462" spans="1:2" x14ac:dyDescent="0.35">
      <c r="A8462">
        <v>1075</v>
      </c>
      <c r="B8462">
        <v>1</v>
      </c>
    </row>
    <row r="8463" spans="1:2" x14ac:dyDescent="0.35">
      <c r="A8463">
        <v>1076</v>
      </c>
      <c r="B8463">
        <v>1</v>
      </c>
    </row>
    <row r="8464" spans="1:2" x14ac:dyDescent="0.35">
      <c r="A8464">
        <v>1077</v>
      </c>
      <c r="B8464">
        <v>1</v>
      </c>
    </row>
    <row r="8465" spans="1:2" x14ac:dyDescent="0.35">
      <c r="A8465">
        <v>1078</v>
      </c>
      <c r="B8465">
        <v>1</v>
      </c>
    </row>
    <row r="8466" spans="1:2" x14ac:dyDescent="0.35">
      <c r="A8466">
        <v>1081</v>
      </c>
      <c r="B8466">
        <v>1</v>
      </c>
    </row>
    <row r="8467" spans="1:2" x14ac:dyDescent="0.35">
      <c r="A8467">
        <v>1081</v>
      </c>
      <c r="B8467">
        <v>1</v>
      </c>
    </row>
    <row r="8468" spans="1:2" x14ac:dyDescent="0.35">
      <c r="A8468">
        <v>1081</v>
      </c>
      <c r="B8468">
        <v>1</v>
      </c>
    </row>
    <row r="8469" spans="1:2" x14ac:dyDescent="0.35">
      <c r="A8469">
        <v>1083</v>
      </c>
      <c r="B8469">
        <v>1</v>
      </c>
    </row>
    <row r="8470" spans="1:2" x14ac:dyDescent="0.35">
      <c r="A8470">
        <v>1083</v>
      </c>
      <c r="B8470">
        <v>1</v>
      </c>
    </row>
    <row r="8471" spans="1:2" x14ac:dyDescent="0.35">
      <c r="A8471">
        <v>1085</v>
      </c>
      <c r="B8471">
        <v>1</v>
      </c>
    </row>
    <row r="8472" spans="1:2" x14ac:dyDescent="0.35">
      <c r="A8472">
        <v>1085</v>
      </c>
      <c r="B8472">
        <v>1</v>
      </c>
    </row>
    <row r="8473" spans="1:2" x14ac:dyDescent="0.35">
      <c r="A8473">
        <v>1086</v>
      </c>
      <c r="B8473">
        <v>1</v>
      </c>
    </row>
    <row r="8474" spans="1:2" x14ac:dyDescent="0.35">
      <c r="A8474">
        <v>1087</v>
      </c>
      <c r="B8474">
        <v>1</v>
      </c>
    </row>
    <row r="8475" spans="1:2" x14ac:dyDescent="0.35">
      <c r="A8475">
        <v>1090</v>
      </c>
      <c r="B8475">
        <v>1</v>
      </c>
    </row>
    <row r="8476" spans="1:2" x14ac:dyDescent="0.35">
      <c r="A8476">
        <v>1091</v>
      </c>
      <c r="B8476">
        <v>1</v>
      </c>
    </row>
    <row r="8477" spans="1:2" x14ac:dyDescent="0.35">
      <c r="A8477">
        <v>1092</v>
      </c>
      <c r="B8477">
        <v>1</v>
      </c>
    </row>
    <row r="8478" spans="1:2" x14ac:dyDescent="0.35">
      <c r="A8478">
        <v>1093</v>
      </c>
      <c r="B8478">
        <v>1</v>
      </c>
    </row>
    <row r="8479" spans="1:2" x14ac:dyDescent="0.35">
      <c r="A8479">
        <v>1093</v>
      </c>
      <c r="B8479">
        <v>1</v>
      </c>
    </row>
    <row r="8480" spans="1:2" x14ac:dyDescent="0.35">
      <c r="A8480">
        <v>1094</v>
      </c>
      <c r="B8480">
        <v>1</v>
      </c>
    </row>
    <row r="8481" spans="1:2" x14ac:dyDescent="0.35">
      <c r="A8481">
        <v>1095</v>
      </c>
      <c r="B8481">
        <v>1</v>
      </c>
    </row>
    <row r="8482" spans="1:2" x14ac:dyDescent="0.35">
      <c r="A8482">
        <v>1096</v>
      </c>
      <c r="B8482">
        <v>1</v>
      </c>
    </row>
    <row r="8483" spans="1:2" x14ac:dyDescent="0.35">
      <c r="A8483">
        <v>1098</v>
      </c>
      <c r="B8483">
        <v>1</v>
      </c>
    </row>
    <row r="8484" spans="1:2" x14ac:dyDescent="0.35">
      <c r="A8484">
        <v>1100</v>
      </c>
      <c r="B8484">
        <v>1</v>
      </c>
    </row>
    <row r="8485" spans="1:2" x14ac:dyDescent="0.35">
      <c r="A8485">
        <v>1101</v>
      </c>
      <c r="B8485">
        <v>1</v>
      </c>
    </row>
    <row r="8486" spans="1:2" x14ac:dyDescent="0.35">
      <c r="A8486">
        <v>1103</v>
      </c>
      <c r="B8486">
        <v>1</v>
      </c>
    </row>
    <row r="8487" spans="1:2" x14ac:dyDescent="0.35">
      <c r="A8487">
        <v>1103</v>
      </c>
      <c r="B8487">
        <v>1</v>
      </c>
    </row>
    <row r="8488" spans="1:2" x14ac:dyDescent="0.35">
      <c r="A8488">
        <v>1104</v>
      </c>
      <c r="B8488">
        <v>1</v>
      </c>
    </row>
    <row r="8489" spans="1:2" x14ac:dyDescent="0.35">
      <c r="A8489">
        <v>1105</v>
      </c>
      <c r="B8489">
        <v>1</v>
      </c>
    </row>
    <row r="8490" spans="1:2" x14ac:dyDescent="0.35">
      <c r="A8490">
        <v>1109</v>
      </c>
      <c r="B8490">
        <v>1</v>
      </c>
    </row>
    <row r="8491" spans="1:2" x14ac:dyDescent="0.35">
      <c r="A8491">
        <v>1110</v>
      </c>
      <c r="B8491">
        <v>1</v>
      </c>
    </row>
    <row r="8492" spans="1:2" x14ac:dyDescent="0.35">
      <c r="A8492">
        <v>1110</v>
      </c>
      <c r="B8492">
        <v>1</v>
      </c>
    </row>
    <row r="8493" spans="1:2" x14ac:dyDescent="0.35">
      <c r="A8493">
        <v>1111</v>
      </c>
      <c r="B8493">
        <v>1</v>
      </c>
    </row>
    <row r="8494" spans="1:2" x14ac:dyDescent="0.35">
      <c r="A8494">
        <v>1111</v>
      </c>
      <c r="B8494">
        <v>1</v>
      </c>
    </row>
    <row r="8495" spans="1:2" x14ac:dyDescent="0.35">
      <c r="A8495">
        <v>1112</v>
      </c>
      <c r="B8495">
        <v>1</v>
      </c>
    </row>
    <row r="8496" spans="1:2" x14ac:dyDescent="0.35">
      <c r="A8496">
        <v>1114</v>
      </c>
      <c r="B8496">
        <v>1</v>
      </c>
    </row>
    <row r="8497" spans="1:2" x14ac:dyDescent="0.35">
      <c r="A8497">
        <v>1114</v>
      </c>
      <c r="B8497">
        <v>1</v>
      </c>
    </row>
    <row r="8498" spans="1:2" x14ac:dyDescent="0.35">
      <c r="A8498">
        <v>1116</v>
      </c>
      <c r="B8498">
        <v>1</v>
      </c>
    </row>
    <row r="8499" spans="1:2" x14ac:dyDescent="0.35">
      <c r="A8499">
        <v>1116</v>
      </c>
      <c r="B8499">
        <v>1</v>
      </c>
    </row>
    <row r="8500" spans="1:2" x14ac:dyDescent="0.35">
      <c r="A8500">
        <v>1116</v>
      </c>
      <c r="B8500">
        <v>1</v>
      </c>
    </row>
    <row r="8501" spans="1:2" x14ac:dyDescent="0.35">
      <c r="A8501">
        <v>1119</v>
      </c>
      <c r="B8501">
        <v>1</v>
      </c>
    </row>
    <row r="8502" spans="1:2" x14ac:dyDescent="0.35">
      <c r="A8502">
        <v>1119</v>
      </c>
      <c r="B8502">
        <v>1</v>
      </c>
    </row>
    <row r="8503" spans="1:2" x14ac:dyDescent="0.35">
      <c r="A8503">
        <v>1121</v>
      </c>
      <c r="B8503">
        <v>1</v>
      </c>
    </row>
    <row r="8504" spans="1:2" x14ac:dyDescent="0.35">
      <c r="A8504">
        <v>1122</v>
      </c>
      <c r="B8504">
        <v>1</v>
      </c>
    </row>
    <row r="8505" spans="1:2" x14ac:dyDescent="0.35">
      <c r="A8505">
        <v>1122</v>
      </c>
      <c r="B8505">
        <v>1</v>
      </c>
    </row>
    <row r="8506" spans="1:2" x14ac:dyDescent="0.35">
      <c r="A8506">
        <v>1124</v>
      </c>
      <c r="B8506">
        <v>1</v>
      </c>
    </row>
    <row r="8507" spans="1:2" x14ac:dyDescent="0.35">
      <c r="A8507">
        <v>1125</v>
      </c>
      <c r="B8507">
        <v>1</v>
      </c>
    </row>
    <row r="8508" spans="1:2" x14ac:dyDescent="0.35">
      <c r="A8508">
        <v>1125</v>
      </c>
      <c r="B8508">
        <v>1</v>
      </c>
    </row>
    <row r="8509" spans="1:2" x14ac:dyDescent="0.35">
      <c r="A8509">
        <v>1125</v>
      </c>
      <c r="B8509">
        <v>1</v>
      </c>
    </row>
    <row r="8510" spans="1:2" x14ac:dyDescent="0.35">
      <c r="A8510">
        <v>1130</v>
      </c>
      <c r="B8510">
        <v>1</v>
      </c>
    </row>
    <row r="8511" spans="1:2" x14ac:dyDescent="0.35">
      <c r="A8511">
        <v>1131</v>
      </c>
      <c r="B8511">
        <v>1</v>
      </c>
    </row>
    <row r="8512" spans="1:2" x14ac:dyDescent="0.35">
      <c r="A8512">
        <v>1132</v>
      </c>
      <c r="B8512">
        <v>1</v>
      </c>
    </row>
    <row r="8513" spans="1:2" x14ac:dyDescent="0.35">
      <c r="A8513">
        <v>1132</v>
      </c>
      <c r="B8513">
        <v>1</v>
      </c>
    </row>
    <row r="8514" spans="1:2" x14ac:dyDescent="0.35">
      <c r="A8514">
        <v>1133</v>
      </c>
      <c r="B8514">
        <v>1</v>
      </c>
    </row>
    <row r="8515" spans="1:2" x14ac:dyDescent="0.35">
      <c r="A8515">
        <v>1133</v>
      </c>
      <c r="B8515">
        <v>1</v>
      </c>
    </row>
    <row r="8516" spans="1:2" x14ac:dyDescent="0.35">
      <c r="A8516">
        <v>1133</v>
      </c>
      <c r="B8516">
        <v>1</v>
      </c>
    </row>
    <row r="8517" spans="1:2" x14ac:dyDescent="0.35">
      <c r="A8517">
        <v>1134</v>
      </c>
      <c r="B8517">
        <v>1</v>
      </c>
    </row>
    <row r="8518" spans="1:2" x14ac:dyDescent="0.35">
      <c r="A8518">
        <v>1134</v>
      </c>
      <c r="B8518">
        <v>1</v>
      </c>
    </row>
    <row r="8519" spans="1:2" x14ac:dyDescent="0.35">
      <c r="A8519">
        <v>1134</v>
      </c>
      <c r="B8519">
        <v>1</v>
      </c>
    </row>
    <row r="8520" spans="1:2" x14ac:dyDescent="0.35">
      <c r="A8520">
        <v>1134</v>
      </c>
      <c r="B8520">
        <v>1</v>
      </c>
    </row>
    <row r="8521" spans="1:2" x14ac:dyDescent="0.35">
      <c r="A8521">
        <v>1135</v>
      </c>
      <c r="B8521">
        <v>1</v>
      </c>
    </row>
    <row r="8522" spans="1:2" x14ac:dyDescent="0.35">
      <c r="A8522">
        <v>1136</v>
      </c>
      <c r="B8522">
        <v>1</v>
      </c>
    </row>
    <row r="8523" spans="1:2" x14ac:dyDescent="0.35">
      <c r="A8523">
        <v>1136</v>
      </c>
      <c r="B8523">
        <v>1</v>
      </c>
    </row>
    <row r="8524" spans="1:2" x14ac:dyDescent="0.35">
      <c r="A8524">
        <v>1136</v>
      </c>
      <c r="B8524">
        <v>1</v>
      </c>
    </row>
    <row r="8525" spans="1:2" x14ac:dyDescent="0.35">
      <c r="A8525">
        <v>1137</v>
      </c>
      <c r="B8525">
        <v>1</v>
      </c>
    </row>
    <row r="8526" spans="1:2" x14ac:dyDescent="0.35">
      <c r="A8526">
        <v>1138</v>
      </c>
      <c r="B8526">
        <v>1</v>
      </c>
    </row>
    <row r="8527" spans="1:2" x14ac:dyDescent="0.35">
      <c r="A8527">
        <v>1139</v>
      </c>
      <c r="B8527">
        <v>1</v>
      </c>
    </row>
    <row r="8528" spans="1:2" x14ac:dyDescent="0.35">
      <c r="A8528">
        <v>1140</v>
      </c>
      <c r="B8528">
        <v>1</v>
      </c>
    </row>
    <row r="8529" spans="1:2" x14ac:dyDescent="0.35">
      <c r="A8529">
        <v>1140</v>
      </c>
      <c r="B8529">
        <v>1</v>
      </c>
    </row>
    <row r="8530" spans="1:2" x14ac:dyDescent="0.35">
      <c r="A8530">
        <v>1140</v>
      </c>
      <c r="B8530">
        <v>1</v>
      </c>
    </row>
    <row r="8531" spans="1:2" x14ac:dyDescent="0.35">
      <c r="A8531">
        <v>1140</v>
      </c>
      <c r="B8531">
        <v>1</v>
      </c>
    </row>
    <row r="8532" spans="1:2" x14ac:dyDescent="0.35">
      <c r="A8532">
        <v>1140</v>
      </c>
      <c r="B8532">
        <v>1</v>
      </c>
    </row>
    <row r="8533" spans="1:2" x14ac:dyDescent="0.35">
      <c r="A8533">
        <v>1141</v>
      </c>
      <c r="B8533">
        <v>1</v>
      </c>
    </row>
    <row r="8534" spans="1:2" x14ac:dyDescent="0.35">
      <c r="A8534">
        <v>1144</v>
      </c>
      <c r="B8534">
        <v>1</v>
      </c>
    </row>
    <row r="8535" spans="1:2" x14ac:dyDescent="0.35">
      <c r="A8535">
        <v>1144</v>
      </c>
      <c r="B8535">
        <v>1</v>
      </c>
    </row>
    <row r="8536" spans="1:2" x14ac:dyDescent="0.35">
      <c r="A8536">
        <v>1146</v>
      </c>
      <c r="B8536">
        <v>1</v>
      </c>
    </row>
    <row r="8537" spans="1:2" x14ac:dyDescent="0.35">
      <c r="A8537">
        <v>1146</v>
      </c>
      <c r="B8537">
        <v>1</v>
      </c>
    </row>
    <row r="8538" spans="1:2" x14ac:dyDescent="0.35">
      <c r="A8538">
        <v>1146</v>
      </c>
      <c r="B8538">
        <v>1</v>
      </c>
    </row>
    <row r="8539" spans="1:2" x14ac:dyDescent="0.35">
      <c r="A8539">
        <v>1147</v>
      </c>
      <c r="B8539">
        <v>1</v>
      </c>
    </row>
    <row r="8540" spans="1:2" x14ac:dyDescent="0.35">
      <c r="A8540">
        <v>1150</v>
      </c>
      <c r="B8540">
        <v>1</v>
      </c>
    </row>
    <row r="8541" spans="1:2" x14ac:dyDescent="0.35">
      <c r="A8541">
        <v>1151</v>
      </c>
      <c r="B8541">
        <v>1</v>
      </c>
    </row>
    <row r="8542" spans="1:2" x14ac:dyDescent="0.35">
      <c r="A8542">
        <v>1152</v>
      </c>
      <c r="B8542">
        <v>1</v>
      </c>
    </row>
    <row r="8543" spans="1:2" x14ac:dyDescent="0.35">
      <c r="A8543">
        <v>1152</v>
      </c>
      <c r="B8543">
        <v>1</v>
      </c>
    </row>
    <row r="8544" spans="1:2" x14ac:dyDescent="0.35">
      <c r="A8544">
        <v>1154</v>
      </c>
      <c r="B8544">
        <v>1</v>
      </c>
    </row>
    <row r="8545" spans="1:2" x14ac:dyDescent="0.35">
      <c r="A8545">
        <v>1154</v>
      </c>
      <c r="B8545">
        <v>1</v>
      </c>
    </row>
    <row r="8546" spans="1:2" x14ac:dyDescent="0.35">
      <c r="A8546">
        <v>1156</v>
      </c>
      <c r="B8546">
        <v>1</v>
      </c>
    </row>
    <row r="8547" spans="1:2" x14ac:dyDescent="0.35">
      <c r="A8547">
        <v>1157</v>
      </c>
      <c r="B8547">
        <v>1</v>
      </c>
    </row>
    <row r="8548" spans="1:2" x14ac:dyDescent="0.35">
      <c r="A8548">
        <v>1161</v>
      </c>
      <c r="B8548">
        <v>1</v>
      </c>
    </row>
    <row r="8549" spans="1:2" x14ac:dyDescent="0.35">
      <c r="A8549">
        <v>1162</v>
      </c>
      <c r="B8549">
        <v>1</v>
      </c>
    </row>
    <row r="8550" spans="1:2" x14ac:dyDescent="0.35">
      <c r="A8550">
        <v>1163</v>
      </c>
      <c r="B8550">
        <v>1</v>
      </c>
    </row>
    <row r="8551" spans="1:2" x14ac:dyDescent="0.35">
      <c r="A8551">
        <v>1163</v>
      </c>
      <c r="B8551">
        <v>1</v>
      </c>
    </row>
    <row r="8552" spans="1:2" x14ac:dyDescent="0.35">
      <c r="A8552">
        <v>1163</v>
      </c>
      <c r="B8552">
        <v>1</v>
      </c>
    </row>
    <row r="8553" spans="1:2" x14ac:dyDescent="0.35">
      <c r="A8553">
        <v>1164</v>
      </c>
      <c r="B8553">
        <v>1</v>
      </c>
    </row>
    <row r="8554" spans="1:2" x14ac:dyDescent="0.35">
      <c r="A8554">
        <v>1165</v>
      </c>
      <c r="B8554">
        <v>1</v>
      </c>
    </row>
    <row r="8555" spans="1:2" x14ac:dyDescent="0.35">
      <c r="A8555">
        <v>1167</v>
      </c>
      <c r="B8555">
        <v>1</v>
      </c>
    </row>
    <row r="8556" spans="1:2" x14ac:dyDescent="0.35">
      <c r="A8556">
        <v>1167</v>
      </c>
      <c r="B8556">
        <v>1</v>
      </c>
    </row>
    <row r="8557" spans="1:2" x14ac:dyDescent="0.35">
      <c r="A8557">
        <v>1167</v>
      </c>
      <c r="B8557">
        <v>1</v>
      </c>
    </row>
    <row r="8558" spans="1:2" x14ac:dyDescent="0.35">
      <c r="A8558">
        <v>1168</v>
      </c>
      <c r="B8558">
        <v>1</v>
      </c>
    </row>
    <row r="8559" spans="1:2" x14ac:dyDescent="0.35">
      <c r="A8559">
        <v>1168</v>
      </c>
      <c r="B8559">
        <v>1</v>
      </c>
    </row>
    <row r="8560" spans="1:2" x14ac:dyDescent="0.35">
      <c r="A8560">
        <v>1169</v>
      </c>
      <c r="B8560">
        <v>1</v>
      </c>
    </row>
    <row r="8561" spans="1:2" x14ac:dyDescent="0.35">
      <c r="A8561">
        <v>1169</v>
      </c>
      <c r="B8561">
        <v>1</v>
      </c>
    </row>
    <row r="8562" spans="1:2" x14ac:dyDescent="0.35">
      <c r="A8562">
        <v>1170</v>
      </c>
      <c r="B8562">
        <v>1</v>
      </c>
    </row>
    <row r="8563" spans="1:2" x14ac:dyDescent="0.35">
      <c r="A8563">
        <v>1171</v>
      </c>
      <c r="B8563">
        <v>1</v>
      </c>
    </row>
    <row r="8564" spans="1:2" x14ac:dyDescent="0.35">
      <c r="A8564">
        <v>1176</v>
      </c>
      <c r="B8564">
        <v>1</v>
      </c>
    </row>
    <row r="8565" spans="1:2" x14ac:dyDescent="0.35">
      <c r="A8565">
        <v>1176</v>
      </c>
      <c r="B8565">
        <v>1</v>
      </c>
    </row>
    <row r="8566" spans="1:2" x14ac:dyDescent="0.35">
      <c r="A8566">
        <v>1176</v>
      </c>
      <c r="B8566">
        <v>1</v>
      </c>
    </row>
    <row r="8567" spans="1:2" x14ac:dyDescent="0.35">
      <c r="A8567">
        <v>1177</v>
      </c>
      <c r="B8567">
        <v>1</v>
      </c>
    </row>
    <row r="8568" spans="1:2" x14ac:dyDescent="0.35">
      <c r="A8568">
        <v>1185</v>
      </c>
      <c r="B8568">
        <v>1</v>
      </c>
    </row>
    <row r="8569" spans="1:2" x14ac:dyDescent="0.35">
      <c r="A8569">
        <v>1186</v>
      </c>
      <c r="B8569">
        <v>1</v>
      </c>
    </row>
    <row r="8570" spans="1:2" x14ac:dyDescent="0.35">
      <c r="A8570">
        <v>1186</v>
      </c>
      <c r="B8570">
        <v>1</v>
      </c>
    </row>
    <row r="8571" spans="1:2" x14ac:dyDescent="0.35">
      <c r="A8571">
        <v>1186</v>
      </c>
      <c r="B8571">
        <v>1</v>
      </c>
    </row>
    <row r="8572" spans="1:2" x14ac:dyDescent="0.35">
      <c r="A8572">
        <v>1186</v>
      </c>
      <c r="B8572">
        <v>1</v>
      </c>
    </row>
    <row r="8573" spans="1:2" x14ac:dyDescent="0.35">
      <c r="A8573">
        <v>1187</v>
      </c>
      <c r="B8573">
        <v>1</v>
      </c>
    </row>
    <row r="8574" spans="1:2" x14ac:dyDescent="0.35">
      <c r="A8574">
        <v>1187</v>
      </c>
      <c r="B8574">
        <v>1</v>
      </c>
    </row>
    <row r="8575" spans="1:2" x14ac:dyDescent="0.35">
      <c r="A8575">
        <v>1188</v>
      </c>
      <c r="B8575">
        <v>1</v>
      </c>
    </row>
    <row r="8576" spans="1:2" x14ac:dyDescent="0.35">
      <c r="A8576">
        <v>1188</v>
      </c>
      <c r="B8576">
        <v>1</v>
      </c>
    </row>
    <row r="8577" spans="1:2" x14ac:dyDescent="0.35">
      <c r="A8577">
        <v>1188</v>
      </c>
      <c r="B8577">
        <v>1</v>
      </c>
    </row>
    <row r="8578" spans="1:2" x14ac:dyDescent="0.35">
      <c r="A8578">
        <v>1189</v>
      </c>
      <c r="B8578">
        <v>1</v>
      </c>
    </row>
    <row r="8579" spans="1:2" x14ac:dyDescent="0.35">
      <c r="A8579">
        <v>1189</v>
      </c>
      <c r="B8579">
        <v>1</v>
      </c>
    </row>
    <row r="8580" spans="1:2" x14ac:dyDescent="0.35">
      <c r="A8580">
        <v>1190</v>
      </c>
      <c r="B8580">
        <v>1</v>
      </c>
    </row>
    <row r="8581" spans="1:2" x14ac:dyDescent="0.35">
      <c r="A8581">
        <v>1190</v>
      </c>
      <c r="B8581">
        <v>1</v>
      </c>
    </row>
    <row r="8582" spans="1:2" x14ac:dyDescent="0.35">
      <c r="A8582">
        <v>1193</v>
      </c>
      <c r="B8582">
        <v>1</v>
      </c>
    </row>
    <row r="8583" spans="1:2" x14ac:dyDescent="0.35">
      <c r="A8583">
        <v>1194</v>
      </c>
      <c r="B8583">
        <v>1</v>
      </c>
    </row>
    <row r="8584" spans="1:2" x14ac:dyDescent="0.35">
      <c r="A8584">
        <v>1195</v>
      </c>
      <c r="B8584">
        <v>1</v>
      </c>
    </row>
    <row r="8585" spans="1:2" x14ac:dyDescent="0.35">
      <c r="A8585">
        <v>1195</v>
      </c>
      <c r="B8585">
        <v>1</v>
      </c>
    </row>
    <row r="8586" spans="1:2" x14ac:dyDescent="0.35">
      <c r="A8586">
        <v>1197</v>
      </c>
      <c r="B8586">
        <v>1</v>
      </c>
    </row>
    <row r="8587" spans="1:2" x14ac:dyDescent="0.35">
      <c r="A8587">
        <v>1197</v>
      </c>
      <c r="B8587">
        <v>1</v>
      </c>
    </row>
    <row r="8588" spans="1:2" x14ac:dyDescent="0.35">
      <c r="A8588">
        <v>1197</v>
      </c>
      <c r="B8588">
        <v>1</v>
      </c>
    </row>
    <row r="8589" spans="1:2" x14ac:dyDescent="0.35">
      <c r="A8589">
        <v>1199</v>
      </c>
      <c r="B8589">
        <v>1</v>
      </c>
    </row>
    <row r="8590" spans="1:2" x14ac:dyDescent="0.35">
      <c r="A8590">
        <v>1200</v>
      </c>
      <c r="B8590">
        <v>1</v>
      </c>
    </row>
    <row r="8591" spans="1:2" x14ac:dyDescent="0.35">
      <c r="A8591">
        <v>1201</v>
      </c>
      <c r="B8591">
        <v>1</v>
      </c>
    </row>
    <row r="8592" spans="1:2" x14ac:dyDescent="0.35">
      <c r="A8592">
        <v>1201</v>
      </c>
      <c r="B8592">
        <v>1</v>
      </c>
    </row>
    <row r="8593" spans="1:2" x14ac:dyDescent="0.35">
      <c r="A8593">
        <v>1201</v>
      </c>
      <c r="B8593">
        <v>1</v>
      </c>
    </row>
    <row r="8594" spans="1:2" x14ac:dyDescent="0.35">
      <c r="A8594">
        <v>1203</v>
      </c>
      <c r="B8594">
        <v>1</v>
      </c>
    </row>
    <row r="8595" spans="1:2" x14ac:dyDescent="0.35">
      <c r="A8595">
        <v>1203</v>
      </c>
      <c r="B8595">
        <v>1</v>
      </c>
    </row>
    <row r="8596" spans="1:2" x14ac:dyDescent="0.35">
      <c r="A8596">
        <v>1209</v>
      </c>
      <c r="B8596">
        <v>1</v>
      </c>
    </row>
    <row r="8597" spans="1:2" x14ac:dyDescent="0.35">
      <c r="A8597">
        <v>1209</v>
      </c>
      <c r="B8597">
        <v>1</v>
      </c>
    </row>
    <row r="8598" spans="1:2" x14ac:dyDescent="0.35">
      <c r="A8598">
        <v>1209</v>
      </c>
      <c r="B8598">
        <v>1</v>
      </c>
    </row>
    <row r="8599" spans="1:2" x14ac:dyDescent="0.35">
      <c r="A8599">
        <v>1210</v>
      </c>
      <c r="B8599">
        <v>1</v>
      </c>
    </row>
    <row r="8600" spans="1:2" x14ac:dyDescent="0.35">
      <c r="A8600">
        <v>1210</v>
      </c>
      <c r="B8600">
        <v>1</v>
      </c>
    </row>
    <row r="8601" spans="1:2" x14ac:dyDescent="0.35">
      <c r="A8601">
        <v>1210</v>
      </c>
      <c r="B8601">
        <v>1</v>
      </c>
    </row>
    <row r="8602" spans="1:2" x14ac:dyDescent="0.35">
      <c r="A8602">
        <v>1210</v>
      </c>
      <c r="B8602">
        <v>1</v>
      </c>
    </row>
    <row r="8603" spans="1:2" x14ac:dyDescent="0.35">
      <c r="A8603">
        <v>1211</v>
      </c>
      <c r="B8603">
        <v>1</v>
      </c>
    </row>
    <row r="8604" spans="1:2" x14ac:dyDescent="0.35">
      <c r="A8604">
        <v>1211</v>
      </c>
      <c r="B8604">
        <v>1</v>
      </c>
    </row>
    <row r="8605" spans="1:2" x14ac:dyDescent="0.35">
      <c r="A8605">
        <v>1212</v>
      </c>
      <c r="B8605">
        <v>1</v>
      </c>
    </row>
    <row r="8606" spans="1:2" x14ac:dyDescent="0.35">
      <c r="A8606">
        <v>1213</v>
      </c>
      <c r="B8606">
        <v>1</v>
      </c>
    </row>
    <row r="8607" spans="1:2" x14ac:dyDescent="0.35">
      <c r="A8607">
        <v>1213</v>
      </c>
      <c r="B8607">
        <v>1</v>
      </c>
    </row>
    <row r="8608" spans="1:2" x14ac:dyDescent="0.35">
      <c r="A8608">
        <v>1213</v>
      </c>
      <c r="B8608">
        <v>1</v>
      </c>
    </row>
    <row r="8609" spans="1:2" x14ac:dyDescent="0.35">
      <c r="A8609">
        <v>1214</v>
      </c>
      <c r="B8609">
        <v>1</v>
      </c>
    </row>
    <row r="8610" spans="1:2" x14ac:dyDescent="0.35">
      <c r="A8610">
        <v>1214</v>
      </c>
      <c r="B8610">
        <v>1</v>
      </c>
    </row>
    <row r="8611" spans="1:2" x14ac:dyDescent="0.35">
      <c r="A8611">
        <v>1216</v>
      </c>
      <c r="B8611">
        <v>1</v>
      </c>
    </row>
    <row r="8612" spans="1:2" x14ac:dyDescent="0.35">
      <c r="A8612">
        <v>1216</v>
      </c>
      <c r="B8612">
        <v>1</v>
      </c>
    </row>
    <row r="8613" spans="1:2" x14ac:dyDescent="0.35">
      <c r="A8613">
        <v>1217</v>
      </c>
      <c r="B8613">
        <v>1</v>
      </c>
    </row>
    <row r="8614" spans="1:2" x14ac:dyDescent="0.35">
      <c r="A8614">
        <v>1220</v>
      </c>
      <c r="B8614">
        <v>1</v>
      </c>
    </row>
    <row r="8615" spans="1:2" x14ac:dyDescent="0.35">
      <c r="A8615">
        <v>1222</v>
      </c>
      <c r="B8615">
        <v>1</v>
      </c>
    </row>
    <row r="8616" spans="1:2" x14ac:dyDescent="0.35">
      <c r="A8616">
        <v>1222</v>
      </c>
      <c r="B8616">
        <v>1</v>
      </c>
    </row>
    <row r="8617" spans="1:2" x14ac:dyDescent="0.35">
      <c r="A8617">
        <v>1226</v>
      </c>
      <c r="B8617">
        <v>1</v>
      </c>
    </row>
    <row r="8618" spans="1:2" x14ac:dyDescent="0.35">
      <c r="A8618">
        <v>1227</v>
      </c>
      <c r="B8618">
        <v>1</v>
      </c>
    </row>
    <row r="8619" spans="1:2" x14ac:dyDescent="0.35">
      <c r="A8619">
        <v>1228</v>
      </c>
      <c r="B8619">
        <v>1</v>
      </c>
    </row>
    <row r="8620" spans="1:2" x14ac:dyDescent="0.35">
      <c r="A8620">
        <v>1230</v>
      </c>
      <c r="B8620">
        <v>1</v>
      </c>
    </row>
    <row r="8621" spans="1:2" x14ac:dyDescent="0.35">
      <c r="A8621">
        <v>1230</v>
      </c>
      <c r="B8621">
        <v>1</v>
      </c>
    </row>
    <row r="8622" spans="1:2" x14ac:dyDescent="0.35">
      <c r="A8622">
        <v>1231</v>
      </c>
      <c r="B8622">
        <v>1</v>
      </c>
    </row>
    <row r="8623" spans="1:2" x14ac:dyDescent="0.35">
      <c r="A8623">
        <v>1231</v>
      </c>
      <c r="B8623">
        <v>1</v>
      </c>
    </row>
    <row r="8624" spans="1:2" x14ac:dyDescent="0.35">
      <c r="A8624">
        <v>1231</v>
      </c>
      <c r="B8624">
        <v>1</v>
      </c>
    </row>
    <row r="8625" spans="1:2" x14ac:dyDescent="0.35">
      <c r="A8625">
        <v>1233</v>
      </c>
      <c r="B8625">
        <v>1</v>
      </c>
    </row>
    <row r="8626" spans="1:2" x14ac:dyDescent="0.35">
      <c r="A8626">
        <v>1235</v>
      </c>
      <c r="B8626">
        <v>1</v>
      </c>
    </row>
    <row r="8627" spans="1:2" x14ac:dyDescent="0.35">
      <c r="A8627">
        <v>1236</v>
      </c>
      <c r="B8627">
        <v>1</v>
      </c>
    </row>
    <row r="8628" spans="1:2" x14ac:dyDescent="0.35">
      <c r="A8628">
        <v>1236</v>
      </c>
      <c r="B8628">
        <v>1</v>
      </c>
    </row>
    <row r="8629" spans="1:2" x14ac:dyDescent="0.35">
      <c r="A8629">
        <v>1236</v>
      </c>
      <c r="B8629">
        <v>1</v>
      </c>
    </row>
    <row r="8630" spans="1:2" x14ac:dyDescent="0.35">
      <c r="A8630">
        <v>1237</v>
      </c>
      <c r="B8630">
        <v>1</v>
      </c>
    </row>
    <row r="8631" spans="1:2" x14ac:dyDescent="0.35">
      <c r="A8631">
        <v>1238</v>
      </c>
      <c r="B8631">
        <v>1</v>
      </c>
    </row>
    <row r="8632" spans="1:2" x14ac:dyDescent="0.35">
      <c r="A8632">
        <v>1242</v>
      </c>
      <c r="B8632">
        <v>1</v>
      </c>
    </row>
    <row r="8633" spans="1:2" x14ac:dyDescent="0.35">
      <c r="A8633">
        <v>1243</v>
      </c>
      <c r="B8633">
        <v>1</v>
      </c>
    </row>
    <row r="8634" spans="1:2" x14ac:dyDescent="0.35">
      <c r="A8634">
        <v>1244</v>
      </c>
      <c r="B8634">
        <v>1</v>
      </c>
    </row>
    <row r="8635" spans="1:2" x14ac:dyDescent="0.35">
      <c r="A8635">
        <v>1245</v>
      </c>
      <c r="B8635">
        <v>1</v>
      </c>
    </row>
    <row r="8636" spans="1:2" x14ac:dyDescent="0.35">
      <c r="A8636">
        <v>1246</v>
      </c>
      <c r="B8636">
        <v>1</v>
      </c>
    </row>
    <row r="8637" spans="1:2" x14ac:dyDescent="0.35">
      <c r="A8637">
        <v>1246</v>
      </c>
      <c r="B8637">
        <v>1</v>
      </c>
    </row>
    <row r="8638" spans="1:2" x14ac:dyDescent="0.35">
      <c r="A8638">
        <v>1246</v>
      </c>
      <c r="B8638">
        <v>1</v>
      </c>
    </row>
    <row r="8639" spans="1:2" x14ac:dyDescent="0.35">
      <c r="A8639">
        <v>1246</v>
      </c>
      <c r="B8639">
        <v>1</v>
      </c>
    </row>
    <row r="8640" spans="1:2" x14ac:dyDescent="0.35">
      <c r="A8640">
        <v>1246</v>
      </c>
      <c r="B8640">
        <v>1</v>
      </c>
    </row>
    <row r="8641" spans="1:2" x14ac:dyDescent="0.35">
      <c r="A8641">
        <v>1248</v>
      </c>
      <c r="B8641">
        <v>1</v>
      </c>
    </row>
    <row r="8642" spans="1:2" x14ac:dyDescent="0.35">
      <c r="A8642">
        <v>1248</v>
      </c>
      <c r="B8642">
        <v>1</v>
      </c>
    </row>
    <row r="8643" spans="1:2" x14ac:dyDescent="0.35">
      <c r="A8643">
        <v>1250</v>
      </c>
      <c r="B8643">
        <v>1</v>
      </c>
    </row>
    <row r="8644" spans="1:2" x14ac:dyDescent="0.35">
      <c r="A8644">
        <v>1251</v>
      </c>
      <c r="B8644">
        <v>1</v>
      </c>
    </row>
    <row r="8645" spans="1:2" x14ac:dyDescent="0.35">
      <c r="A8645">
        <v>1253</v>
      </c>
      <c r="B8645">
        <v>1</v>
      </c>
    </row>
    <row r="8646" spans="1:2" x14ac:dyDescent="0.35">
      <c r="A8646">
        <v>1254</v>
      </c>
      <c r="B8646">
        <v>1</v>
      </c>
    </row>
    <row r="8647" spans="1:2" x14ac:dyDescent="0.35">
      <c r="A8647">
        <v>1256</v>
      </c>
      <c r="B8647">
        <v>1</v>
      </c>
    </row>
    <row r="8648" spans="1:2" x14ac:dyDescent="0.35">
      <c r="A8648">
        <v>1257</v>
      </c>
      <c r="B8648">
        <v>1</v>
      </c>
    </row>
    <row r="8649" spans="1:2" x14ac:dyDescent="0.35">
      <c r="A8649">
        <v>1259</v>
      </c>
      <c r="B8649">
        <v>1</v>
      </c>
    </row>
    <row r="8650" spans="1:2" x14ac:dyDescent="0.35">
      <c r="A8650">
        <v>1259</v>
      </c>
      <c r="B8650">
        <v>1</v>
      </c>
    </row>
    <row r="8651" spans="1:2" x14ac:dyDescent="0.35">
      <c r="A8651">
        <v>1260</v>
      </c>
      <c r="B8651">
        <v>1</v>
      </c>
    </row>
    <row r="8652" spans="1:2" x14ac:dyDescent="0.35">
      <c r="A8652">
        <v>1260</v>
      </c>
      <c r="B8652">
        <v>1</v>
      </c>
    </row>
    <row r="8653" spans="1:2" x14ac:dyDescent="0.35">
      <c r="A8653">
        <v>1260</v>
      </c>
      <c r="B8653">
        <v>1</v>
      </c>
    </row>
    <row r="8654" spans="1:2" x14ac:dyDescent="0.35">
      <c r="A8654">
        <v>1261</v>
      </c>
      <c r="B8654">
        <v>1</v>
      </c>
    </row>
    <row r="8655" spans="1:2" x14ac:dyDescent="0.35">
      <c r="A8655">
        <v>1263</v>
      </c>
      <c r="B8655">
        <v>1</v>
      </c>
    </row>
    <row r="8656" spans="1:2" x14ac:dyDescent="0.35">
      <c r="A8656">
        <v>1264</v>
      </c>
      <c r="B8656">
        <v>1</v>
      </c>
    </row>
    <row r="8657" spans="1:2" x14ac:dyDescent="0.35">
      <c r="A8657">
        <v>1265</v>
      </c>
      <c r="B8657">
        <v>1</v>
      </c>
    </row>
    <row r="8658" spans="1:2" x14ac:dyDescent="0.35">
      <c r="A8658">
        <v>1267</v>
      </c>
      <c r="B8658">
        <v>1</v>
      </c>
    </row>
    <row r="8659" spans="1:2" x14ac:dyDescent="0.35">
      <c r="A8659">
        <v>1268</v>
      </c>
      <c r="B8659">
        <v>1</v>
      </c>
    </row>
    <row r="8660" spans="1:2" x14ac:dyDescent="0.35">
      <c r="A8660">
        <v>1269</v>
      </c>
      <c r="B8660">
        <v>1</v>
      </c>
    </row>
    <row r="8661" spans="1:2" x14ac:dyDescent="0.35">
      <c r="A8661">
        <v>1270</v>
      </c>
      <c r="B8661">
        <v>1</v>
      </c>
    </row>
    <row r="8662" spans="1:2" x14ac:dyDescent="0.35">
      <c r="A8662">
        <v>1270</v>
      </c>
      <c r="B8662">
        <v>1</v>
      </c>
    </row>
    <row r="8663" spans="1:2" x14ac:dyDescent="0.35">
      <c r="A8663">
        <v>1270</v>
      </c>
      <c r="B8663">
        <v>1</v>
      </c>
    </row>
    <row r="8664" spans="1:2" x14ac:dyDescent="0.35">
      <c r="A8664">
        <v>1272</v>
      </c>
      <c r="B8664">
        <v>1</v>
      </c>
    </row>
    <row r="8665" spans="1:2" x14ac:dyDescent="0.35">
      <c r="A8665">
        <v>1273</v>
      </c>
      <c r="B8665">
        <v>1</v>
      </c>
    </row>
    <row r="8666" spans="1:2" x14ac:dyDescent="0.35">
      <c r="A8666">
        <v>1274</v>
      </c>
      <c r="B8666">
        <v>1</v>
      </c>
    </row>
    <row r="8667" spans="1:2" x14ac:dyDescent="0.35">
      <c r="A8667">
        <v>1275</v>
      </c>
      <c r="B8667">
        <v>1</v>
      </c>
    </row>
    <row r="8668" spans="1:2" x14ac:dyDescent="0.35">
      <c r="A8668">
        <v>1277</v>
      </c>
      <c r="B8668">
        <v>1</v>
      </c>
    </row>
    <row r="8669" spans="1:2" x14ac:dyDescent="0.35">
      <c r="A8669">
        <v>1277</v>
      </c>
      <c r="B8669">
        <v>1</v>
      </c>
    </row>
    <row r="8670" spans="1:2" x14ac:dyDescent="0.35">
      <c r="A8670">
        <v>1278</v>
      </c>
      <c r="B8670">
        <v>1</v>
      </c>
    </row>
    <row r="8671" spans="1:2" x14ac:dyDescent="0.35">
      <c r="A8671">
        <v>1279</v>
      </c>
      <c r="B8671">
        <v>1</v>
      </c>
    </row>
    <row r="8672" spans="1:2" x14ac:dyDescent="0.35">
      <c r="A8672">
        <v>1280</v>
      </c>
      <c r="B8672">
        <v>1</v>
      </c>
    </row>
    <row r="8673" spans="1:2" x14ac:dyDescent="0.35">
      <c r="A8673">
        <v>1282</v>
      </c>
      <c r="B8673">
        <v>1</v>
      </c>
    </row>
    <row r="8674" spans="1:2" x14ac:dyDescent="0.35">
      <c r="A8674">
        <v>1282</v>
      </c>
      <c r="B8674">
        <v>1</v>
      </c>
    </row>
    <row r="8675" spans="1:2" x14ac:dyDescent="0.35">
      <c r="A8675">
        <v>1282</v>
      </c>
      <c r="B8675">
        <v>1</v>
      </c>
    </row>
    <row r="8676" spans="1:2" x14ac:dyDescent="0.35">
      <c r="A8676">
        <v>1284</v>
      </c>
      <c r="B8676">
        <v>1</v>
      </c>
    </row>
    <row r="8677" spans="1:2" x14ac:dyDescent="0.35">
      <c r="A8677">
        <v>1285</v>
      </c>
      <c r="B8677">
        <v>1</v>
      </c>
    </row>
    <row r="8678" spans="1:2" x14ac:dyDescent="0.35">
      <c r="A8678">
        <v>1286</v>
      </c>
      <c r="B8678">
        <v>1</v>
      </c>
    </row>
    <row r="8679" spans="1:2" x14ac:dyDescent="0.35">
      <c r="A8679">
        <v>1287</v>
      </c>
      <c r="B8679">
        <v>1</v>
      </c>
    </row>
    <row r="8680" spans="1:2" x14ac:dyDescent="0.35">
      <c r="A8680">
        <v>1291</v>
      </c>
      <c r="B8680">
        <v>1</v>
      </c>
    </row>
    <row r="8681" spans="1:2" x14ac:dyDescent="0.35">
      <c r="A8681">
        <v>1292</v>
      </c>
      <c r="B8681">
        <v>1</v>
      </c>
    </row>
    <row r="8682" spans="1:2" x14ac:dyDescent="0.35">
      <c r="A8682">
        <v>1293</v>
      </c>
      <c r="B8682">
        <v>1</v>
      </c>
    </row>
    <row r="8683" spans="1:2" x14ac:dyDescent="0.35">
      <c r="A8683">
        <v>1293</v>
      </c>
      <c r="B8683">
        <v>1</v>
      </c>
    </row>
    <row r="8684" spans="1:2" x14ac:dyDescent="0.35">
      <c r="A8684">
        <v>1294</v>
      </c>
      <c r="B8684">
        <v>1</v>
      </c>
    </row>
    <row r="8685" spans="1:2" x14ac:dyDescent="0.35">
      <c r="A8685">
        <v>1297</v>
      </c>
      <c r="B8685">
        <v>1</v>
      </c>
    </row>
    <row r="8686" spans="1:2" x14ac:dyDescent="0.35">
      <c r="A8686">
        <v>1298</v>
      </c>
      <c r="B8686">
        <v>1</v>
      </c>
    </row>
    <row r="8687" spans="1:2" x14ac:dyDescent="0.35">
      <c r="A8687">
        <v>1300</v>
      </c>
      <c r="B8687">
        <v>1</v>
      </c>
    </row>
    <row r="8688" spans="1:2" x14ac:dyDescent="0.35">
      <c r="A8688">
        <v>1301</v>
      </c>
      <c r="B8688">
        <v>1</v>
      </c>
    </row>
    <row r="8689" spans="1:2" x14ac:dyDescent="0.35">
      <c r="A8689">
        <v>1302</v>
      </c>
      <c r="B8689">
        <v>1</v>
      </c>
    </row>
    <row r="8690" spans="1:2" x14ac:dyDescent="0.35">
      <c r="A8690">
        <v>1307</v>
      </c>
      <c r="B8690">
        <v>1</v>
      </c>
    </row>
    <row r="8691" spans="1:2" x14ac:dyDescent="0.35">
      <c r="A8691">
        <v>1310</v>
      </c>
      <c r="B8691">
        <v>1</v>
      </c>
    </row>
    <row r="8692" spans="1:2" x14ac:dyDescent="0.35">
      <c r="A8692">
        <v>1314</v>
      </c>
      <c r="B8692">
        <v>1</v>
      </c>
    </row>
    <row r="8693" spans="1:2" x14ac:dyDescent="0.35">
      <c r="A8693">
        <v>1314</v>
      </c>
      <c r="B8693">
        <v>1</v>
      </c>
    </row>
    <row r="8694" spans="1:2" x14ac:dyDescent="0.35">
      <c r="A8694">
        <v>1314</v>
      </c>
      <c r="B8694">
        <v>1</v>
      </c>
    </row>
    <row r="8695" spans="1:2" x14ac:dyDescent="0.35">
      <c r="A8695">
        <v>1315</v>
      </c>
      <c r="B8695">
        <v>1</v>
      </c>
    </row>
    <row r="8696" spans="1:2" x14ac:dyDescent="0.35">
      <c r="A8696">
        <v>1315</v>
      </c>
      <c r="B8696">
        <v>1</v>
      </c>
    </row>
    <row r="8697" spans="1:2" x14ac:dyDescent="0.35">
      <c r="A8697">
        <v>1318</v>
      </c>
      <c r="B8697">
        <v>1</v>
      </c>
    </row>
    <row r="8698" spans="1:2" x14ac:dyDescent="0.35">
      <c r="A8698">
        <v>1321</v>
      </c>
      <c r="B8698">
        <v>1</v>
      </c>
    </row>
    <row r="8699" spans="1:2" x14ac:dyDescent="0.35">
      <c r="A8699">
        <v>1323</v>
      </c>
      <c r="B8699">
        <v>1</v>
      </c>
    </row>
    <row r="8700" spans="1:2" x14ac:dyDescent="0.35">
      <c r="A8700">
        <v>1324</v>
      </c>
      <c r="B8700">
        <v>1</v>
      </c>
    </row>
    <row r="8701" spans="1:2" x14ac:dyDescent="0.35">
      <c r="A8701">
        <v>1326</v>
      </c>
      <c r="B8701">
        <v>1</v>
      </c>
    </row>
    <row r="8702" spans="1:2" x14ac:dyDescent="0.35">
      <c r="A8702">
        <v>1330</v>
      </c>
      <c r="B8702">
        <v>1</v>
      </c>
    </row>
    <row r="8703" spans="1:2" x14ac:dyDescent="0.35">
      <c r="A8703">
        <v>1331</v>
      </c>
      <c r="B8703">
        <v>1</v>
      </c>
    </row>
    <row r="8704" spans="1:2" x14ac:dyDescent="0.35">
      <c r="A8704">
        <v>1331</v>
      </c>
      <c r="B8704">
        <v>1</v>
      </c>
    </row>
    <row r="8705" spans="1:2" x14ac:dyDescent="0.35">
      <c r="A8705">
        <v>1333</v>
      </c>
      <c r="B8705">
        <v>1</v>
      </c>
    </row>
    <row r="8706" spans="1:2" x14ac:dyDescent="0.35">
      <c r="A8706">
        <v>1334</v>
      </c>
      <c r="B8706">
        <v>1</v>
      </c>
    </row>
    <row r="8707" spans="1:2" x14ac:dyDescent="0.35">
      <c r="A8707">
        <v>1334</v>
      </c>
      <c r="B8707">
        <v>1</v>
      </c>
    </row>
    <row r="8708" spans="1:2" x14ac:dyDescent="0.35">
      <c r="A8708">
        <v>1334</v>
      </c>
      <c r="B8708">
        <v>1</v>
      </c>
    </row>
    <row r="8709" spans="1:2" x14ac:dyDescent="0.35">
      <c r="A8709">
        <v>1334</v>
      </c>
      <c r="B8709">
        <v>1</v>
      </c>
    </row>
    <row r="8710" spans="1:2" x14ac:dyDescent="0.35">
      <c r="A8710">
        <v>1336</v>
      </c>
      <c r="B8710">
        <v>1</v>
      </c>
    </row>
    <row r="8711" spans="1:2" x14ac:dyDescent="0.35">
      <c r="A8711">
        <v>1337</v>
      </c>
      <c r="B8711">
        <v>1</v>
      </c>
    </row>
    <row r="8712" spans="1:2" x14ac:dyDescent="0.35">
      <c r="A8712">
        <v>1340</v>
      </c>
      <c r="B8712">
        <v>1</v>
      </c>
    </row>
    <row r="8713" spans="1:2" x14ac:dyDescent="0.35">
      <c r="A8713">
        <v>1343</v>
      </c>
      <c r="B8713">
        <v>1</v>
      </c>
    </row>
    <row r="8714" spans="1:2" x14ac:dyDescent="0.35">
      <c r="A8714">
        <v>1344</v>
      </c>
      <c r="B8714">
        <v>1</v>
      </c>
    </row>
    <row r="8715" spans="1:2" x14ac:dyDescent="0.35">
      <c r="A8715">
        <v>1344</v>
      </c>
      <c r="B8715">
        <v>1</v>
      </c>
    </row>
    <row r="8716" spans="1:2" x14ac:dyDescent="0.35">
      <c r="A8716">
        <v>1346</v>
      </c>
      <c r="B8716">
        <v>1</v>
      </c>
    </row>
    <row r="8717" spans="1:2" x14ac:dyDescent="0.35">
      <c r="A8717">
        <v>1350</v>
      </c>
      <c r="B8717">
        <v>1</v>
      </c>
    </row>
    <row r="8718" spans="1:2" x14ac:dyDescent="0.35">
      <c r="A8718">
        <v>1356</v>
      </c>
      <c r="B8718">
        <v>1</v>
      </c>
    </row>
    <row r="8719" spans="1:2" x14ac:dyDescent="0.35">
      <c r="A8719">
        <v>1359</v>
      </c>
      <c r="B8719">
        <v>1</v>
      </c>
    </row>
    <row r="8720" spans="1:2" x14ac:dyDescent="0.35">
      <c r="A8720">
        <v>1363</v>
      </c>
      <c r="B8720">
        <v>1</v>
      </c>
    </row>
    <row r="8721" spans="1:2" x14ac:dyDescent="0.35">
      <c r="A8721">
        <v>1364</v>
      </c>
      <c r="B8721">
        <v>1</v>
      </c>
    </row>
    <row r="8722" spans="1:2" x14ac:dyDescent="0.35">
      <c r="A8722">
        <v>1366</v>
      </c>
      <c r="B8722">
        <v>1</v>
      </c>
    </row>
    <row r="8723" spans="1:2" x14ac:dyDescent="0.35">
      <c r="A8723">
        <v>1366</v>
      </c>
      <c r="B8723">
        <v>1</v>
      </c>
    </row>
    <row r="8724" spans="1:2" x14ac:dyDescent="0.35">
      <c r="A8724">
        <v>1368</v>
      </c>
      <c r="B8724">
        <v>1</v>
      </c>
    </row>
    <row r="8725" spans="1:2" x14ac:dyDescent="0.35">
      <c r="A8725">
        <v>1369</v>
      </c>
      <c r="B8725">
        <v>1</v>
      </c>
    </row>
    <row r="8726" spans="1:2" x14ac:dyDescent="0.35">
      <c r="A8726">
        <v>1370</v>
      </c>
      <c r="B8726">
        <v>1</v>
      </c>
    </row>
    <row r="8727" spans="1:2" x14ac:dyDescent="0.35">
      <c r="A8727">
        <v>1370</v>
      </c>
      <c r="B8727">
        <v>1</v>
      </c>
    </row>
    <row r="8728" spans="1:2" x14ac:dyDescent="0.35">
      <c r="A8728">
        <v>1373</v>
      </c>
      <c r="B8728">
        <v>1</v>
      </c>
    </row>
    <row r="8729" spans="1:2" x14ac:dyDescent="0.35">
      <c r="A8729">
        <v>1375</v>
      </c>
      <c r="B8729">
        <v>1</v>
      </c>
    </row>
    <row r="8730" spans="1:2" x14ac:dyDescent="0.35">
      <c r="A8730">
        <v>1376</v>
      </c>
      <c r="B8730">
        <v>1</v>
      </c>
    </row>
    <row r="8731" spans="1:2" x14ac:dyDescent="0.35">
      <c r="A8731">
        <v>1377</v>
      </c>
      <c r="B8731">
        <v>1</v>
      </c>
    </row>
    <row r="8732" spans="1:2" x14ac:dyDescent="0.35">
      <c r="A8732">
        <v>1380</v>
      </c>
      <c r="B8732">
        <v>1</v>
      </c>
    </row>
    <row r="8733" spans="1:2" x14ac:dyDescent="0.35">
      <c r="A8733">
        <v>1381</v>
      </c>
      <c r="B8733">
        <v>1</v>
      </c>
    </row>
    <row r="8734" spans="1:2" x14ac:dyDescent="0.35">
      <c r="A8734">
        <v>1382</v>
      </c>
      <c r="B8734">
        <v>1</v>
      </c>
    </row>
    <row r="8735" spans="1:2" x14ac:dyDescent="0.35">
      <c r="A8735">
        <v>1382</v>
      </c>
      <c r="B8735">
        <v>1</v>
      </c>
    </row>
    <row r="8736" spans="1:2" x14ac:dyDescent="0.35">
      <c r="A8736">
        <v>1382</v>
      </c>
      <c r="B8736">
        <v>1</v>
      </c>
    </row>
    <row r="8737" spans="1:2" x14ac:dyDescent="0.35">
      <c r="A8737">
        <v>1383</v>
      </c>
      <c r="B8737">
        <v>1</v>
      </c>
    </row>
    <row r="8738" spans="1:2" x14ac:dyDescent="0.35">
      <c r="A8738">
        <v>1387</v>
      </c>
      <c r="B8738">
        <v>1</v>
      </c>
    </row>
    <row r="8739" spans="1:2" x14ac:dyDescent="0.35">
      <c r="A8739">
        <v>1387</v>
      </c>
      <c r="B8739">
        <v>1</v>
      </c>
    </row>
    <row r="8740" spans="1:2" x14ac:dyDescent="0.35">
      <c r="A8740">
        <v>1388</v>
      </c>
      <c r="B8740">
        <v>1</v>
      </c>
    </row>
    <row r="8741" spans="1:2" x14ac:dyDescent="0.35">
      <c r="A8741">
        <v>1390</v>
      </c>
      <c r="B8741">
        <v>1</v>
      </c>
    </row>
    <row r="8742" spans="1:2" x14ac:dyDescent="0.35">
      <c r="A8742">
        <v>1390</v>
      </c>
      <c r="B8742">
        <v>1</v>
      </c>
    </row>
    <row r="8743" spans="1:2" x14ac:dyDescent="0.35">
      <c r="A8743">
        <v>1391</v>
      </c>
      <c r="B8743">
        <v>1</v>
      </c>
    </row>
    <row r="8744" spans="1:2" x14ac:dyDescent="0.35">
      <c r="A8744">
        <v>1392</v>
      </c>
      <c r="B8744">
        <v>1</v>
      </c>
    </row>
    <row r="8745" spans="1:2" x14ac:dyDescent="0.35">
      <c r="A8745">
        <v>1393</v>
      </c>
      <c r="B8745">
        <v>1</v>
      </c>
    </row>
    <row r="8746" spans="1:2" x14ac:dyDescent="0.35">
      <c r="A8746">
        <v>1394</v>
      </c>
      <c r="B8746">
        <v>1</v>
      </c>
    </row>
    <row r="8747" spans="1:2" x14ac:dyDescent="0.35">
      <c r="A8747">
        <v>1394</v>
      </c>
      <c r="B8747">
        <v>1</v>
      </c>
    </row>
    <row r="8748" spans="1:2" x14ac:dyDescent="0.35">
      <c r="A8748">
        <v>1395</v>
      </c>
      <c r="B8748">
        <v>1</v>
      </c>
    </row>
    <row r="8749" spans="1:2" x14ac:dyDescent="0.35">
      <c r="A8749">
        <v>1396</v>
      </c>
      <c r="B8749">
        <v>1</v>
      </c>
    </row>
    <row r="8750" spans="1:2" x14ac:dyDescent="0.35">
      <c r="A8750">
        <v>1396</v>
      </c>
      <c r="B8750">
        <v>1</v>
      </c>
    </row>
    <row r="8751" spans="1:2" x14ac:dyDescent="0.35">
      <c r="A8751">
        <v>1399</v>
      </c>
      <c r="B8751">
        <v>1</v>
      </c>
    </row>
    <row r="8752" spans="1:2" x14ac:dyDescent="0.35">
      <c r="A8752">
        <v>1399</v>
      </c>
      <c r="B8752">
        <v>1</v>
      </c>
    </row>
    <row r="8753" spans="1:2" x14ac:dyDescent="0.35">
      <c r="A8753">
        <v>1404</v>
      </c>
      <c r="B8753">
        <v>1</v>
      </c>
    </row>
    <row r="8754" spans="1:2" x14ac:dyDescent="0.35">
      <c r="A8754">
        <v>1404</v>
      </c>
      <c r="B8754">
        <v>1</v>
      </c>
    </row>
    <row r="8755" spans="1:2" x14ac:dyDescent="0.35">
      <c r="A8755">
        <v>1404</v>
      </c>
      <c r="B8755">
        <v>1</v>
      </c>
    </row>
    <row r="8756" spans="1:2" x14ac:dyDescent="0.35">
      <c r="A8756">
        <v>1405</v>
      </c>
      <c r="B8756">
        <v>1</v>
      </c>
    </row>
    <row r="8757" spans="1:2" x14ac:dyDescent="0.35">
      <c r="A8757">
        <v>1405</v>
      </c>
      <c r="B8757">
        <v>1</v>
      </c>
    </row>
    <row r="8758" spans="1:2" x14ac:dyDescent="0.35">
      <c r="A8758">
        <v>1405</v>
      </c>
      <c r="B8758">
        <v>1</v>
      </c>
    </row>
    <row r="8759" spans="1:2" x14ac:dyDescent="0.35">
      <c r="A8759">
        <v>1406</v>
      </c>
      <c r="B8759">
        <v>1</v>
      </c>
    </row>
    <row r="8760" spans="1:2" x14ac:dyDescent="0.35">
      <c r="A8760">
        <v>1410</v>
      </c>
      <c r="B8760">
        <v>1</v>
      </c>
    </row>
    <row r="8761" spans="1:2" x14ac:dyDescent="0.35">
      <c r="A8761">
        <v>1410</v>
      </c>
      <c r="B8761">
        <v>1</v>
      </c>
    </row>
    <row r="8762" spans="1:2" x14ac:dyDescent="0.35">
      <c r="A8762">
        <v>1411</v>
      </c>
      <c r="B8762">
        <v>1</v>
      </c>
    </row>
    <row r="8763" spans="1:2" x14ac:dyDescent="0.35">
      <c r="A8763">
        <v>1412</v>
      </c>
      <c r="B8763">
        <v>1</v>
      </c>
    </row>
    <row r="8764" spans="1:2" x14ac:dyDescent="0.35">
      <c r="A8764">
        <v>1412</v>
      </c>
      <c r="B8764">
        <v>1</v>
      </c>
    </row>
    <row r="8765" spans="1:2" x14ac:dyDescent="0.35">
      <c r="A8765">
        <v>1413</v>
      </c>
      <c r="B8765">
        <v>1</v>
      </c>
    </row>
    <row r="8766" spans="1:2" x14ac:dyDescent="0.35">
      <c r="A8766">
        <v>1413</v>
      </c>
      <c r="B8766">
        <v>1</v>
      </c>
    </row>
    <row r="8767" spans="1:2" x14ac:dyDescent="0.35">
      <c r="A8767">
        <v>1414</v>
      </c>
      <c r="B8767">
        <v>1</v>
      </c>
    </row>
    <row r="8768" spans="1:2" x14ac:dyDescent="0.35">
      <c r="A8768">
        <v>1415</v>
      </c>
      <c r="B8768">
        <v>1</v>
      </c>
    </row>
    <row r="8769" spans="1:2" x14ac:dyDescent="0.35">
      <c r="A8769">
        <v>1415</v>
      </c>
      <c r="B8769">
        <v>1</v>
      </c>
    </row>
    <row r="8770" spans="1:2" x14ac:dyDescent="0.35">
      <c r="A8770">
        <v>1415</v>
      </c>
      <c r="B8770">
        <v>1</v>
      </c>
    </row>
    <row r="8771" spans="1:2" x14ac:dyDescent="0.35">
      <c r="A8771">
        <v>1415</v>
      </c>
      <c r="B8771">
        <v>1</v>
      </c>
    </row>
    <row r="8772" spans="1:2" x14ac:dyDescent="0.35">
      <c r="A8772">
        <v>1417</v>
      </c>
      <c r="B8772">
        <v>1</v>
      </c>
    </row>
    <row r="8773" spans="1:2" x14ac:dyDescent="0.35">
      <c r="A8773">
        <v>1418</v>
      </c>
      <c r="B8773">
        <v>1</v>
      </c>
    </row>
    <row r="8774" spans="1:2" x14ac:dyDescent="0.35">
      <c r="A8774">
        <v>1421</v>
      </c>
      <c r="B8774">
        <v>1</v>
      </c>
    </row>
    <row r="8775" spans="1:2" x14ac:dyDescent="0.35">
      <c r="A8775">
        <v>1421</v>
      </c>
      <c r="B8775">
        <v>1</v>
      </c>
    </row>
    <row r="8776" spans="1:2" x14ac:dyDescent="0.35">
      <c r="A8776">
        <v>1421</v>
      </c>
      <c r="B8776">
        <v>1</v>
      </c>
    </row>
    <row r="8777" spans="1:2" x14ac:dyDescent="0.35">
      <c r="A8777">
        <v>1422</v>
      </c>
      <c r="B8777">
        <v>1</v>
      </c>
    </row>
    <row r="8778" spans="1:2" x14ac:dyDescent="0.35">
      <c r="A8778">
        <v>1423</v>
      </c>
      <c r="B8778">
        <v>1</v>
      </c>
    </row>
    <row r="8779" spans="1:2" x14ac:dyDescent="0.35">
      <c r="A8779">
        <v>1423</v>
      </c>
      <c r="B8779">
        <v>1</v>
      </c>
    </row>
    <row r="8780" spans="1:2" x14ac:dyDescent="0.35">
      <c r="A8780">
        <v>1425</v>
      </c>
      <c r="B8780">
        <v>1</v>
      </c>
    </row>
    <row r="8781" spans="1:2" x14ac:dyDescent="0.35">
      <c r="A8781">
        <v>1426</v>
      </c>
      <c r="B8781">
        <v>1</v>
      </c>
    </row>
    <row r="8782" spans="1:2" x14ac:dyDescent="0.35">
      <c r="A8782">
        <v>1429</v>
      </c>
      <c r="B8782">
        <v>1</v>
      </c>
    </row>
    <row r="8783" spans="1:2" x14ac:dyDescent="0.35">
      <c r="A8783">
        <v>1429</v>
      </c>
      <c r="B8783">
        <v>1</v>
      </c>
    </row>
    <row r="8784" spans="1:2" x14ac:dyDescent="0.35">
      <c r="A8784">
        <v>1433</v>
      </c>
      <c r="B8784">
        <v>1</v>
      </c>
    </row>
    <row r="8785" spans="1:2" x14ac:dyDescent="0.35">
      <c r="A8785">
        <v>1433</v>
      </c>
      <c r="B8785">
        <v>1</v>
      </c>
    </row>
    <row r="8786" spans="1:2" x14ac:dyDescent="0.35">
      <c r="A8786">
        <v>1434</v>
      </c>
      <c r="B8786">
        <v>1</v>
      </c>
    </row>
    <row r="8787" spans="1:2" x14ac:dyDescent="0.35">
      <c r="A8787">
        <v>1436</v>
      </c>
      <c r="B8787">
        <v>1</v>
      </c>
    </row>
    <row r="8788" spans="1:2" x14ac:dyDescent="0.35">
      <c r="A8788">
        <v>1438</v>
      </c>
      <c r="B8788">
        <v>1</v>
      </c>
    </row>
    <row r="8789" spans="1:2" x14ac:dyDescent="0.35">
      <c r="A8789">
        <v>1440</v>
      </c>
      <c r="B8789">
        <v>1</v>
      </c>
    </row>
    <row r="8790" spans="1:2" x14ac:dyDescent="0.35">
      <c r="A8790">
        <v>1440</v>
      </c>
      <c r="B8790">
        <v>1</v>
      </c>
    </row>
    <row r="8791" spans="1:2" x14ac:dyDescent="0.35">
      <c r="A8791">
        <v>1443</v>
      </c>
      <c r="B8791">
        <v>1</v>
      </c>
    </row>
    <row r="8792" spans="1:2" x14ac:dyDescent="0.35">
      <c r="A8792">
        <v>1445</v>
      </c>
      <c r="B8792">
        <v>1</v>
      </c>
    </row>
    <row r="8793" spans="1:2" x14ac:dyDescent="0.35">
      <c r="A8793">
        <v>1445</v>
      </c>
      <c r="B8793">
        <v>1</v>
      </c>
    </row>
    <row r="8794" spans="1:2" x14ac:dyDescent="0.35">
      <c r="A8794">
        <v>1449</v>
      </c>
      <c r="B8794">
        <v>1</v>
      </c>
    </row>
    <row r="8795" spans="1:2" x14ac:dyDescent="0.35">
      <c r="A8795">
        <v>1449</v>
      </c>
      <c r="B8795">
        <v>1</v>
      </c>
    </row>
    <row r="8796" spans="1:2" x14ac:dyDescent="0.35">
      <c r="A8796">
        <v>1450</v>
      </c>
      <c r="B8796">
        <v>1</v>
      </c>
    </row>
    <row r="8797" spans="1:2" x14ac:dyDescent="0.35">
      <c r="A8797">
        <v>1451</v>
      </c>
      <c r="B8797">
        <v>1</v>
      </c>
    </row>
    <row r="8798" spans="1:2" x14ac:dyDescent="0.35">
      <c r="A8798">
        <v>1454</v>
      </c>
      <c r="B8798">
        <v>1</v>
      </c>
    </row>
    <row r="8799" spans="1:2" x14ac:dyDescent="0.35">
      <c r="A8799">
        <v>1454</v>
      </c>
      <c r="B8799">
        <v>1</v>
      </c>
    </row>
    <row r="8800" spans="1:2" x14ac:dyDescent="0.35">
      <c r="A8800">
        <v>1457</v>
      </c>
      <c r="B8800">
        <v>1</v>
      </c>
    </row>
    <row r="8801" spans="1:2" x14ac:dyDescent="0.35">
      <c r="A8801">
        <v>1457</v>
      </c>
      <c r="B8801">
        <v>1</v>
      </c>
    </row>
    <row r="8802" spans="1:2" x14ac:dyDescent="0.35">
      <c r="A8802">
        <v>1457</v>
      </c>
      <c r="B8802">
        <v>1</v>
      </c>
    </row>
    <row r="8803" spans="1:2" x14ac:dyDescent="0.35">
      <c r="A8803">
        <v>1457</v>
      </c>
      <c r="B8803">
        <v>1</v>
      </c>
    </row>
    <row r="8804" spans="1:2" x14ac:dyDescent="0.35">
      <c r="A8804">
        <v>1458</v>
      </c>
      <c r="B8804">
        <v>1</v>
      </c>
    </row>
    <row r="8805" spans="1:2" x14ac:dyDescent="0.35">
      <c r="A8805">
        <v>1459</v>
      </c>
      <c r="B8805">
        <v>1</v>
      </c>
    </row>
    <row r="8806" spans="1:2" x14ac:dyDescent="0.35">
      <c r="A8806">
        <v>1459</v>
      </c>
      <c r="B8806">
        <v>1</v>
      </c>
    </row>
    <row r="8807" spans="1:2" x14ac:dyDescent="0.35">
      <c r="A8807">
        <v>1460</v>
      </c>
      <c r="B8807">
        <v>1</v>
      </c>
    </row>
    <row r="8808" spans="1:2" x14ac:dyDescent="0.35">
      <c r="A8808">
        <v>1463</v>
      </c>
      <c r="B8808">
        <v>1</v>
      </c>
    </row>
    <row r="8809" spans="1:2" x14ac:dyDescent="0.35">
      <c r="A8809">
        <v>1463</v>
      </c>
      <c r="B8809">
        <v>1</v>
      </c>
    </row>
    <row r="8810" spans="1:2" x14ac:dyDescent="0.35">
      <c r="A8810">
        <v>1465</v>
      </c>
      <c r="B8810">
        <v>1</v>
      </c>
    </row>
    <row r="8811" spans="1:2" x14ac:dyDescent="0.35">
      <c r="A8811">
        <v>1466</v>
      </c>
      <c r="B8811">
        <v>1</v>
      </c>
    </row>
    <row r="8812" spans="1:2" x14ac:dyDescent="0.35">
      <c r="A8812">
        <v>1466</v>
      </c>
      <c r="B8812">
        <v>1</v>
      </c>
    </row>
    <row r="8813" spans="1:2" x14ac:dyDescent="0.35">
      <c r="A8813">
        <v>1467</v>
      </c>
      <c r="B8813">
        <v>1</v>
      </c>
    </row>
    <row r="8814" spans="1:2" x14ac:dyDescent="0.35">
      <c r="A8814">
        <v>1469</v>
      </c>
      <c r="B8814">
        <v>1</v>
      </c>
    </row>
    <row r="8815" spans="1:2" x14ac:dyDescent="0.35">
      <c r="A8815">
        <v>1470</v>
      </c>
      <c r="B8815">
        <v>1</v>
      </c>
    </row>
    <row r="8816" spans="1:2" x14ac:dyDescent="0.35">
      <c r="A8816">
        <v>1470</v>
      </c>
      <c r="B8816">
        <v>1</v>
      </c>
    </row>
    <row r="8817" spans="1:2" x14ac:dyDescent="0.35">
      <c r="A8817">
        <v>1476</v>
      </c>
      <c r="B8817">
        <v>1</v>
      </c>
    </row>
    <row r="8818" spans="1:2" x14ac:dyDescent="0.35">
      <c r="A8818">
        <v>1478</v>
      </c>
      <c r="B8818">
        <v>1</v>
      </c>
    </row>
    <row r="8819" spans="1:2" x14ac:dyDescent="0.35">
      <c r="A8819">
        <v>1479</v>
      </c>
      <c r="B8819">
        <v>1</v>
      </c>
    </row>
    <row r="8820" spans="1:2" x14ac:dyDescent="0.35">
      <c r="A8820">
        <v>1480</v>
      </c>
      <c r="B8820">
        <v>1</v>
      </c>
    </row>
    <row r="8821" spans="1:2" x14ac:dyDescent="0.35">
      <c r="A8821">
        <v>1482</v>
      </c>
      <c r="B8821">
        <v>1</v>
      </c>
    </row>
    <row r="8822" spans="1:2" x14ac:dyDescent="0.35">
      <c r="A8822">
        <v>1483</v>
      </c>
      <c r="B8822">
        <v>1</v>
      </c>
    </row>
    <row r="8823" spans="1:2" x14ac:dyDescent="0.35">
      <c r="A8823">
        <v>1483</v>
      </c>
      <c r="B8823">
        <v>1</v>
      </c>
    </row>
    <row r="8824" spans="1:2" x14ac:dyDescent="0.35">
      <c r="A8824">
        <v>1485</v>
      </c>
      <c r="B8824">
        <v>1</v>
      </c>
    </row>
    <row r="8825" spans="1:2" x14ac:dyDescent="0.35">
      <c r="A8825">
        <v>1487</v>
      </c>
      <c r="B8825">
        <v>1</v>
      </c>
    </row>
    <row r="8826" spans="1:2" x14ac:dyDescent="0.35">
      <c r="A8826">
        <v>1488</v>
      </c>
      <c r="B8826">
        <v>1</v>
      </c>
    </row>
    <row r="8827" spans="1:2" x14ac:dyDescent="0.35">
      <c r="A8827">
        <v>1488</v>
      </c>
      <c r="B8827">
        <v>1</v>
      </c>
    </row>
    <row r="8828" spans="1:2" x14ac:dyDescent="0.35">
      <c r="A8828">
        <v>1491</v>
      </c>
      <c r="B8828">
        <v>1</v>
      </c>
    </row>
    <row r="8829" spans="1:2" x14ac:dyDescent="0.35">
      <c r="A8829">
        <v>1491</v>
      </c>
      <c r="B8829">
        <v>1</v>
      </c>
    </row>
    <row r="8830" spans="1:2" x14ac:dyDescent="0.35">
      <c r="A8830">
        <v>1493</v>
      </c>
      <c r="B8830">
        <v>1</v>
      </c>
    </row>
    <row r="8831" spans="1:2" x14ac:dyDescent="0.35">
      <c r="A8831">
        <v>1494</v>
      </c>
      <c r="B8831">
        <v>1</v>
      </c>
    </row>
    <row r="8832" spans="1:2" x14ac:dyDescent="0.35">
      <c r="A8832">
        <v>1496</v>
      </c>
      <c r="B8832">
        <v>1</v>
      </c>
    </row>
    <row r="8833" spans="1:2" x14ac:dyDescent="0.35">
      <c r="A8833">
        <v>1499</v>
      </c>
      <c r="B8833">
        <v>1</v>
      </c>
    </row>
    <row r="8834" spans="1:2" x14ac:dyDescent="0.35">
      <c r="A8834">
        <v>1500</v>
      </c>
      <c r="B8834">
        <v>1</v>
      </c>
    </row>
    <row r="8835" spans="1:2" x14ac:dyDescent="0.35">
      <c r="A8835">
        <v>1502</v>
      </c>
      <c r="B8835">
        <v>1</v>
      </c>
    </row>
    <row r="8836" spans="1:2" x14ac:dyDescent="0.35">
      <c r="A8836">
        <v>1502</v>
      </c>
      <c r="B8836">
        <v>1</v>
      </c>
    </row>
    <row r="8837" spans="1:2" x14ac:dyDescent="0.35">
      <c r="A8837">
        <v>1502</v>
      </c>
      <c r="B8837">
        <v>1</v>
      </c>
    </row>
    <row r="8838" spans="1:2" x14ac:dyDescent="0.35">
      <c r="A8838">
        <v>1503</v>
      </c>
      <c r="B8838">
        <v>1</v>
      </c>
    </row>
    <row r="8839" spans="1:2" x14ac:dyDescent="0.35">
      <c r="A8839">
        <v>1505</v>
      </c>
      <c r="B8839">
        <v>1</v>
      </c>
    </row>
    <row r="8840" spans="1:2" x14ac:dyDescent="0.35">
      <c r="A8840">
        <v>1505</v>
      </c>
      <c r="B8840">
        <v>1</v>
      </c>
    </row>
    <row r="8841" spans="1:2" x14ac:dyDescent="0.35">
      <c r="A8841">
        <v>1507</v>
      </c>
      <c r="B8841">
        <v>1</v>
      </c>
    </row>
    <row r="8842" spans="1:2" x14ac:dyDescent="0.35">
      <c r="A8842">
        <v>1509</v>
      </c>
      <c r="B8842">
        <v>1</v>
      </c>
    </row>
    <row r="8843" spans="1:2" x14ac:dyDescent="0.35">
      <c r="A8843">
        <v>1509</v>
      </c>
      <c r="B8843">
        <v>1</v>
      </c>
    </row>
    <row r="8844" spans="1:2" x14ac:dyDescent="0.35">
      <c r="A8844">
        <v>1511</v>
      </c>
      <c r="B8844">
        <v>1</v>
      </c>
    </row>
    <row r="8845" spans="1:2" x14ac:dyDescent="0.35">
      <c r="A8845">
        <v>1512</v>
      </c>
      <c r="B8845">
        <v>1</v>
      </c>
    </row>
    <row r="8846" spans="1:2" x14ac:dyDescent="0.35">
      <c r="A8846">
        <v>1516</v>
      </c>
      <c r="B8846">
        <v>1</v>
      </c>
    </row>
    <row r="8847" spans="1:2" x14ac:dyDescent="0.35">
      <c r="A8847">
        <v>1519</v>
      </c>
      <c r="B8847">
        <v>1</v>
      </c>
    </row>
    <row r="8848" spans="1:2" x14ac:dyDescent="0.35">
      <c r="A8848">
        <v>1520</v>
      </c>
      <c r="B8848">
        <v>1</v>
      </c>
    </row>
    <row r="8849" spans="1:2" x14ac:dyDescent="0.35">
      <c r="A8849">
        <v>1524</v>
      </c>
      <c r="B8849">
        <v>1</v>
      </c>
    </row>
    <row r="8850" spans="1:2" x14ac:dyDescent="0.35">
      <c r="A8850">
        <v>1524</v>
      </c>
      <c r="B8850">
        <v>1</v>
      </c>
    </row>
    <row r="8851" spans="1:2" x14ac:dyDescent="0.35">
      <c r="A8851">
        <v>1531</v>
      </c>
      <c r="B8851">
        <v>1</v>
      </c>
    </row>
    <row r="8852" spans="1:2" x14ac:dyDescent="0.35">
      <c r="A8852">
        <v>1533</v>
      </c>
      <c r="B8852">
        <v>1</v>
      </c>
    </row>
    <row r="8853" spans="1:2" x14ac:dyDescent="0.35">
      <c r="A8853">
        <v>1534</v>
      </c>
      <c r="B8853">
        <v>1</v>
      </c>
    </row>
    <row r="8854" spans="1:2" x14ac:dyDescent="0.35">
      <c r="A8854">
        <v>1534</v>
      </c>
      <c r="B8854">
        <v>1</v>
      </c>
    </row>
    <row r="8855" spans="1:2" x14ac:dyDescent="0.35">
      <c r="A8855">
        <v>1534</v>
      </c>
      <c r="B8855">
        <v>1</v>
      </c>
    </row>
    <row r="8856" spans="1:2" x14ac:dyDescent="0.35">
      <c r="A8856">
        <v>1537</v>
      </c>
      <c r="B8856">
        <v>1</v>
      </c>
    </row>
    <row r="8857" spans="1:2" x14ac:dyDescent="0.35">
      <c r="A8857">
        <v>1540</v>
      </c>
      <c r="B8857">
        <v>1</v>
      </c>
    </row>
    <row r="8858" spans="1:2" x14ac:dyDescent="0.35">
      <c r="A8858">
        <v>1541</v>
      </c>
      <c r="B8858">
        <v>1</v>
      </c>
    </row>
    <row r="8859" spans="1:2" x14ac:dyDescent="0.35">
      <c r="A8859">
        <v>1543</v>
      </c>
      <c r="B8859">
        <v>1</v>
      </c>
    </row>
    <row r="8860" spans="1:2" x14ac:dyDescent="0.35">
      <c r="A8860">
        <v>1546</v>
      </c>
      <c r="B8860">
        <v>1</v>
      </c>
    </row>
    <row r="8861" spans="1:2" x14ac:dyDescent="0.35">
      <c r="A8861">
        <v>1550</v>
      </c>
      <c r="B8861">
        <v>1</v>
      </c>
    </row>
    <row r="8862" spans="1:2" x14ac:dyDescent="0.35">
      <c r="A8862">
        <v>1550</v>
      </c>
      <c r="B8862">
        <v>1</v>
      </c>
    </row>
    <row r="8863" spans="1:2" x14ac:dyDescent="0.35">
      <c r="A8863">
        <v>1551</v>
      </c>
      <c r="B8863">
        <v>1</v>
      </c>
    </row>
    <row r="8864" spans="1:2" x14ac:dyDescent="0.35">
      <c r="A8864">
        <v>1553</v>
      </c>
      <c r="B8864">
        <v>1</v>
      </c>
    </row>
    <row r="8865" spans="1:2" x14ac:dyDescent="0.35">
      <c r="A8865">
        <v>1554</v>
      </c>
      <c r="B8865">
        <v>1</v>
      </c>
    </row>
    <row r="8866" spans="1:2" x14ac:dyDescent="0.35">
      <c r="A8866">
        <v>1555</v>
      </c>
      <c r="B8866">
        <v>1</v>
      </c>
    </row>
    <row r="8867" spans="1:2" x14ac:dyDescent="0.35">
      <c r="A8867">
        <v>1556</v>
      </c>
      <c r="B8867">
        <v>1</v>
      </c>
    </row>
    <row r="8868" spans="1:2" x14ac:dyDescent="0.35">
      <c r="A8868">
        <v>1558</v>
      </c>
      <c r="B8868">
        <v>1</v>
      </c>
    </row>
    <row r="8869" spans="1:2" x14ac:dyDescent="0.35">
      <c r="A8869">
        <v>1558</v>
      </c>
      <c r="B8869">
        <v>1</v>
      </c>
    </row>
    <row r="8870" spans="1:2" x14ac:dyDescent="0.35">
      <c r="A8870">
        <v>1559</v>
      </c>
      <c r="B8870">
        <v>1</v>
      </c>
    </row>
    <row r="8871" spans="1:2" x14ac:dyDescent="0.35">
      <c r="A8871">
        <v>1559</v>
      </c>
      <c r="B8871">
        <v>1</v>
      </c>
    </row>
    <row r="8872" spans="1:2" x14ac:dyDescent="0.35">
      <c r="A8872">
        <v>1560</v>
      </c>
      <c r="B8872">
        <v>1</v>
      </c>
    </row>
    <row r="8873" spans="1:2" x14ac:dyDescent="0.35">
      <c r="A8873">
        <v>1563</v>
      </c>
      <c r="B8873">
        <v>1</v>
      </c>
    </row>
    <row r="8874" spans="1:2" x14ac:dyDescent="0.35">
      <c r="A8874">
        <v>1564</v>
      </c>
      <c r="B8874">
        <v>1</v>
      </c>
    </row>
    <row r="8875" spans="1:2" x14ac:dyDescent="0.35">
      <c r="A8875">
        <v>1565</v>
      </c>
      <c r="B8875">
        <v>1</v>
      </c>
    </row>
    <row r="8876" spans="1:2" x14ac:dyDescent="0.35">
      <c r="A8876">
        <v>1566</v>
      </c>
      <c r="B8876">
        <v>1</v>
      </c>
    </row>
    <row r="8877" spans="1:2" x14ac:dyDescent="0.35">
      <c r="A8877">
        <v>1571</v>
      </c>
      <c r="B8877">
        <v>1</v>
      </c>
    </row>
    <row r="8878" spans="1:2" x14ac:dyDescent="0.35">
      <c r="A8878">
        <v>1572</v>
      </c>
      <c r="B8878">
        <v>1</v>
      </c>
    </row>
    <row r="8879" spans="1:2" x14ac:dyDescent="0.35">
      <c r="A8879">
        <v>1572</v>
      </c>
      <c r="B8879">
        <v>1</v>
      </c>
    </row>
    <row r="8880" spans="1:2" x14ac:dyDescent="0.35">
      <c r="A8880">
        <v>1572</v>
      </c>
      <c r="B8880">
        <v>1</v>
      </c>
    </row>
    <row r="8881" spans="1:2" x14ac:dyDescent="0.35">
      <c r="A8881">
        <v>1573</v>
      </c>
      <c r="B8881">
        <v>1</v>
      </c>
    </row>
    <row r="8882" spans="1:2" x14ac:dyDescent="0.35">
      <c r="A8882">
        <v>1574</v>
      </c>
      <c r="B8882">
        <v>1</v>
      </c>
    </row>
    <row r="8883" spans="1:2" x14ac:dyDescent="0.35">
      <c r="A8883">
        <v>1575</v>
      </c>
      <c r="B8883">
        <v>1</v>
      </c>
    </row>
    <row r="8884" spans="1:2" x14ac:dyDescent="0.35">
      <c r="A8884">
        <v>1575</v>
      </c>
      <c r="B8884">
        <v>1</v>
      </c>
    </row>
    <row r="8885" spans="1:2" x14ac:dyDescent="0.35">
      <c r="A8885">
        <v>1577</v>
      </c>
      <c r="B8885">
        <v>1</v>
      </c>
    </row>
    <row r="8886" spans="1:2" x14ac:dyDescent="0.35">
      <c r="A8886">
        <v>1577</v>
      </c>
      <c r="B8886">
        <v>1</v>
      </c>
    </row>
    <row r="8887" spans="1:2" x14ac:dyDescent="0.35">
      <c r="A8887">
        <v>1582</v>
      </c>
      <c r="B8887">
        <v>1</v>
      </c>
    </row>
    <row r="8888" spans="1:2" x14ac:dyDescent="0.35">
      <c r="A8888">
        <v>1582</v>
      </c>
      <c r="B8888">
        <v>1</v>
      </c>
    </row>
    <row r="8889" spans="1:2" x14ac:dyDescent="0.35">
      <c r="A8889">
        <v>1583</v>
      </c>
      <c r="B8889">
        <v>1</v>
      </c>
    </row>
    <row r="8890" spans="1:2" x14ac:dyDescent="0.35">
      <c r="A8890">
        <v>1585</v>
      </c>
      <c r="B8890">
        <v>1</v>
      </c>
    </row>
    <row r="8891" spans="1:2" x14ac:dyDescent="0.35">
      <c r="A8891">
        <v>1587</v>
      </c>
      <c r="B8891">
        <v>1</v>
      </c>
    </row>
    <row r="8892" spans="1:2" x14ac:dyDescent="0.35">
      <c r="A8892">
        <v>1590</v>
      </c>
      <c r="B8892">
        <v>1</v>
      </c>
    </row>
    <row r="8893" spans="1:2" x14ac:dyDescent="0.35">
      <c r="A8893">
        <v>1591</v>
      </c>
      <c r="B8893">
        <v>1</v>
      </c>
    </row>
    <row r="8894" spans="1:2" x14ac:dyDescent="0.35">
      <c r="A8894">
        <v>1594</v>
      </c>
      <c r="B8894">
        <v>1</v>
      </c>
    </row>
    <row r="8895" spans="1:2" x14ac:dyDescent="0.35">
      <c r="A8895">
        <v>1595</v>
      </c>
      <c r="B8895">
        <v>1</v>
      </c>
    </row>
    <row r="8896" spans="1:2" x14ac:dyDescent="0.35">
      <c r="A8896">
        <v>1595</v>
      </c>
      <c r="B8896">
        <v>1</v>
      </c>
    </row>
    <row r="8897" spans="1:2" x14ac:dyDescent="0.35">
      <c r="A8897">
        <v>1596</v>
      </c>
      <c r="B8897">
        <v>1</v>
      </c>
    </row>
    <row r="8898" spans="1:2" x14ac:dyDescent="0.35">
      <c r="A8898">
        <v>1598</v>
      </c>
      <c r="B8898">
        <v>1</v>
      </c>
    </row>
    <row r="8899" spans="1:2" x14ac:dyDescent="0.35">
      <c r="A8899">
        <v>1599</v>
      </c>
      <c r="B8899">
        <v>1</v>
      </c>
    </row>
    <row r="8900" spans="1:2" x14ac:dyDescent="0.35">
      <c r="A8900">
        <v>1600</v>
      </c>
      <c r="B8900">
        <v>1</v>
      </c>
    </row>
    <row r="8901" spans="1:2" x14ac:dyDescent="0.35">
      <c r="A8901">
        <v>1600</v>
      </c>
      <c r="B8901">
        <v>1</v>
      </c>
    </row>
    <row r="8902" spans="1:2" x14ac:dyDescent="0.35">
      <c r="A8902">
        <v>1603</v>
      </c>
      <c r="B8902">
        <v>1</v>
      </c>
    </row>
    <row r="8903" spans="1:2" x14ac:dyDescent="0.35">
      <c r="A8903">
        <v>1604</v>
      </c>
      <c r="B8903">
        <v>1</v>
      </c>
    </row>
    <row r="8904" spans="1:2" x14ac:dyDescent="0.35">
      <c r="A8904">
        <v>1605</v>
      </c>
      <c r="B8904">
        <v>1</v>
      </c>
    </row>
    <row r="8905" spans="1:2" x14ac:dyDescent="0.35">
      <c r="A8905">
        <v>1609</v>
      </c>
      <c r="B8905">
        <v>1</v>
      </c>
    </row>
    <row r="8906" spans="1:2" x14ac:dyDescent="0.35">
      <c r="A8906">
        <v>1609</v>
      </c>
      <c r="B8906">
        <v>1</v>
      </c>
    </row>
    <row r="8907" spans="1:2" x14ac:dyDescent="0.35">
      <c r="A8907">
        <v>1610</v>
      </c>
      <c r="B8907">
        <v>1</v>
      </c>
    </row>
    <row r="8908" spans="1:2" x14ac:dyDescent="0.35">
      <c r="A8908">
        <v>1610</v>
      </c>
      <c r="B8908">
        <v>1</v>
      </c>
    </row>
    <row r="8909" spans="1:2" x14ac:dyDescent="0.35">
      <c r="A8909">
        <v>1611</v>
      </c>
      <c r="B8909">
        <v>1</v>
      </c>
    </row>
    <row r="8910" spans="1:2" x14ac:dyDescent="0.35">
      <c r="A8910">
        <v>1613</v>
      </c>
      <c r="B8910">
        <v>1</v>
      </c>
    </row>
    <row r="8911" spans="1:2" x14ac:dyDescent="0.35">
      <c r="A8911">
        <v>1614</v>
      </c>
      <c r="B8911">
        <v>1</v>
      </c>
    </row>
    <row r="8912" spans="1:2" x14ac:dyDescent="0.35">
      <c r="A8912">
        <v>1614</v>
      </c>
      <c r="B8912">
        <v>1</v>
      </c>
    </row>
    <row r="8913" spans="1:2" x14ac:dyDescent="0.35">
      <c r="A8913">
        <v>1619</v>
      </c>
      <c r="B8913">
        <v>1</v>
      </c>
    </row>
    <row r="8914" spans="1:2" x14ac:dyDescent="0.35">
      <c r="A8914">
        <v>1621</v>
      </c>
      <c r="B8914">
        <v>1</v>
      </c>
    </row>
    <row r="8915" spans="1:2" x14ac:dyDescent="0.35">
      <c r="A8915">
        <v>1623</v>
      </c>
      <c r="B8915">
        <v>1</v>
      </c>
    </row>
    <row r="8916" spans="1:2" x14ac:dyDescent="0.35">
      <c r="A8916">
        <v>1625</v>
      </c>
      <c r="B8916">
        <v>1</v>
      </c>
    </row>
    <row r="8917" spans="1:2" x14ac:dyDescent="0.35">
      <c r="A8917">
        <v>1628</v>
      </c>
      <c r="B8917">
        <v>1</v>
      </c>
    </row>
    <row r="8918" spans="1:2" x14ac:dyDescent="0.35">
      <c r="A8918">
        <v>1631</v>
      </c>
      <c r="B8918">
        <v>1</v>
      </c>
    </row>
    <row r="8919" spans="1:2" x14ac:dyDescent="0.35">
      <c r="A8919">
        <v>1633</v>
      </c>
      <c r="B8919">
        <v>1</v>
      </c>
    </row>
    <row r="8920" spans="1:2" x14ac:dyDescent="0.35">
      <c r="A8920">
        <v>1633</v>
      </c>
      <c r="B8920">
        <v>1</v>
      </c>
    </row>
    <row r="8921" spans="1:2" x14ac:dyDescent="0.35">
      <c r="A8921">
        <v>1638</v>
      </c>
      <c r="B8921">
        <v>1</v>
      </c>
    </row>
    <row r="8922" spans="1:2" x14ac:dyDescent="0.35">
      <c r="A8922">
        <v>1644</v>
      </c>
      <c r="B8922">
        <v>1</v>
      </c>
    </row>
    <row r="8923" spans="1:2" x14ac:dyDescent="0.35">
      <c r="A8923">
        <v>1646</v>
      </c>
      <c r="B8923">
        <v>1</v>
      </c>
    </row>
    <row r="8924" spans="1:2" x14ac:dyDescent="0.35">
      <c r="A8924">
        <v>1649</v>
      </c>
      <c r="B8924">
        <v>1</v>
      </c>
    </row>
    <row r="8925" spans="1:2" x14ac:dyDescent="0.35">
      <c r="A8925">
        <v>1651</v>
      </c>
      <c r="B8925">
        <v>1</v>
      </c>
    </row>
    <row r="8926" spans="1:2" x14ac:dyDescent="0.35">
      <c r="A8926">
        <v>1651</v>
      </c>
      <c r="B8926">
        <v>1</v>
      </c>
    </row>
    <row r="8927" spans="1:2" x14ac:dyDescent="0.35">
      <c r="A8927">
        <v>1652</v>
      </c>
      <c r="B8927">
        <v>1</v>
      </c>
    </row>
    <row r="8928" spans="1:2" x14ac:dyDescent="0.35">
      <c r="A8928">
        <v>1653</v>
      </c>
      <c r="B8928">
        <v>1</v>
      </c>
    </row>
    <row r="8929" spans="1:2" x14ac:dyDescent="0.35">
      <c r="A8929">
        <v>1653</v>
      </c>
      <c r="B8929">
        <v>1</v>
      </c>
    </row>
    <row r="8930" spans="1:2" x14ac:dyDescent="0.35">
      <c r="A8930">
        <v>1661</v>
      </c>
      <c r="B8930">
        <v>1</v>
      </c>
    </row>
    <row r="8931" spans="1:2" x14ac:dyDescent="0.35">
      <c r="A8931">
        <v>1664</v>
      </c>
      <c r="B8931">
        <v>1</v>
      </c>
    </row>
    <row r="8932" spans="1:2" x14ac:dyDescent="0.35">
      <c r="A8932">
        <v>1664</v>
      </c>
      <c r="B8932">
        <v>1</v>
      </c>
    </row>
    <row r="8933" spans="1:2" x14ac:dyDescent="0.35">
      <c r="A8933">
        <v>1664</v>
      </c>
      <c r="B8933">
        <v>1</v>
      </c>
    </row>
    <row r="8934" spans="1:2" x14ac:dyDescent="0.35">
      <c r="A8934">
        <v>1665</v>
      </c>
      <c r="B8934">
        <v>1</v>
      </c>
    </row>
    <row r="8935" spans="1:2" x14ac:dyDescent="0.35">
      <c r="A8935">
        <v>1667</v>
      </c>
      <c r="B8935">
        <v>1</v>
      </c>
    </row>
    <row r="8936" spans="1:2" x14ac:dyDescent="0.35">
      <c r="A8936">
        <v>1668</v>
      </c>
      <c r="B8936">
        <v>1</v>
      </c>
    </row>
    <row r="8937" spans="1:2" x14ac:dyDescent="0.35">
      <c r="A8937">
        <v>1669</v>
      </c>
      <c r="B8937">
        <v>1</v>
      </c>
    </row>
    <row r="8938" spans="1:2" x14ac:dyDescent="0.35">
      <c r="A8938">
        <v>1670</v>
      </c>
      <c r="B8938">
        <v>1</v>
      </c>
    </row>
    <row r="8939" spans="1:2" x14ac:dyDescent="0.35">
      <c r="A8939">
        <v>1671</v>
      </c>
      <c r="B8939">
        <v>1</v>
      </c>
    </row>
    <row r="8940" spans="1:2" x14ac:dyDescent="0.35">
      <c r="A8940">
        <v>1671</v>
      </c>
      <c r="B8940">
        <v>1</v>
      </c>
    </row>
    <row r="8941" spans="1:2" x14ac:dyDescent="0.35">
      <c r="A8941">
        <v>1672</v>
      </c>
      <c r="B8941">
        <v>1</v>
      </c>
    </row>
    <row r="8942" spans="1:2" x14ac:dyDescent="0.35">
      <c r="A8942">
        <v>1673</v>
      </c>
      <c r="B8942">
        <v>1</v>
      </c>
    </row>
    <row r="8943" spans="1:2" x14ac:dyDescent="0.35">
      <c r="A8943">
        <v>1673</v>
      </c>
      <c r="B8943">
        <v>1</v>
      </c>
    </row>
    <row r="8944" spans="1:2" x14ac:dyDescent="0.35">
      <c r="A8944">
        <v>1675</v>
      </c>
      <c r="B8944">
        <v>1</v>
      </c>
    </row>
    <row r="8945" spans="1:2" x14ac:dyDescent="0.35">
      <c r="A8945">
        <v>1677</v>
      </c>
      <c r="B8945">
        <v>1</v>
      </c>
    </row>
    <row r="8946" spans="1:2" x14ac:dyDescent="0.35">
      <c r="A8946">
        <v>1682</v>
      </c>
      <c r="B8946">
        <v>1</v>
      </c>
    </row>
    <row r="8947" spans="1:2" x14ac:dyDescent="0.35">
      <c r="A8947">
        <v>1682</v>
      </c>
      <c r="B8947">
        <v>1</v>
      </c>
    </row>
    <row r="8948" spans="1:2" x14ac:dyDescent="0.35">
      <c r="A8948">
        <v>1683</v>
      </c>
      <c r="B8948">
        <v>1</v>
      </c>
    </row>
    <row r="8949" spans="1:2" x14ac:dyDescent="0.35">
      <c r="A8949">
        <v>1683</v>
      </c>
      <c r="B8949">
        <v>1</v>
      </c>
    </row>
    <row r="8950" spans="1:2" x14ac:dyDescent="0.35">
      <c r="A8950">
        <v>1684</v>
      </c>
      <c r="B8950">
        <v>1</v>
      </c>
    </row>
    <row r="8951" spans="1:2" x14ac:dyDescent="0.35">
      <c r="A8951">
        <v>1684</v>
      </c>
      <c r="B8951">
        <v>1</v>
      </c>
    </row>
    <row r="8952" spans="1:2" x14ac:dyDescent="0.35">
      <c r="A8952">
        <v>1685</v>
      </c>
      <c r="B8952">
        <v>1</v>
      </c>
    </row>
    <row r="8953" spans="1:2" x14ac:dyDescent="0.35">
      <c r="A8953">
        <v>1686</v>
      </c>
      <c r="B8953">
        <v>1</v>
      </c>
    </row>
    <row r="8954" spans="1:2" x14ac:dyDescent="0.35">
      <c r="A8954">
        <v>1686</v>
      </c>
      <c r="B8954">
        <v>1</v>
      </c>
    </row>
    <row r="8955" spans="1:2" x14ac:dyDescent="0.35">
      <c r="A8955">
        <v>1689</v>
      </c>
      <c r="B8955">
        <v>1</v>
      </c>
    </row>
    <row r="8956" spans="1:2" x14ac:dyDescent="0.35">
      <c r="A8956">
        <v>1691</v>
      </c>
      <c r="B8956">
        <v>1</v>
      </c>
    </row>
    <row r="8957" spans="1:2" x14ac:dyDescent="0.35">
      <c r="A8957">
        <v>1693</v>
      </c>
      <c r="B8957">
        <v>1</v>
      </c>
    </row>
    <row r="8958" spans="1:2" x14ac:dyDescent="0.35">
      <c r="A8958">
        <v>1693</v>
      </c>
      <c r="B8958">
        <v>1</v>
      </c>
    </row>
    <row r="8959" spans="1:2" x14ac:dyDescent="0.35">
      <c r="A8959">
        <v>1695</v>
      </c>
      <c r="B8959">
        <v>1</v>
      </c>
    </row>
    <row r="8960" spans="1:2" x14ac:dyDescent="0.35">
      <c r="A8960">
        <v>1697</v>
      </c>
      <c r="B8960">
        <v>1</v>
      </c>
    </row>
    <row r="8961" spans="1:2" x14ac:dyDescent="0.35">
      <c r="A8961">
        <v>1702</v>
      </c>
      <c r="B8961">
        <v>1</v>
      </c>
    </row>
    <row r="8962" spans="1:2" x14ac:dyDescent="0.35">
      <c r="A8962">
        <v>1702</v>
      </c>
      <c r="B8962">
        <v>1</v>
      </c>
    </row>
    <row r="8963" spans="1:2" x14ac:dyDescent="0.35">
      <c r="A8963">
        <v>1704</v>
      </c>
      <c r="B8963">
        <v>1</v>
      </c>
    </row>
    <row r="8964" spans="1:2" x14ac:dyDescent="0.35">
      <c r="A8964">
        <v>1705</v>
      </c>
      <c r="B8964">
        <v>1</v>
      </c>
    </row>
    <row r="8965" spans="1:2" x14ac:dyDescent="0.35">
      <c r="A8965">
        <v>1706</v>
      </c>
      <c r="B8965">
        <v>1</v>
      </c>
    </row>
    <row r="8966" spans="1:2" x14ac:dyDescent="0.35">
      <c r="A8966">
        <v>1709</v>
      </c>
      <c r="B8966">
        <v>1</v>
      </c>
    </row>
    <row r="8967" spans="1:2" x14ac:dyDescent="0.35">
      <c r="A8967">
        <v>1709</v>
      </c>
      <c r="B8967">
        <v>1</v>
      </c>
    </row>
    <row r="8968" spans="1:2" x14ac:dyDescent="0.35">
      <c r="A8968">
        <v>1715</v>
      </c>
      <c r="B8968">
        <v>1</v>
      </c>
    </row>
    <row r="8969" spans="1:2" x14ac:dyDescent="0.35">
      <c r="A8969">
        <v>1719</v>
      </c>
      <c r="B8969">
        <v>1</v>
      </c>
    </row>
    <row r="8970" spans="1:2" x14ac:dyDescent="0.35">
      <c r="A8970">
        <v>1720</v>
      </c>
      <c r="B8970">
        <v>1</v>
      </c>
    </row>
    <row r="8971" spans="1:2" x14ac:dyDescent="0.35">
      <c r="A8971">
        <v>1720</v>
      </c>
      <c r="B8971">
        <v>1</v>
      </c>
    </row>
    <row r="8972" spans="1:2" x14ac:dyDescent="0.35">
      <c r="A8972">
        <v>1721</v>
      </c>
      <c r="B8972">
        <v>1</v>
      </c>
    </row>
    <row r="8973" spans="1:2" x14ac:dyDescent="0.35">
      <c r="A8973">
        <v>1725</v>
      </c>
      <c r="B8973">
        <v>1</v>
      </c>
    </row>
    <row r="8974" spans="1:2" x14ac:dyDescent="0.35">
      <c r="A8974">
        <v>1730</v>
      </c>
      <c r="B8974">
        <v>1</v>
      </c>
    </row>
    <row r="8975" spans="1:2" x14ac:dyDescent="0.35">
      <c r="A8975">
        <v>1736</v>
      </c>
      <c r="B8975">
        <v>1</v>
      </c>
    </row>
    <row r="8976" spans="1:2" x14ac:dyDescent="0.35">
      <c r="A8976">
        <v>1738</v>
      </c>
      <c r="B8976">
        <v>1</v>
      </c>
    </row>
    <row r="8977" spans="1:2" x14ac:dyDescent="0.35">
      <c r="A8977">
        <v>1741</v>
      </c>
      <c r="B8977">
        <v>1</v>
      </c>
    </row>
    <row r="8978" spans="1:2" x14ac:dyDescent="0.35">
      <c r="A8978">
        <v>1744</v>
      </c>
      <c r="B8978">
        <v>1</v>
      </c>
    </row>
    <row r="8979" spans="1:2" x14ac:dyDescent="0.35">
      <c r="A8979">
        <v>1744</v>
      </c>
      <c r="B8979">
        <v>1</v>
      </c>
    </row>
    <row r="8980" spans="1:2" x14ac:dyDescent="0.35">
      <c r="A8980">
        <v>1744</v>
      </c>
      <c r="B8980">
        <v>1</v>
      </c>
    </row>
    <row r="8981" spans="1:2" x14ac:dyDescent="0.35">
      <c r="A8981">
        <v>1748</v>
      </c>
      <c r="B8981">
        <v>1</v>
      </c>
    </row>
    <row r="8982" spans="1:2" x14ac:dyDescent="0.35">
      <c r="A8982">
        <v>1750</v>
      </c>
      <c r="B8982">
        <v>1</v>
      </c>
    </row>
    <row r="8983" spans="1:2" x14ac:dyDescent="0.35">
      <c r="A8983">
        <v>1751</v>
      </c>
      <c r="B8983">
        <v>1</v>
      </c>
    </row>
    <row r="8984" spans="1:2" x14ac:dyDescent="0.35">
      <c r="A8984">
        <v>1759</v>
      </c>
      <c r="B8984">
        <v>1</v>
      </c>
    </row>
    <row r="8985" spans="1:2" x14ac:dyDescent="0.35">
      <c r="A8985">
        <v>1760</v>
      </c>
      <c r="B8985">
        <v>1</v>
      </c>
    </row>
    <row r="8986" spans="1:2" x14ac:dyDescent="0.35">
      <c r="A8986">
        <v>1761</v>
      </c>
      <c r="B8986">
        <v>1</v>
      </c>
    </row>
    <row r="8987" spans="1:2" x14ac:dyDescent="0.35">
      <c r="A8987">
        <v>1763</v>
      </c>
      <c r="B8987">
        <v>1</v>
      </c>
    </row>
    <row r="8988" spans="1:2" x14ac:dyDescent="0.35">
      <c r="A8988">
        <v>1764</v>
      </c>
      <c r="B8988">
        <v>1</v>
      </c>
    </row>
    <row r="8989" spans="1:2" x14ac:dyDescent="0.35">
      <c r="A8989">
        <v>1768</v>
      </c>
      <c r="B8989">
        <v>1</v>
      </c>
    </row>
    <row r="8990" spans="1:2" x14ac:dyDescent="0.35">
      <c r="A8990">
        <v>1771</v>
      </c>
      <c r="B8990">
        <v>1</v>
      </c>
    </row>
    <row r="8991" spans="1:2" x14ac:dyDescent="0.35">
      <c r="A8991">
        <v>1776</v>
      </c>
      <c r="B8991">
        <v>1</v>
      </c>
    </row>
    <row r="8992" spans="1:2" x14ac:dyDescent="0.35">
      <c r="A8992">
        <v>1779</v>
      </c>
      <c r="B8992">
        <v>1</v>
      </c>
    </row>
    <row r="8993" spans="1:2" x14ac:dyDescent="0.35">
      <c r="A8993">
        <v>1780</v>
      </c>
      <c r="B8993">
        <v>1</v>
      </c>
    </row>
    <row r="8994" spans="1:2" x14ac:dyDescent="0.35">
      <c r="A8994">
        <v>1784</v>
      </c>
      <c r="B8994">
        <v>1</v>
      </c>
    </row>
    <row r="8995" spans="1:2" x14ac:dyDescent="0.35">
      <c r="A8995">
        <v>1791</v>
      </c>
      <c r="B8995">
        <v>1</v>
      </c>
    </row>
    <row r="8996" spans="1:2" x14ac:dyDescent="0.35">
      <c r="A8996">
        <v>1792</v>
      </c>
      <c r="B8996">
        <v>1</v>
      </c>
    </row>
    <row r="8997" spans="1:2" x14ac:dyDescent="0.35">
      <c r="A8997">
        <v>1793</v>
      </c>
      <c r="B8997">
        <v>1</v>
      </c>
    </row>
    <row r="8998" spans="1:2" x14ac:dyDescent="0.35">
      <c r="A8998">
        <v>1794</v>
      </c>
      <c r="B8998">
        <v>1</v>
      </c>
    </row>
    <row r="8999" spans="1:2" x14ac:dyDescent="0.35">
      <c r="A8999">
        <v>1796</v>
      </c>
      <c r="B8999">
        <v>1</v>
      </c>
    </row>
    <row r="9000" spans="1:2" x14ac:dyDescent="0.35">
      <c r="A9000">
        <v>1797</v>
      </c>
      <c r="B9000">
        <v>1</v>
      </c>
    </row>
    <row r="9001" spans="1:2" x14ac:dyDescent="0.35">
      <c r="A9001">
        <v>1797</v>
      </c>
      <c r="B9001">
        <v>1</v>
      </c>
    </row>
    <row r="9002" spans="1:2" x14ac:dyDescent="0.35">
      <c r="A9002">
        <v>1797</v>
      </c>
      <c r="B9002">
        <v>1</v>
      </c>
    </row>
    <row r="9003" spans="1:2" x14ac:dyDescent="0.35">
      <c r="A9003">
        <v>1801</v>
      </c>
      <c r="B9003">
        <v>1</v>
      </c>
    </row>
    <row r="9004" spans="1:2" x14ac:dyDescent="0.35">
      <c r="A9004">
        <v>1801</v>
      </c>
      <c r="B9004">
        <v>1</v>
      </c>
    </row>
    <row r="9005" spans="1:2" x14ac:dyDescent="0.35">
      <c r="A9005">
        <v>1804</v>
      </c>
      <c r="B9005">
        <v>1</v>
      </c>
    </row>
    <row r="9006" spans="1:2" x14ac:dyDescent="0.35">
      <c r="A9006">
        <v>1804</v>
      </c>
      <c r="B9006">
        <v>1</v>
      </c>
    </row>
    <row r="9007" spans="1:2" x14ac:dyDescent="0.35">
      <c r="A9007">
        <v>1807</v>
      </c>
      <c r="B9007">
        <v>1</v>
      </c>
    </row>
    <row r="9008" spans="1:2" x14ac:dyDescent="0.35">
      <c r="A9008">
        <v>1811</v>
      </c>
      <c r="B9008">
        <v>1</v>
      </c>
    </row>
    <row r="9009" spans="1:2" x14ac:dyDescent="0.35">
      <c r="A9009">
        <v>1811</v>
      </c>
      <c r="B9009">
        <v>1</v>
      </c>
    </row>
    <row r="9010" spans="1:2" x14ac:dyDescent="0.35">
      <c r="A9010">
        <v>1811</v>
      </c>
      <c r="B9010">
        <v>1</v>
      </c>
    </row>
    <row r="9011" spans="1:2" x14ac:dyDescent="0.35">
      <c r="A9011">
        <v>1813</v>
      </c>
      <c r="B9011">
        <v>1</v>
      </c>
    </row>
    <row r="9012" spans="1:2" x14ac:dyDescent="0.35">
      <c r="A9012">
        <v>1824</v>
      </c>
      <c r="B9012">
        <v>1</v>
      </c>
    </row>
    <row r="9013" spans="1:2" x14ac:dyDescent="0.35">
      <c r="A9013">
        <v>1825</v>
      </c>
      <c r="B9013">
        <v>1</v>
      </c>
    </row>
    <row r="9014" spans="1:2" x14ac:dyDescent="0.35">
      <c r="A9014">
        <v>1827</v>
      </c>
      <c r="B9014">
        <v>1</v>
      </c>
    </row>
    <row r="9015" spans="1:2" x14ac:dyDescent="0.35">
      <c r="A9015">
        <v>1830</v>
      </c>
      <c r="B9015">
        <v>1</v>
      </c>
    </row>
    <row r="9016" spans="1:2" x14ac:dyDescent="0.35">
      <c r="A9016">
        <v>1832</v>
      </c>
      <c r="B9016">
        <v>1</v>
      </c>
    </row>
    <row r="9017" spans="1:2" x14ac:dyDescent="0.35">
      <c r="A9017">
        <v>1836</v>
      </c>
      <c r="B9017">
        <v>1</v>
      </c>
    </row>
    <row r="9018" spans="1:2" x14ac:dyDescent="0.35">
      <c r="A9018">
        <v>1840</v>
      </c>
      <c r="B9018">
        <v>1</v>
      </c>
    </row>
    <row r="9019" spans="1:2" x14ac:dyDescent="0.35">
      <c r="A9019">
        <v>1840</v>
      </c>
      <c r="B9019">
        <v>1</v>
      </c>
    </row>
    <row r="9020" spans="1:2" x14ac:dyDescent="0.35">
      <c r="A9020">
        <v>1841</v>
      </c>
      <c r="B9020">
        <v>1</v>
      </c>
    </row>
    <row r="9021" spans="1:2" x14ac:dyDescent="0.35">
      <c r="A9021">
        <v>1841</v>
      </c>
      <c r="B9021">
        <v>1</v>
      </c>
    </row>
    <row r="9022" spans="1:2" x14ac:dyDescent="0.35">
      <c r="A9022">
        <v>1845</v>
      </c>
      <c r="B9022">
        <v>1</v>
      </c>
    </row>
    <row r="9023" spans="1:2" x14ac:dyDescent="0.35">
      <c r="A9023">
        <v>1846</v>
      </c>
      <c r="B9023">
        <v>1</v>
      </c>
    </row>
    <row r="9024" spans="1:2" x14ac:dyDescent="0.35">
      <c r="A9024">
        <v>1851</v>
      </c>
      <c r="B9024">
        <v>1</v>
      </c>
    </row>
    <row r="9025" spans="1:2" x14ac:dyDescent="0.35">
      <c r="A9025">
        <v>1852</v>
      </c>
      <c r="B9025">
        <v>1</v>
      </c>
    </row>
    <row r="9026" spans="1:2" x14ac:dyDescent="0.35">
      <c r="A9026">
        <v>1856</v>
      </c>
      <c r="B9026">
        <v>1</v>
      </c>
    </row>
    <row r="9027" spans="1:2" x14ac:dyDescent="0.35">
      <c r="A9027">
        <v>1857</v>
      </c>
      <c r="B9027">
        <v>1</v>
      </c>
    </row>
    <row r="9028" spans="1:2" x14ac:dyDescent="0.35">
      <c r="A9028">
        <v>1857</v>
      </c>
      <c r="B9028">
        <v>1</v>
      </c>
    </row>
    <row r="9029" spans="1:2" x14ac:dyDescent="0.35">
      <c r="A9029">
        <v>1857</v>
      </c>
      <c r="B9029">
        <v>1</v>
      </c>
    </row>
    <row r="9030" spans="1:2" x14ac:dyDescent="0.35">
      <c r="A9030">
        <v>1861</v>
      </c>
      <c r="B9030">
        <v>1</v>
      </c>
    </row>
    <row r="9031" spans="1:2" x14ac:dyDescent="0.35">
      <c r="A9031">
        <v>1862</v>
      </c>
      <c r="B9031">
        <v>1</v>
      </c>
    </row>
    <row r="9032" spans="1:2" x14ac:dyDescent="0.35">
      <c r="A9032">
        <v>1871</v>
      </c>
      <c r="B9032">
        <v>1</v>
      </c>
    </row>
    <row r="9033" spans="1:2" x14ac:dyDescent="0.35">
      <c r="A9033">
        <v>1877</v>
      </c>
      <c r="B9033">
        <v>1</v>
      </c>
    </row>
    <row r="9034" spans="1:2" x14ac:dyDescent="0.35">
      <c r="A9034">
        <v>1881</v>
      </c>
      <c r="B9034">
        <v>1</v>
      </c>
    </row>
    <row r="9035" spans="1:2" x14ac:dyDescent="0.35">
      <c r="A9035">
        <v>1882</v>
      </c>
      <c r="B9035">
        <v>1</v>
      </c>
    </row>
    <row r="9036" spans="1:2" x14ac:dyDescent="0.35">
      <c r="A9036">
        <v>1883</v>
      </c>
      <c r="B9036">
        <v>1</v>
      </c>
    </row>
    <row r="9037" spans="1:2" x14ac:dyDescent="0.35">
      <c r="A9037">
        <v>1888</v>
      </c>
      <c r="B9037">
        <v>1</v>
      </c>
    </row>
    <row r="9038" spans="1:2" x14ac:dyDescent="0.35">
      <c r="A9038">
        <v>1888</v>
      </c>
      <c r="B9038">
        <v>1</v>
      </c>
    </row>
    <row r="9039" spans="1:2" x14ac:dyDescent="0.35">
      <c r="A9039">
        <v>1890</v>
      </c>
      <c r="B9039">
        <v>1</v>
      </c>
    </row>
    <row r="9040" spans="1:2" x14ac:dyDescent="0.35">
      <c r="A9040">
        <v>1896</v>
      </c>
      <c r="B9040">
        <v>1</v>
      </c>
    </row>
    <row r="9041" spans="1:2" x14ac:dyDescent="0.35">
      <c r="A9041">
        <v>1897</v>
      </c>
      <c r="B9041">
        <v>1</v>
      </c>
    </row>
    <row r="9042" spans="1:2" x14ac:dyDescent="0.35">
      <c r="A9042">
        <v>1899</v>
      </c>
      <c r="B9042">
        <v>1</v>
      </c>
    </row>
    <row r="9043" spans="1:2" x14ac:dyDescent="0.35">
      <c r="A9043">
        <v>1912</v>
      </c>
      <c r="B9043">
        <v>1</v>
      </c>
    </row>
    <row r="9044" spans="1:2" x14ac:dyDescent="0.35">
      <c r="A9044">
        <v>1915</v>
      </c>
      <c r="B9044">
        <v>1</v>
      </c>
    </row>
    <row r="9045" spans="1:2" x14ac:dyDescent="0.35">
      <c r="A9045">
        <v>1918</v>
      </c>
      <c r="B9045">
        <v>1</v>
      </c>
    </row>
    <row r="9046" spans="1:2" x14ac:dyDescent="0.35">
      <c r="A9046">
        <v>1920</v>
      </c>
      <c r="B9046">
        <v>1</v>
      </c>
    </row>
    <row r="9047" spans="1:2" x14ac:dyDescent="0.35">
      <c r="A9047">
        <v>1921</v>
      </c>
      <c r="B9047">
        <v>1</v>
      </c>
    </row>
    <row r="9048" spans="1:2" x14ac:dyDescent="0.35">
      <c r="A9048">
        <v>1923</v>
      </c>
      <c r="B9048">
        <v>1</v>
      </c>
    </row>
    <row r="9049" spans="1:2" x14ac:dyDescent="0.35">
      <c r="A9049">
        <v>1924</v>
      </c>
      <c r="B9049">
        <v>1</v>
      </c>
    </row>
    <row r="9050" spans="1:2" x14ac:dyDescent="0.35">
      <c r="A9050">
        <v>1925</v>
      </c>
      <c r="B9050">
        <v>1</v>
      </c>
    </row>
    <row r="9051" spans="1:2" x14ac:dyDescent="0.35">
      <c r="A9051">
        <v>1927</v>
      </c>
      <c r="B9051">
        <v>1</v>
      </c>
    </row>
    <row r="9052" spans="1:2" x14ac:dyDescent="0.35">
      <c r="A9052">
        <v>1927</v>
      </c>
      <c r="B9052">
        <v>1</v>
      </c>
    </row>
    <row r="9053" spans="1:2" x14ac:dyDescent="0.35">
      <c r="A9053">
        <v>1929</v>
      </c>
      <c r="B9053">
        <v>1</v>
      </c>
    </row>
    <row r="9054" spans="1:2" x14ac:dyDescent="0.35">
      <c r="A9054">
        <v>1930</v>
      </c>
      <c r="B9054">
        <v>1</v>
      </c>
    </row>
    <row r="9055" spans="1:2" x14ac:dyDescent="0.35">
      <c r="A9055">
        <v>1933</v>
      </c>
      <c r="B9055">
        <v>1</v>
      </c>
    </row>
    <row r="9056" spans="1:2" x14ac:dyDescent="0.35">
      <c r="A9056">
        <v>1934</v>
      </c>
      <c r="B9056">
        <v>1</v>
      </c>
    </row>
    <row r="9057" spans="1:2" x14ac:dyDescent="0.35">
      <c r="A9057">
        <v>1934</v>
      </c>
      <c r="B9057">
        <v>1</v>
      </c>
    </row>
    <row r="9058" spans="1:2" x14ac:dyDescent="0.35">
      <c r="A9058">
        <v>1937</v>
      </c>
      <c r="B9058">
        <v>1</v>
      </c>
    </row>
    <row r="9059" spans="1:2" x14ac:dyDescent="0.35">
      <c r="A9059">
        <v>1946</v>
      </c>
      <c r="B9059">
        <v>1</v>
      </c>
    </row>
    <row r="9060" spans="1:2" x14ac:dyDescent="0.35">
      <c r="A9060">
        <v>1948</v>
      </c>
      <c r="B9060">
        <v>1</v>
      </c>
    </row>
    <row r="9061" spans="1:2" x14ac:dyDescent="0.35">
      <c r="A9061">
        <v>1950</v>
      </c>
      <c r="B9061">
        <v>1</v>
      </c>
    </row>
    <row r="9062" spans="1:2" x14ac:dyDescent="0.35">
      <c r="A9062">
        <v>1950</v>
      </c>
      <c r="B9062">
        <v>1</v>
      </c>
    </row>
    <row r="9063" spans="1:2" x14ac:dyDescent="0.35">
      <c r="A9063">
        <v>1951</v>
      </c>
      <c r="B9063">
        <v>1</v>
      </c>
    </row>
    <row r="9064" spans="1:2" x14ac:dyDescent="0.35">
      <c r="A9064">
        <v>1955</v>
      </c>
      <c r="B9064">
        <v>1</v>
      </c>
    </row>
    <row r="9065" spans="1:2" x14ac:dyDescent="0.35">
      <c r="A9065">
        <v>1958</v>
      </c>
      <c r="B9065">
        <v>1</v>
      </c>
    </row>
    <row r="9066" spans="1:2" x14ac:dyDescent="0.35">
      <c r="A9066">
        <v>1968</v>
      </c>
      <c r="B9066">
        <v>1</v>
      </c>
    </row>
    <row r="9067" spans="1:2" x14ac:dyDescent="0.35">
      <c r="A9067">
        <v>1969</v>
      </c>
      <c r="B9067">
        <v>1</v>
      </c>
    </row>
    <row r="9068" spans="1:2" x14ac:dyDescent="0.35">
      <c r="A9068">
        <v>1969</v>
      </c>
      <c r="B9068">
        <v>1</v>
      </c>
    </row>
    <row r="9069" spans="1:2" x14ac:dyDescent="0.35">
      <c r="A9069">
        <v>1971</v>
      </c>
      <c r="B9069">
        <v>1</v>
      </c>
    </row>
    <row r="9070" spans="1:2" x14ac:dyDescent="0.35">
      <c r="A9070">
        <v>1972</v>
      </c>
      <c r="B9070">
        <v>1</v>
      </c>
    </row>
    <row r="9071" spans="1:2" x14ac:dyDescent="0.35">
      <c r="A9071">
        <v>1973</v>
      </c>
      <c r="B9071">
        <v>1</v>
      </c>
    </row>
    <row r="9072" spans="1:2" x14ac:dyDescent="0.35">
      <c r="A9072">
        <v>1975</v>
      </c>
      <c r="B9072">
        <v>1</v>
      </c>
    </row>
    <row r="9073" spans="1:2" x14ac:dyDescent="0.35">
      <c r="A9073">
        <v>1987</v>
      </c>
      <c r="B9073">
        <v>1</v>
      </c>
    </row>
    <row r="9074" spans="1:2" x14ac:dyDescent="0.35">
      <c r="A9074">
        <v>1987</v>
      </c>
      <c r="B9074">
        <v>1</v>
      </c>
    </row>
    <row r="9075" spans="1:2" x14ac:dyDescent="0.35">
      <c r="A9075">
        <v>1990</v>
      </c>
      <c r="B9075">
        <v>1</v>
      </c>
    </row>
    <row r="9076" spans="1:2" x14ac:dyDescent="0.35">
      <c r="A9076">
        <v>1993</v>
      </c>
      <c r="B9076">
        <v>1</v>
      </c>
    </row>
    <row r="9077" spans="1:2" x14ac:dyDescent="0.35">
      <c r="A9077">
        <v>1995</v>
      </c>
      <c r="B9077">
        <v>1</v>
      </c>
    </row>
    <row r="9078" spans="1:2" x14ac:dyDescent="0.35">
      <c r="A9078">
        <v>1996</v>
      </c>
      <c r="B9078">
        <v>1</v>
      </c>
    </row>
    <row r="9079" spans="1:2" x14ac:dyDescent="0.35">
      <c r="A9079">
        <v>1998</v>
      </c>
      <c r="B9079">
        <v>1</v>
      </c>
    </row>
    <row r="9080" spans="1:2" x14ac:dyDescent="0.35">
      <c r="A9080">
        <v>1999</v>
      </c>
      <c r="B9080">
        <v>1</v>
      </c>
    </row>
    <row r="9081" spans="1:2" x14ac:dyDescent="0.35">
      <c r="A9081">
        <v>2006</v>
      </c>
      <c r="B9081">
        <v>1</v>
      </c>
    </row>
    <row r="9082" spans="1:2" x14ac:dyDescent="0.35">
      <c r="A9082">
        <v>2006</v>
      </c>
      <c r="B9082">
        <v>1</v>
      </c>
    </row>
    <row r="9083" spans="1:2" x14ac:dyDescent="0.35">
      <c r="A9083">
        <v>2008</v>
      </c>
      <c r="B9083">
        <v>1</v>
      </c>
    </row>
    <row r="9084" spans="1:2" x14ac:dyDescent="0.35">
      <c r="A9084">
        <v>2009</v>
      </c>
      <c r="B9084">
        <v>1</v>
      </c>
    </row>
    <row r="9085" spans="1:2" x14ac:dyDescent="0.35">
      <c r="A9085">
        <v>2011</v>
      </c>
      <c r="B9085">
        <v>1</v>
      </c>
    </row>
    <row r="9086" spans="1:2" x14ac:dyDescent="0.35">
      <c r="A9086">
        <v>2012</v>
      </c>
      <c r="B9086">
        <v>1</v>
      </c>
    </row>
    <row r="9087" spans="1:2" x14ac:dyDescent="0.35">
      <c r="A9087">
        <v>2012</v>
      </c>
      <c r="B9087">
        <v>1</v>
      </c>
    </row>
    <row r="9088" spans="1:2" x14ac:dyDescent="0.35">
      <c r="A9088">
        <v>2015</v>
      </c>
      <c r="B9088">
        <v>1</v>
      </c>
    </row>
    <row r="9089" spans="1:2" x14ac:dyDescent="0.35">
      <c r="A9089">
        <v>2019</v>
      </c>
      <c r="B9089">
        <v>1</v>
      </c>
    </row>
    <row r="9090" spans="1:2" x14ac:dyDescent="0.35">
      <c r="A9090">
        <v>2019</v>
      </c>
      <c r="B9090">
        <v>1</v>
      </c>
    </row>
    <row r="9091" spans="1:2" x14ac:dyDescent="0.35">
      <c r="A9091">
        <v>2019</v>
      </c>
      <c r="B9091">
        <v>1</v>
      </c>
    </row>
    <row r="9092" spans="1:2" x14ac:dyDescent="0.35">
      <c r="A9092">
        <v>2019</v>
      </c>
      <c r="B9092">
        <v>1</v>
      </c>
    </row>
    <row r="9093" spans="1:2" x14ac:dyDescent="0.35">
      <c r="A9093">
        <v>2021</v>
      </c>
      <c r="B9093">
        <v>1</v>
      </c>
    </row>
    <row r="9094" spans="1:2" x14ac:dyDescent="0.35">
      <c r="A9094">
        <v>2021</v>
      </c>
      <c r="B9094">
        <v>1</v>
      </c>
    </row>
    <row r="9095" spans="1:2" x14ac:dyDescent="0.35">
      <c r="A9095">
        <v>2024</v>
      </c>
      <c r="B9095">
        <v>1</v>
      </c>
    </row>
    <row r="9096" spans="1:2" x14ac:dyDescent="0.35">
      <c r="A9096">
        <v>2025</v>
      </c>
      <c r="B9096">
        <v>1</v>
      </c>
    </row>
    <row r="9097" spans="1:2" x14ac:dyDescent="0.35">
      <c r="A9097">
        <v>2025</v>
      </c>
      <c r="B9097">
        <v>1</v>
      </c>
    </row>
    <row r="9098" spans="1:2" x14ac:dyDescent="0.35">
      <c r="A9098">
        <v>2027</v>
      </c>
      <c r="B9098">
        <v>1</v>
      </c>
    </row>
    <row r="9099" spans="1:2" x14ac:dyDescent="0.35">
      <c r="A9099">
        <v>2028</v>
      </c>
      <c r="B9099">
        <v>1</v>
      </c>
    </row>
    <row r="9100" spans="1:2" x14ac:dyDescent="0.35">
      <c r="A9100">
        <v>2030</v>
      </c>
      <c r="B9100">
        <v>1</v>
      </c>
    </row>
    <row r="9101" spans="1:2" x14ac:dyDescent="0.35">
      <c r="A9101">
        <v>2030</v>
      </c>
      <c r="B9101">
        <v>1</v>
      </c>
    </row>
    <row r="9102" spans="1:2" x14ac:dyDescent="0.35">
      <c r="A9102">
        <v>2031</v>
      </c>
      <c r="B9102">
        <v>1</v>
      </c>
    </row>
    <row r="9103" spans="1:2" x14ac:dyDescent="0.35">
      <c r="A9103">
        <v>2033</v>
      </c>
      <c r="B9103">
        <v>1</v>
      </c>
    </row>
    <row r="9104" spans="1:2" x14ac:dyDescent="0.35">
      <c r="A9104">
        <v>2038</v>
      </c>
      <c r="B9104">
        <v>1</v>
      </c>
    </row>
    <row r="9105" spans="1:2" x14ac:dyDescent="0.35">
      <c r="A9105">
        <v>2039</v>
      </c>
      <c r="B9105">
        <v>1</v>
      </c>
    </row>
    <row r="9106" spans="1:2" x14ac:dyDescent="0.35">
      <c r="A9106">
        <v>2042</v>
      </c>
      <c r="B9106">
        <v>1</v>
      </c>
    </row>
    <row r="9107" spans="1:2" x14ac:dyDescent="0.35">
      <c r="A9107">
        <v>2045</v>
      </c>
      <c r="B9107">
        <v>1</v>
      </c>
    </row>
    <row r="9108" spans="1:2" x14ac:dyDescent="0.35">
      <c r="A9108">
        <v>2048</v>
      </c>
      <c r="B9108">
        <v>1</v>
      </c>
    </row>
    <row r="9109" spans="1:2" x14ac:dyDescent="0.35">
      <c r="A9109">
        <v>2049</v>
      </c>
      <c r="B9109">
        <v>1</v>
      </c>
    </row>
    <row r="9110" spans="1:2" x14ac:dyDescent="0.35">
      <c r="A9110">
        <v>2050</v>
      </c>
      <c r="B9110">
        <v>1</v>
      </c>
    </row>
    <row r="9111" spans="1:2" x14ac:dyDescent="0.35">
      <c r="A9111">
        <v>2054</v>
      </c>
      <c r="B9111">
        <v>1</v>
      </c>
    </row>
    <row r="9112" spans="1:2" x14ac:dyDescent="0.35">
      <c r="A9112">
        <v>2054</v>
      </c>
      <c r="B9112">
        <v>1</v>
      </c>
    </row>
    <row r="9113" spans="1:2" x14ac:dyDescent="0.35">
      <c r="A9113">
        <v>2055</v>
      </c>
      <c r="B9113">
        <v>1</v>
      </c>
    </row>
    <row r="9114" spans="1:2" x14ac:dyDescent="0.35">
      <c r="A9114">
        <v>2057</v>
      </c>
      <c r="B9114">
        <v>1</v>
      </c>
    </row>
    <row r="9115" spans="1:2" x14ac:dyDescent="0.35">
      <c r="A9115">
        <v>2058</v>
      </c>
      <c r="B9115">
        <v>1</v>
      </c>
    </row>
    <row r="9116" spans="1:2" x14ac:dyDescent="0.35">
      <c r="A9116">
        <v>2058</v>
      </c>
      <c r="B9116">
        <v>1</v>
      </c>
    </row>
    <row r="9117" spans="1:2" x14ac:dyDescent="0.35">
      <c r="A9117">
        <v>2059</v>
      </c>
      <c r="B9117">
        <v>1</v>
      </c>
    </row>
    <row r="9118" spans="1:2" x14ac:dyDescent="0.35">
      <c r="A9118">
        <v>2061</v>
      </c>
      <c r="B9118">
        <v>1</v>
      </c>
    </row>
    <row r="9119" spans="1:2" x14ac:dyDescent="0.35">
      <c r="A9119">
        <v>2069</v>
      </c>
      <c r="B9119">
        <v>1</v>
      </c>
    </row>
    <row r="9120" spans="1:2" x14ac:dyDescent="0.35">
      <c r="A9120">
        <v>2071</v>
      </c>
      <c r="B9120">
        <v>1</v>
      </c>
    </row>
    <row r="9121" spans="1:2" x14ac:dyDescent="0.35">
      <c r="A9121">
        <v>2072</v>
      </c>
      <c r="B9121">
        <v>1</v>
      </c>
    </row>
    <row r="9122" spans="1:2" x14ac:dyDescent="0.35">
      <c r="A9122">
        <v>2075</v>
      </c>
      <c r="B9122">
        <v>1</v>
      </c>
    </row>
    <row r="9123" spans="1:2" x14ac:dyDescent="0.35">
      <c r="A9123">
        <v>2075</v>
      </c>
      <c r="B9123">
        <v>1</v>
      </c>
    </row>
    <row r="9124" spans="1:2" x14ac:dyDescent="0.35">
      <c r="A9124">
        <v>2078</v>
      </c>
      <c r="B9124">
        <v>1</v>
      </c>
    </row>
    <row r="9125" spans="1:2" x14ac:dyDescent="0.35">
      <c r="A9125">
        <v>2080</v>
      </c>
      <c r="B9125">
        <v>1</v>
      </c>
    </row>
    <row r="9126" spans="1:2" x14ac:dyDescent="0.35">
      <c r="A9126">
        <v>2082</v>
      </c>
      <c r="B9126">
        <v>1</v>
      </c>
    </row>
    <row r="9127" spans="1:2" x14ac:dyDescent="0.35">
      <c r="A9127">
        <v>2085</v>
      </c>
      <c r="B9127">
        <v>1</v>
      </c>
    </row>
    <row r="9128" spans="1:2" x14ac:dyDescent="0.35">
      <c r="A9128">
        <v>2090</v>
      </c>
      <c r="B9128">
        <v>1</v>
      </c>
    </row>
    <row r="9129" spans="1:2" x14ac:dyDescent="0.35">
      <c r="A9129">
        <v>2103</v>
      </c>
      <c r="B9129">
        <v>1</v>
      </c>
    </row>
    <row r="9130" spans="1:2" x14ac:dyDescent="0.35">
      <c r="A9130">
        <v>2106</v>
      </c>
      <c r="B9130">
        <v>1</v>
      </c>
    </row>
    <row r="9131" spans="1:2" x14ac:dyDescent="0.35">
      <c r="A9131">
        <v>2106</v>
      </c>
      <c r="B9131">
        <v>1</v>
      </c>
    </row>
    <row r="9132" spans="1:2" x14ac:dyDescent="0.35">
      <c r="A9132">
        <v>2112</v>
      </c>
      <c r="B9132">
        <v>1</v>
      </c>
    </row>
    <row r="9133" spans="1:2" x14ac:dyDescent="0.35">
      <c r="A9133">
        <v>2113</v>
      </c>
      <c r="B9133">
        <v>1</v>
      </c>
    </row>
    <row r="9134" spans="1:2" x14ac:dyDescent="0.35">
      <c r="A9134">
        <v>2115</v>
      </c>
      <c r="B9134">
        <v>1</v>
      </c>
    </row>
    <row r="9135" spans="1:2" x14ac:dyDescent="0.35">
      <c r="A9135">
        <v>2116</v>
      </c>
      <c r="B9135">
        <v>1</v>
      </c>
    </row>
    <row r="9136" spans="1:2" x14ac:dyDescent="0.35">
      <c r="A9136">
        <v>2121</v>
      </c>
      <c r="B9136">
        <v>1</v>
      </c>
    </row>
    <row r="9137" spans="1:2" x14ac:dyDescent="0.35">
      <c r="A9137">
        <v>2121</v>
      </c>
      <c r="B9137">
        <v>1</v>
      </c>
    </row>
    <row r="9138" spans="1:2" x14ac:dyDescent="0.35">
      <c r="A9138">
        <v>2125</v>
      </c>
      <c r="B9138">
        <v>1</v>
      </c>
    </row>
    <row r="9139" spans="1:2" x14ac:dyDescent="0.35">
      <c r="A9139">
        <v>2127</v>
      </c>
      <c r="B9139">
        <v>1</v>
      </c>
    </row>
    <row r="9140" spans="1:2" x14ac:dyDescent="0.35">
      <c r="A9140">
        <v>2127</v>
      </c>
      <c r="B9140">
        <v>1</v>
      </c>
    </row>
    <row r="9141" spans="1:2" x14ac:dyDescent="0.35">
      <c r="A9141">
        <v>2130</v>
      </c>
      <c r="B9141">
        <v>1</v>
      </c>
    </row>
    <row r="9142" spans="1:2" x14ac:dyDescent="0.35">
      <c r="A9142">
        <v>2130</v>
      </c>
      <c r="B9142">
        <v>1</v>
      </c>
    </row>
    <row r="9143" spans="1:2" x14ac:dyDescent="0.35">
      <c r="A9143">
        <v>2140</v>
      </c>
      <c r="B9143">
        <v>1</v>
      </c>
    </row>
    <row r="9144" spans="1:2" x14ac:dyDescent="0.35">
      <c r="A9144">
        <v>2140</v>
      </c>
      <c r="B9144">
        <v>1</v>
      </c>
    </row>
    <row r="9145" spans="1:2" x14ac:dyDescent="0.35">
      <c r="A9145">
        <v>2146</v>
      </c>
      <c r="B9145">
        <v>1</v>
      </c>
    </row>
    <row r="9146" spans="1:2" x14ac:dyDescent="0.35">
      <c r="A9146">
        <v>2148</v>
      </c>
      <c r="B9146">
        <v>1</v>
      </c>
    </row>
    <row r="9147" spans="1:2" x14ac:dyDescent="0.35">
      <c r="A9147">
        <v>2149</v>
      </c>
      <c r="B9147">
        <v>1</v>
      </c>
    </row>
    <row r="9148" spans="1:2" x14ac:dyDescent="0.35">
      <c r="A9148">
        <v>2149</v>
      </c>
      <c r="B9148">
        <v>1</v>
      </c>
    </row>
    <row r="9149" spans="1:2" x14ac:dyDescent="0.35">
      <c r="A9149">
        <v>2149</v>
      </c>
      <c r="B9149">
        <v>1</v>
      </c>
    </row>
    <row r="9150" spans="1:2" x14ac:dyDescent="0.35">
      <c r="A9150">
        <v>2154</v>
      </c>
      <c r="B9150">
        <v>1</v>
      </c>
    </row>
    <row r="9151" spans="1:2" x14ac:dyDescent="0.35">
      <c r="A9151">
        <v>2159</v>
      </c>
      <c r="B9151">
        <v>1</v>
      </c>
    </row>
    <row r="9152" spans="1:2" x14ac:dyDescent="0.35">
      <c r="A9152">
        <v>2161</v>
      </c>
      <c r="B9152">
        <v>1</v>
      </c>
    </row>
    <row r="9153" spans="1:2" x14ac:dyDescent="0.35">
      <c r="A9153">
        <v>2163</v>
      </c>
      <c r="B9153">
        <v>1</v>
      </c>
    </row>
    <row r="9154" spans="1:2" x14ac:dyDescent="0.35">
      <c r="A9154">
        <v>2169</v>
      </c>
      <c r="B9154">
        <v>1</v>
      </c>
    </row>
    <row r="9155" spans="1:2" x14ac:dyDescent="0.35">
      <c r="A9155">
        <v>2169</v>
      </c>
      <c r="B9155">
        <v>1</v>
      </c>
    </row>
    <row r="9156" spans="1:2" x14ac:dyDescent="0.35">
      <c r="A9156">
        <v>2174</v>
      </c>
      <c r="B9156">
        <v>1</v>
      </c>
    </row>
    <row r="9157" spans="1:2" x14ac:dyDescent="0.35">
      <c r="A9157">
        <v>2176</v>
      </c>
      <c r="B9157">
        <v>1</v>
      </c>
    </row>
    <row r="9158" spans="1:2" x14ac:dyDescent="0.35">
      <c r="A9158">
        <v>2180</v>
      </c>
      <c r="B9158">
        <v>1</v>
      </c>
    </row>
    <row r="9159" spans="1:2" x14ac:dyDescent="0.35">
      <c r="A9159">
        <v>2180</v>
      </c>
      <c r="B9159">
        <v>1</v>
      </c>
    </row>
    <row r="9160" spans="1:2" x14ac:dyDescent="0.35">
      <c r="A9160">
        <v>2185</v>
      </c>
      <c r="B9160">
        <v>1</v>
      </c>
    </row>
    <row r="9161" spans="1:2" x14ac:dyDescent="0.35">
      <c r="A9161">
        <v>2186</v>
      </c>
      <c r="B9161">
        <v>1</v>
      </c>
    </row>
    <row r="9162" spans="1:2" x14ac:dyDescent="0.35">
      <c r="A9162">
        <v>2189</v>
      </c>
      <c r="B9162">
        <v>1</v>
      </c>
    </row>
    <row r="9163" spans="1:2" x14ac:dyDescent="0.35">
      <c r="A9163">
        <v>2190</v>
      </c>
      <c r="B9163">
        <v>1</v>
      </c>
    </row>
    <row r="9164" spans="1:2" x14ac:dyDescent="0.35">
      <c r="A9164">
        <v>2192</v>
      </c>
      <c r="B9164">
        <v>1</v>
      </c>
    </row>
    <row r="9165" spans="1:2" x14ac:dyDescent="0.35">
      <c r="A9165">
        <v>2196</v>
      </c>
      <c r="B9165">
        <v>1</v>
      </c>
    </row>
    <row r="9166" spans="1:2" x14ac:dyDescent="0.35">
      <c r="A9166">
        <v>2197</v>
      </c>
      <c r="B9166">
        <v>1</v>
      </c>
    </row>
    <row r="9167" spans="1:2" x14ac:dyDescent="0.35">
      <c r="A9167">
        <v>2215</v>
      </c>
      <c r="B9167">
        <v>1</v>
      </c>
    </row>
    <row r="9168" spans="1:2" x14ac:dyDescent="0.35">
      <c r="A9168">
        <v>2217</v>
      </c>
      <c r="B9168">
        <v>1</v>
      </c>
    </row>
    <row r="9169" spans="1:2" x14ac:dyDescent="0.35">
      <c r="A9169">
        <v>2222</v>
      </c>
      <c r="B9169">
        <v>1</v>
      </c>
    </row>
    <row r="9170" spans="1:2" x14ac:dyDescent="0.35">
      <c r="A9170">
        <v>2224</v>
      </c>
      <c r="B9170">
        <v>1</v>
      </c>
    </row>
    <row r="9171" spans="1:2" x14ac:dyDescent="0.35">
      <c r="A9171">
        <v>2224</v>
      </c>
      <c r="B9171">
        <v>1</v>
      </c>
    </row>
    <row r="9172" spans="1:2" x14ac:dyDescent="0.35">
      <c r="A9172">
        <v>2225</v>
      </c>
      <c r="B9172">
        <v>1</v>
      </c>
    </row>
    <row r="9173" spans="1:2" x14ac:dyDescent="0.35">
      <c r="A9173">
        <v>2230</v>
      </c>
      <c r="B9173">
        <v>1</v>
      </c>
    </row>
    <row r="9174" spans="1:2" x14ac:dyDescent="0.35">
      <c r="A9174">
        <v>2231</v>
      </c>
      <c r="B9174">
        <v>1</v>
      </c>
    </row>
    <row r="9175" spans="1:2" x14ac:dyDescent="0.35">
      <c r="A9175">
        <v>2239</v>
      </c>
      <c r="B9175">
        <v>1</v>
      </c>
    </row>
    <row r="9176" spans="1:2" x14ac:dyDescent="0.35">
      <c r="A9176">
        <v>2244</v>
      </c>
      <c r="B9176">
        <v>1</v>
      </c>
    </row>
    <row r="9177" spans="1:2" x14ac:dyDescent="0.35">
      <c r="A9177">
        <v>2246</v>
      </c>
      <c r="B9177">
        <v>1</v>
      </c>
    </row>
    <row r="9178" spans="1:2" x14ac:dyDescent="0.35">
      <c r="A9178">
        <v>2263</v>
      </c>
      <c r="B9178">
        <v>1</v>
      </c>
    </row>
    <row r="9179" spans="1:2" x14ac:dyDescent="0.35">
      <c r="A9179">
        <v>2265</v>
      </c>
      <c r="B9179">
        <v>1</v>
      </c>
    </row>
    <row r="9180" spans="1:2" x14ac:dyDescent="0.35">
      <c r="A9180">
        <v>2273</v>
      </c>
      <c r="B9180">
        <v>1</v>
      </c>
    </row>
    <row r="9181" spans="1:2" x14ac:dyDescent="0.35">
      <c r="A9181">
        <v>2278</v>
      </c>
      <c r="B9181">
        <v>1</v>
      </c>
    </row>
    <row r="9182" spans="1:2" x14ac:dyDescent="0.35">
      <c r="A9182">
        <v>2283</v>
      </c>
      <c r="B9182">
        <v>1</v>
      </c>
    </row>
    <row r="9183" spans="1:2" x14ac:dyDescent="0.35">
      <c r="A9183">
        <v>2283</v>
      </c>
      <c r="B9183">
        <v>1</v>
      </c>
    </row>
    <row r="9184" spans="1:2" x14ac:dyDescent="0.35">
      <c r="A9184">
        <v>2284</v>
      </c>
      <c r="B9184">
        <v>1</v>
      </c>
    </row>
    <row r="9185" spans="1:2" x14ac:dyDescent="0.35">
      <c r="A9185">
        <v>2291</v>
      </c>
      <c r="B9185">
        <v>1</v>
      </c>
    </row>
    <row r="9186" spans="1:2" x14ac:dyDescent="0.35">
      <c r="A9186">
        <v>2294</v>
      </c>
      <c r="B9186">
        <v>1</v>
      </c>
    </row>
    <row r="9187" spans="1:2" x14ac:dyDescent="0.35">
      <c r="A9187">
        <v>2298</v>
      </c>
      <c r="B9187">
        <v>1</v>
      </c>
    </row>
    <row r="9188" spans="1:2" x14ac:dyDescent="0.35">
      <c r="A9188">
        <v>2309</v>
      </c>
      <c r="B9188">
        <v>1</v>
      </c>
    </row>
    <row r="9189" spans="1:2" x14ac:dyDescent="0.35">
      <c r="A9189">
        <v>2309</v>
      </c>
      <c r="B9189">
        <v>1</v>
      </c>
    </row>
    <row r="9190" spans="1:2" x14ac:dyDescent="0.35">
      <c r="A9190">
        <v>2311</v>
      </c>
      <c r="B9190">
        <v>1</v>
      </c>
    </row>
    <row r="9191" spans="1:2" x14ac:dyDescent="0.35">
      <c r="A9191">
        <v>2312</v>
      </c>
      <c r="B9191">
        <v>1</v>
      </c>
    </row>
    <row r="9192" spans="1:2" x14ac:dyDescent="0.35">
      <c r="A9192">
        <v>2322</v>
      </c>
      <c r="B9192">
        <v>1</v>
      </c>
    </row>
    <row r="9193" spans="1:2" x14ac:dyDescent="0.35">
      <c r="A9193">
        <v>2323</v>
      </c>
      <c r="B9193">
        <v>1</v>
      </c>
    </row>
    <row r="9194" spans="1:2" x14ac:dyDescent="0.35">
      <c r="A9194">
        <v>2326</v>
      </c>
      <c r="B9194">
        <v>1</v>
      </c>
    </row>
    <row r="9195" spans="1:2" x14ac:dyDescent="0.35">
      <c r="A9195">
        <v>2334</v>
      </c>
      <c r="B9195">
        <v>1</v>
      </c>
    </row>
    <row r="9196" spans="1:2" x14ac:dyDescent="0.35">
      <c r="A9196">
        <v>2338</v>
      </c>
      <c r="B9196">
        <v>1</v>
      </c>
    </row>
    <row r="9197" spans="1:2" x14ac:dyDescent="0.35">
      <c r="A9197">
        <v>2350</v>
      </c>
      <c r="B9197">
        <v>1</v>
      </c>
    </row>
    <row r="9198" spans="1:2" x14ac:dyDescent="0.35">
      <c r="A9198">
        <v>2351</v>
      </c>
      <c r="B9198">
        <v>1</v>
      </c>
    </row>
    <row r="9199" spans="1:2" x14ac:dyDescent="0.35">
      <c r="A9199">
        <v>2355</v>
      </c>
      <c r="B9199">
        <v>1</v>
      </c>
    </row>
    <row r="9200" spans="1:2" x14ac:dyDescent="0.35">
      <c r="A9200">
        <v>2355</v>
      </c>
      <c r="B9200">
        <v>1</v>
      </c>
    </row>
    <row r="9201" spans="1:2" x14ac:dyDescent="0.35">
      <c r="A9201">
        <v>2365</v>
      </c>
      <c r="B9201">
        <v>1</v>
      </c>
    </row>
    <row r="9202" spans="1:2" x14ac:dyDescent="0.35">
      <c r="A9202">
        <v>2374</v>
      </c>
      <c r="B9202">
        <v>1</v>
      </c>
    </row>
    <row r="9203" spans="1:2" x14ac:dyDescent="0.35">
      <c r="A9203">
        <v>2384</v>
      </c>
      <c r="B9203">
        <v>1</v>
      </c>
    </row>
    <row r="9204" spans="1:2" x14ac:dyDescent="0.35">
      <c r="A9204">
        <v>2384</v>
      </c>
      <c r="B9204">
        <v>1</v>
      </c>
    </row>
    <row r="9205" spans="1:2" x14ac:dyDescent="0.35">
      <c r="A9205">
        <v>2386</v>
      </c>
      <c r="B9205">
        <v>1</v>
      </c>
    </row>
    <row r="9206" spans="1:2" x14ac:dyDescent="0.35">
      <c r="A9206">
        <v>2386</v>
      </c>
      <c r="B9206">
        <v>1</v>
      </c>
    </row>
    <row r="9207" spans="1:2" x14ac:dyDescent="0.35">
      <c r="A9207">
        <v>2395</v>
      </c>
      <c r="B9207">
        <v>1</v>
      </c>
    </row>
    <row r="9208" spans="1:2" x14ac:dyDescent="0.35">
      <c r="A9208">
        <v>2397</v>
      </c>
      <c r="B9208">
        <v>1</v>
      </c>
    </row>
    <row r="9209" spans="1:2" x14ac:dyDescent="0.35">
      <c r="A9209">
        <v>2406</v>
      </c>
      <c r="B9209">
        <v>1</v>
      </c>
    </row>
    <row r="9210" spans="1:2" x14ac:dyDescent="0.35">
      <c r="A9210">
        <v>2406</v>
      </c>
      <c r="B9210">
        <v>1</v>
      </c>
    </row>
    <row r="9211" spans="1:2" x14ac:dyDescent="0.35">
      <c r="A9211">
        <v>2408</v>
      </c>
      <c r="B9211">
        <v>1</v>
      </c>
    </row>
    <row r="9212" spans="1:2" x14ac:dyDescent="0.35">
      <c r="A9212">
        <v>2408</v>
      </c>
      <c r="B9212">
        <v>1</v>
      </c>
    </row>
    <row r="9213" spans="1:2" x14ac:dyDescent="0.35">
      <c r="A9213">
        <v>2414</v>
      </c>
      <c r="B9213">
        <v>1</v>
      </c>
    </row>
    <row r="9214" spans="1:2" x14ac:dyDescent="0.35">
      <c r="A9214">
        <v>2418</v>
      </c>
      <c r="B9214">
        <v>1</v>
      </c>
    </row>
    <row r="9215" spans="1:2" x14ac:dyDescent="0.35">
      <c r="A9215">
        <v>2418</v>
      </c>
      <c r="B9215">
        <v>1</v>
      </c>
    </row>
    <row r="9216" spans="1:2" x14ac:dyDescent="0.35">
      <c r="A9216">
        <v>2420</v>
      </c>
      <c r="B9216">
        <v>1</v>
      </c>
    </row>
    <row r="9217" spans="1:2" x14ac:dyDescent="0.35">
      <c r="A9217">
        <v>2421</v>
      </c>
      <c r="B9217">
        <v>1</v>
      </c>
    </row>
    <row r="9218" spans="1:2" x14ac:dyDescent="0.35">
      <c r="A9218">
        <v>2437</v>
      </c>
      <c r="B9218">
        <v>1</v>
      </c>
    </row>
    <row r="9219" spans="1:2" x14ac:dyDescent="0.35">
      <c r="A9219">
        <v>2442</v>
      </c>
      <c r="B9219">
        <v>1</v>
      </c>
    </row>
    <row r="9220" spans="1:2" x14ac:dyDescent="0.35">
      <c r="A9220">
        <v>2451</v>
      </c>
      <c r="B9220">
        <v>1</v>
      </c>
    </row>
    <row r="9221" spans="1:2" x14ac:dyDescent="0.35">
      <c r="A9221">
        <v>2451</v>
      </c>
      <c r="B9221">
        <v>1</v>
      </c>
    </row>
    <row r="9222" spans="1:2" x14ac:dyDescent="0.35">
      <c r="A9222">
        <v>2455</v>
      </c>
      <c r="B9222">
        <v>1</v>
      </c>
    </row>
    <row r="9223" spans="1:2" x14ac:dyDescent="0.35">
      <c r="A9223">
        <v>2463</v>
      </c>
      <c r="B9223">
        <v>1</v>
      </c>
    </row>
    <row r="9224" spans="1:2" x14ac:dyDescent="0.35">
      <c r="A9224">
        <v>2467</v>
      </c>
      <c r="B9224">
        <v>1</v>
      </c>
    </row>
    <row r="9225" spans="1:2" x14ac:dyDescent="0.35">
      <c r="A9225">
        <v>2475</v>
      </c>
      <c r="B9225">
        <v>1</v>
      </c>
    </row>
    <row r="9226" spans="1:2" x14ac:dyDescent="0.35">
      <c r="A9226">
        <v>2478</v>
      </c>
      <c r="B9226">
        <v>1</v>
      </c>
    </row>
    <row r="9227" spans="1:2" x14ac:dyDescent="0.35">
      <c r="A9227">
        <v>2483</v>
      </c>
      <c r="B9227">
        <v>1</v>
      </c>
    </row>
    <row r="9228" spans="1:2" x14ac:dyDescent="0.35">
      <c r="A9228">
        <v>2484</v>
      </c>
      <c r="B9228">
        <v>1</v>
      </c>
    </row>
    <row r="9229" spans="1:2" x14ac:dyDescent="0.35">
      <c r="A9229">
        <v>2491</v>
      </c>
      <c r="B9229">
        <v>1</v>
      </c>
    </row>
    <row r="9230" spans="1:2" x14ac:dyDescent="0.35">
      <c r="A9230">
        <v>2495</v>
      </c>
      <c r="B9230">
        <v>1</v>
      </c>
    </row>
    <row r="9231" spans="1:2" x14ac:dyDescent="0.35">
      <c r="A9231">
        <v>2498</v>
      </c>
      <c r="B9231">
        <v>1</v>
      </c>
    </row>
    <row r="9232" spans="1:2" x14ac:dyDescent="0.35">
      <c r="A9232">
        <v>2503</v>
      </c>
      <c r="B9232">
        <v>1</v>
      </c>
    </row>
    <row r="9233" spans="1:2" x14ac:dyDescent="0.35">
      <c r="A9233">
        <v>2511</v>
      </c>
      <c r="B9233">
        <v>1</v>
      </c>
    </row>
    <row r="9234" spans="1:2" x14ac:dyDescent="0.35">
      <c r="A9234">
        <v>2511</v>
      </c>
      <c r="B9234">
        <v>1</v>
      </c>
    </row>
    <row r="9235" spans="1:2" x14ac:dyDescent="0.35">
      <c r="A9235">
        <v>2511</v>
      </c>
      <c r="B9235">
        <v>1</v>
      </c>
    </row>
    <row r="9236" spans="1:2" x14ac:dyDescent="0.35">
      <c r="A9236">
        <v>2517</v>
      </c>
      <c r="B9236">
        <v>1</v>
      </c>
    </row>
    <row r="9237" spans="1:2" x14ac:dyDescent="0.35">
      <c r="A9237">
        <v>2519</v>
      </c>
      <c r="B9237">
        <v>1</v>
      </c>
    </row>
    <row r="9238" spans="1:2" x14ac:dyDescent="0.35">
      <c r="A9238">
        <v>2521</v>
      </c>
      <c r="B9238">
        <v>1</v>
      </c>
    </row>
    <row r="9239" spans="1:2" x14ac:dyDescent="0.35">
      <c r="A9239">
        <v>2534</v>
      </c>
      <c r="B9239">
        <v>1</v>
      </c>
    </row>
    <row r="9240" spans="1:2" x14ac:dyDescent="0.35">
      <c r="A9240">
        <v>2536</v>
      </c>
      <c r="B9240">
        <v>1</v>
      </c>
    </row>
    <row r="9241" spans="1:2" x14ac:dyDescent="0.35">
      <c r="A9241">
        <v>2537</v>
      </c>
      <c r="B9241">
        <v>1</v>
      </c>
    </row>
    <row r="9242" spans="1:2" x14ac:dyDescent="0.35">
      <c r="A9242">
        <v>2540</v>
      </c>
      <c r="B9242">
        <v>1</v>
      </c>
    </row>
    <row r="9243" spans="1:2" x14ac:dyDescent="0.35">
      <c r="A9243">
        <v>2542</v>
      </c>
      <c r="B9243">
        <v>1</v>
      </c>
    </row>
    <row r="9244" spans="1:2" x14ac:dyDescent="0.35">
      <c r="A9244">
        <v>2549</v>
      </c>
      <c r="B9244">
        <v>1</v>
      </c>
    </row>
    <row r="9245" spans="1:2" x14ac:dyDescent="0.35">
      <c r="A9245">
        <v>2551</v>
      </c>
      <c r="B9245">
        <v>1</v>
      </c>
    </row>
    <row r="9246" spans="1:2" x14ac:dyDescent="0.35">
      <c r="A9246">
        <v>2553</v>
      </c>
      <c r="B9246">
        <v>1</v>
      </c>
    </row>
    <row r="9247" spans="1:2" x14ac:dyDescent="0.35">
      <c r="A9247">
        <v>2554</v>
      </c>
      <c r="B9247">
        <v>1</v>
      </c>
    </row>
    <row r="9248" spans="1:2" x14ac:dyDescent="0.35">
      <c r="A9248">
        <v>2555</v>
      </c>
      <c r="B9248">
        <v>1</v>
      </c>
    </row>
    <row r="9249" spans="1:2" x14ac:dyDescent="0.35">
      <c r="A9249">
        <v>2564</v>
      </c>
      <c r="B9249">
        <v>1</v>
      </c>
    </row>
    <row r="9250" spans="1:2" x14ac:dyDescent="0.35">
      <c r="A9250">
        <v>2567</v>
      </c>
      <c r="B9250">
        <v>1</v>
      </c>
    </row>
    <row r="9251" spans="1:2" x14ac:dyDescent="0.35">
      <c r="A9251">
        <v>2568</v>
      </c>
      <c r="B9251">
        <v>1</v>
      </c>
    </row>
    <row r="9252" spans="1:2" x14ac:dyDescent="0.35">
      <c r="A9252">
        <v>2570</v>
      </c>
      <c r="B9252">
        <v>1</v>
      </c>
    </row>
    <row r="9253" spans="1:2" x14ac:dyDescent="0.35">
      <c r="A9253">
        <v>2571</v>
      </c>
      <c r="B9253">
        <v>1</v>
      </c>
    </row>
    <row r="9254" spans="1:2" x14ac:dyDescent="0.35">
      <c r="A9254">
        <v>2574</v>
      </c>
      <c r="B9254">
        <v>1</v>
      </c>
    </row>
    <row r="9255" spans="1:2" x14ac:dyDescent="0.35">
      <c r="A9255">
        <v>2581</v>
      </c>
      <c r="B9255">
        <v>1</v>
      </c>
    </row>
    <row r="9256" spans="1:2" x14ac:dyDescent="0.35">
      <c r="A9256">
        <v>2586</v>
      </c>
      <c r="B9256">
        <v>1</v>
      </c>
    </row>
    <row r="9257" spans="1:2" x14ac:dyDescent="0.35">
      <c r="A9257">
        <v>2593</v>
      </c>
      <c r="B9257">
        <v>1</v>
      </c>
    </row>
    <row r="9258" spans="1:2" x14ac:dyDescent="0.35">
      <c r="A9258">
        <v>2597</v>
      </c>
      <c r="B9258">
        <v>1</v>
      </c>
    </row>
    <row r="9259" spans="1:2" x14ac:dyDescent="0.35">
      <c r="A9259">
        <v>2600</v>
      </c>
      <c r="B9259">
        <v>1</v>
      </c>
    </row>
    <row r="9260" spans="1:2" x14ac:dyDescent="0.35">
      <c r="A9260">
        <v>2601</v>
      </c>
      <c r="B9260">
        <v>1</v>
      </c>
    </row>
    <row r="9261" spans="1:2" x14ac:dyDescent="0.35">
      <c r="A9261">
        <v>2609</v>
      </c>
      <c r="B9261">
        <v>1</v>
      </c>
    </row>
    <row r="9262" spans="1:2" x14ac:dyDescent="0.35">
      <c r="A9262">
        <v>2611</v>
      </c>
      <c r="B9262">
        <v>1</v>
      </c>
    </row>
    <row r="9263" spans="1:2" x14ac:dyDescent="0.35">
      <c r="A9263">
        <v>2613</v>
      </c>
      <c r="B9263">
        <v>1</v>
      </c>
    </row>
    <row r="9264" spans="1:2" x14ac:dyDescent="0.35">
      <c r="A9264">
        <v>2616</v>
      </c>
      <c r="B9264">
        <v>1</v>
      </c>
    </row>
    <row r="9265" spans="1:2" x14ac:dyDescent="0.35">
      <c r="A9265">
        <v>2617</v>
      </c>
      <c r="B9265">
        <v>1</v>
      </c>
    </row>
    <row r="9266" spans="1:2" x14ac:dyDescent="0.35">
      <c r="A9266">
        <v>2619</v>
      </c>
      <c r="B9266">
        <v>1</v>
      </c>
    </row>
    <row r="9267" spans="1:2" x14ac:dyDescent="0.35">
      <c r="A9267">
        <v>2628</v>
      </c>
      <c r="B9267">
        <v>1</v>
      </c>
    </row>
    <row r="9268" spans="1:2" x14ac:dyDescent="0.35">
      <c r="A9268">
        <v>2630</v>
      </c>
      <c r="B9268">
        <v>1</v>
      </c>
    </row>
    <row r="9269" spans="1:2" x14ac:dyDescent="0.35">
      <c r="A9269">
        <v>2632</v>
      </c>
      <c r="B9269">
        <v>1</v>
      </c>
    </row>
    <row r="9270" spans="1:2" x14ac:dyDescent="0.35">
      <c r="A9270">
        <v>2633</v>
      </c>
      <c r="B9270">
        <v>1</v>
      </c>
    </row>
    <row r="9271" spans="1:2" x14ac:dyDescent="0.35">
      <c r="A9271">
        <v>2633</v>
      </c>
      <c r="B9271">
        <v>1</v>
      </c>
    </row>
    <row r="9272" spans="1:2" x14ac:dyDescent="0.35">
      <c r="A9272">
        <v>2635</v>
      </c>
      <c r="B9272">
        <v>1</v>
      </c>
    </row>
    <row r="9273" spans="1:2" x14ac:dyDescent="0.35">
      <c r="A9273">
        <v>2639</v>
      </c>
      <c r="B9273">
        <v>1</v>
      </c>
    </row>
    <row r="9274" spans="1:2" x14ac:dyDescent="0.35">
      <c r="A9274">
        <v>2641</v>
      </c>
      <c r="B9274">
        <v>1</v>
      </c>
    </row>
    <row r="9275" spans="1:2" x14ac:dyDescent="0.35">
      <c r="A9275">
        <v>2646</v>
      </c>
      <c r="B9275">
        <v>1</v>
      </c>
    </row>
    <row r="9276" spans="1:2" x14ac:dyDescent="0.35">
      <c r="A9276">
        <v>2647</v>
      </c>
      <c r="B9276">
        <v>1</v>
      </c>
    </row>
    <row r="9277" spans="1:2" x14ac:dyDescent="0.35">
      <c r="A9277">
        <v>2647</v>
      </c>
      <c r="B9277">
        <v>1</v>
      </c>
    </row>
    <row r="9278" spans="1:2" x14ac:dyDescent="0.35">
      <c r="A9278">
        <v>2653</v>
      </c>
      <c r="B9278">
        <v>1</v>
      </c>
    </row>
    <row r="9279" spans="1:2" x14ac:dyDescent="0.35">
      <c r="A9279">
        <v>2666</v>
      </c>
      <c r="B9279">
        <v>1</v>
      </c>
    </row>
    <row r="9280" spans="1:2" x14ac:dyDescent="0.35">
      <c r="A9280">
        <v>2671</v>
      </c>
      <c r="B9280">
        <v>1</v>
      </c>
    </row>
    <row r="9281" spans="1:2" x14ac:dyDescent="0.35">
      <c r="A9281">
        <v>2672</v>
      </c>
      <c r="B9281">
        <v>1</v>
      </c>
    </row>
    <row r="9282" spans="1:2" x14ac:dyDescent="0.35">
      <c r="A9282">
        <v>2676</v>
      </c>
      <c r="B9282">
        <v>1</v>
      </c>
    </row>
    <row r="9283" spans="1:2" x14ac:dyDescent="0.35">
      <c r="A9283">
        <v>2687</v>
      </c>
      <c r="B9283">
        <v>1</v>
      </c>
    </row>
    <row r="9284" spans="1:2" x14ac:dyDescent="0.35">
      <c r="A9284">
        <v>2690</v>
      </c>
      <c r="B9284">
        <v>1</v>
      </c>
    </row>
    <row r="9285" spans="1:2" x14ac:dyDescent="0.35">
      <c r="A9285">
        <v>2692</v>
      </c>
      <c r="B9285">
        <v>1</v>
      </c>
    </row>
    <row r="9286" spans="1:2" x14ac:dyDescent="0.35">
      <c r="A9286">
        <v>2693</v>
      </c>
      <c r="B9286">
        <v>1</v>
      </c>
    </row>
    <row r="9287" spans="1:2" x14ac:dyDescent="0.35">
      <c r="A9287">
        <v>2694</v>
      </c>
      <c r="B9287">
        <v>1</v>
      </c>
    </row>
    <row r="9288" spans="1:2" x14ac:dyDescent="0.35">
      <c r="A9288">
        <v>2702</v>
      </c>
      <c r="B9288">
        <v>1</v>
      </c>
    </row>
    <row r="9289" spans="1:2" x14ac:dyDescent="0.35">
      <c r="A9289">
        <v>2703</v>
      </c>
      <c r="B9289">
        <v>1</v>
      </c>
    </row>
    <row r="9290" spans="1:2" x14ac:dyDescent="0.35">
      <c r="A9290">
        <v>2706</v>
      </c>
      <c r="B9290">
        <v>1</v>
      </c>
    </row>
    <row r="9291" spans="1:2" x14ac:dyDescent="0.35">
      <c r="A9291">
        <v>2709</v>
      </c>
      <c r="B9291">
        <v>1</v>
      </c>
    </row>
    <row r="9292" spans="1:2" x14ac:dyDescent="0.35">
      <c r="A9292">
        <v>2713</v>
      </c>
      <c r="B9292">
        <v>1</v>
      </c>
    </row>
    <row r="9293" spans="1:2" x14ac:dyDescent="0.35">
      <c r="A9293">
        <v>2720</v>
      </c>
      <c r="B9293">
        <v>1</v>
      </c>
    </row>
    <row r="9294" spans="1:2" x14ac:dyDescent="0.35">
      <c r="A9294">
        <v>2734</v>
      </c>
      <c r="B9294">
        <v>1</v>
      </c>
    </row>
    <row r="9295" spans="1:2" x14ac:dyDescent="0.35">
      <c r="A9295">
        <v>2735</v>
      </c>
      <c r="B9295">
        <v>1</v>
      </c>
    </row>
    <row r="9296" spans="1:2" x14ac:dyDescent="0.35">
      <c r="A9296">
        <v>2740</v>
      </c>
      <c r="B9296">
        <v>1</v>
      </c>
    </row>
    <row r="9297" spans="1:2" x14ac:dyDescent="0.35">
      <c r="A9297">
        <v>2751</v>
      </c>
      <c r="B9297">
        <v>1</v>
      </c>
    </row>
    <row r="9298" spans="1:2" x14ac:dyDescent="0.35">
      <c r="A9298">
        <v>2755</v>
      </c>
      <c r="B9298">
        <v>1</v>
      </c>
    </row>
    <row r="9299" spans="1:2" x14ac:dyDescent="0.35">
      <c r="A9299">
        <v>2760</v>
      </c>
      <c r="B9299">
        <v>1</v>
      </c>
    </row>
    <row r="9300" spans="1:2" x14ac:dyDescent="0.35">
      <c r="A9300">
        <v>2760</v>
      </c>
      <c r="B9300">
        <v>1</v>
      </c>
    </row>
    <row r="9301" spans="1:2" x14ac:dyDescent="0.35">
      <c r="A9301">
        <v>2772</v>
      </c>
      <c r="B9301">
        <v>1</v>
      </c>
    </row>
    <row r="9302" spans="1:2" x14ac:dyDescent="0.35">
      <c r="A9302">
        <v>2776</v>
      </c>
      <c r="B9302">
        <v>1</v>
      </c>
    </row>
    <row r="9303" spans="1:2" x14ac:dyDescent="0.35">
      <c r="A9303">
        <v>2777</v>
      </c>
      <c r="B9303">
        <v>1</v>
      </c>
    </row>
    <row r="9304" spans="1:2" x14ac:dyDescent="0.35">
      <c r="A9304">
        <v>2777</v>
      </c>
      <c r="B9304">
        <v>1</v>
      </c>
    </row>
    <row r="9305" spans="1:2" x14ac:dyDescent="0.35">
      <c r="A9305">
        <v>2778</v>
      </c>
      <c r="B9305">
        <v>1</v>
      </c>
    </row>
    <row r="9306" spans="1:2" x14ac:dyDescent="0.35">
      <c r="A9306">
        <v>2779</v>
      </c>
      <c r="B9306">
        <v>1</v>
      </c>
    </row>
    <row r="9307" spans="1:2" x14ac:dyDescent="0.35">
      <c r="A9307">
        <v>2781</v>
      </c>
      <c r="B9307">
        <v>1</v>
      </c>
    </row>
    <row r="9308" spans="1:2" x14ac:dyDescent="0.35">
      <c r="A9308">
        <v>2790</v>
      </c>
      <c r="B9308">
        <v>1</v>
      </c>
    </row>
    <row r="9309" spans="1:2" x14ac:dyDescent="0.35">
      <c r="A9309">
        <v>2792</v>
      </c>
      <c r="B9309">
        <v>1</v>
      </c>
    </row>
    <row r="9310" spans="1:2" x14ac:dyDescent="0.35">
      <c r="A9310">
        <v>2793</v>
      </c>
      <c r="B9310">
        <v>1</v>
      </c>
    </row>
    <row r="9311" spans="1:2" x14ac:dyDescent="0.35">
      <c r="A9311">
        <v>2801</v>
      </c>
      <c r="B9311">
        <v>1</v>
      </c>
    </row>
    <row r="9312" spans="1:2" x14ac:dyDescent="0.35">
      <c r="A9312">
        <v>2804</v>
      </c>
      <c r="B9312">
        <v>1</v>
      </c>
    </row>
    <row r="9313" spans="1:2" x14ac:dyDescent="0.35">
      <c r="A9313">
        <v>2806</v>
      </c>
      <c r="B9313">
        <v>1</v>
      </c>
    </row>
    <row r="9314" spans="1:2" x14ac:dyDescent="0.35">
      <c r="A9314">
        <v>2809</v>
      </c>
      <c r="B9314">
        <v>1</v>
      </c>
    </row>
    <row r="9315" spans="1:2" x14ac:dyDescent="0.35">
      <c r="A9315">
        <v>2810</v>
      </c>
      <c r="B9315">
        <v>1</v>
      </c>
    </row>
    <row r="9316" spans="1:2" x14ac:dyDescent="0.35">
      <c r="A9316">
        <v>2812</v>
      </c>
      <c r="B9316">
        <v>1</v>
      </c>
    </row>
    <row r="9317" spans="1:2" x14ac:dyDescent="0.35">
      <c r="A9317">
        <v>2813</v>
      </c>
      <c r="B9317">
        <v>1</v>
      </c>
    </row>
    <row r="9318" spans="1:2" x14ac:dyDescent="0.35">
      <c r="A9318">
        <v>2824</v>
      </c>
      <c r="B9318">
        <v>1</v>
      </c>
    </row>
    <row r="9319" spans="1:2" x14ac:dyDescent="0.35">
      <c r="A9319">
        <v>2833</v>
      </c>
      <c r="B9319">
        <v>1</v>
      </c>
    </row>
    <row r="9320" spans="1:2" x14ac:dyDescent="0.35">
      <c r="A9320">
        <v>2834</v>
      </c>
      <c r="B9320">
        <v>1</v>
      </c>
    </row>
    <row r="9321" spans="1:2" x14ac:dyDescent="0.35">
      <c r="A9321">
        <v>2838</v>
      </c>
      <c r="B9321">
        <v>1</v>
      </c>
    </row>
    <row r="9322" spans="1:2" x14ac:dyDescent="0.35">
      <c r="A9322">
        <v>2841</v>
      </c>
      <c r="B9322">
        <v>1</v>
      </c>
    </row>
    <row r="9323" spans="1:2" x14ac:dyDescent="0.35">
      <c r="A9323">
        <v>2841</v>
      </c>
      <c r="B9323">
        <v>1</v>
      </c>
    </row>
    <row r="9324" spans="1:2" x14ac:dyDescent="0.35">
      <c r="A9324">
        <v>2844</v>
      </c>
      <c r="B9324">
        <v>1</v>
      </c>
    </row>
    <row r="9325" spans="1:2" x14ac:dyDescent="0.35">
      <c r="A9325">
        <v>2847</v>
      </c>
      <c r="B9325">
        <v>1</v>
      </c>
    </row>
    <row r="9326" spans="1:2" x14ac:dyDescent="0.35">
      <c r="A9326">
        <v>2849</v>
      </c>
      <c r="B9326">
        <v>1</v>
      </c>
    </row>
    <row r="9327" spans="1:2" x14ac:dyDescent="0.35">
      <c r="A9327">
        <v>2849</v>
      </c>
      <c r="B9327">
        <v>1</v>
      </c>
    </row>
    <row r="9328" spans="1:2" x14ac:dyDescent="0.35">
      <c r="A9328">
        <v>2853</v>
      </c>
      <c r="B9328">
        <v>1</v>
      </c>
    </row>
    <row r="9329" spans="1:2" x14ac:dyDescent="0.35">
      <c r="A9329">
        <v>2856</v>
      </c>
      <c r="B9329">
        <v>1</v>
      </c>
    </row>
    <row r="9330" spans="1:2" x14ac:dyDescent="0.35">
      <c r="A9330">
        <v>2857</v>
      </c>
      <c r="B9330">
        <v>1</v>
      </c>
    </row>
    <row r="9331" spans="1:2" x14ac:dyDescent="0.35">
      <c r="A9331">
        <v>2859</v>
      </c>
      <c r="B9331">
        <v>1</v>
      </c>
    </row>
    <row r="9332" spans="1:2" x14ac:dyDescent="0.35">
      <c r="A9332">
        <v>2860</v>
      </c>
      <c r="B9332">
        <v>1</v>
      </c>
    </row>
    <row r="9333" spans="1:2" x14ac:dyDescent="0.35">
      <c r="A9333">
        <v>2868</v>
      </c>
      <c r="B9333">
        <v>1</v>
      </c>
    </row>
    <row r="9334" spans="1:2" x14ac:dyDescent="0.35">
      <c r="A9334">
        <v>2871</v>
      </c>
      <c r="B9334">
        <v>1</v>
      </c>
    </row>
    <row r="9335" spans="1:2" x14ac:dyDescent="0.35">
      <c r="A9335">
        <v>2879</v>
      </c>
      <c r="B9335">
        <v>1</v>
      </c>
    </row>
    <row r="9336" spans="1:2" x14ac:dyDescent="0.35">
      <c r="A9336">
        <v>2879</v>
      </c>
      <c r="B9336">
        <v>1</v>
      </c>
    </row>
    <row r="9337" spans="1:2" x14ac:dyDescent="0.35">
      <c r="A9337">
        <v>2881</v>
      </c>
      <c r="B9337">
        <v>1</v>
      </c>
    </row>
    <row r="9338" spans="1:2" x14ac:dyDescent="0.35">
      <c r="A9338">
        <v>2883</v>
      </c>
      <c r="B9338">
        <v>1</v>
      </c>
    </row>
    <row r="9339" spans="1:2" x14ac:dyDescent="0.35">
      <c r="A9339">
        <v>2884</v>
      </c>
      <c r="B9339">
        <v>1</v>
      </c>
    </row>
    <row r="9340" spans="1:2" x14ac:dyDescent="0.35">
      <c r="A9340">
        <v>2889</v>
      </c>
      <c r="B9340">
        <v>1</v>
      </c>
    </row>
    <row r="9341" spans="1:2" x14ac:dyDescent="0.35">
      <c r="A9341">
        <v>2894</v>
      </c>
      <c r="B9341">
        <v>1</v>
      </c>
    </row>
    <row r="9342" spans="1:2" x14ac:dyDescent="0.35">
      <c r="A9342">
        <v>2895</v>
      </c>
      <c r="B9342">
        <v>1</v>
      </c>
    </row>
    <row r="9343" spans="1:2" x14ac:dyDescent="0.35">
      <c r="A9343">
        <v>2904</v>
      </c>
      <c r="B9343">
        <v>1</v>
      </c>
    </row>
    <row r="9344" spans="1:2" x14ac:dyDescent="0.35">
      <c r="A9344">
        <v>2904</v>
      </c>
      <c r="B9344">
        <v>1</v>
      </c>
    </row>
    <row r="9345" spans="1:2" x14ac:dyDescent="0.35">
      <c r="A9345">
        <v>2910</v>
      </c>
      <c r="B9345">
        <v>1</v>
      </c>
    </row>
    <row r="9346" spans="1:2" x14ac:dyDescent="0.35">
      <c r="A9346">
        <v>2913</v>
      </c>
      <c r="B9346">
        <v>1</v>
      </c>
    </row>
    <row r="9347" spans="1:2" x14ac:dyDescent="0.35">
      <c r="A9347">
        <v>2914</v>
      </c>
      <c r="B9347">
        <v>1</v>
      </c>
    </row>
    <row r="9348" spans="1:2" x14ac:dyDescent="0.35">
      <c r="A9348">
        <v>2918</v>
      </c>
      <c r="B9348">
        <v>1</v>
      </c>
    </row>
    <row r="9349" spans="1:2" x14ac:dyDescent="0.35">
      <c r="A9349">
        <v>2930</v>
      </c>
      <c r="B9349">
        <v>1</v>
      </c>
    </row>
    <row r="9350" spans="1:2" x14ac:dyDescent="0.35">
      <c r="A9350">
        <v>2938</v>
      </c>
      <c r="B9350">
        <v>1</v>
      </c>
    </row>
    <row r="9351" spans="1:2" x14ac:dyDescent="0.35">
      <c r="A9351">
        <v>2939</v>
      </c>
      <c r="B9351">
        <v>1</v>
      </c>
    </row>
    <row r="9352" spans="1:2" x14ac:dyDescent="0.35">
      <c r="A9352">
        <v>2949</v>
      </c>
      <c r="B9352">
        <v>1</v>
      </c>
    </row>
    <row r="9353" spans="1:2" x14ac:dyDescent="0.35">
      <c r="A9353">
        <v>2960</v>
      </c>
      <c r="B9353">
        <v>1</v>
      </c>
    </row>
    <row r="9354" spans="1:2" x14ac:dyDescent="0.35">
      <c r="A9354">
        <v>2962</v>
      </c>
      <c r="B9354">
        <v>1</v>
      </c>
    </row>
    <row r="9355" spans="1:2" x14ac:dyDescent="0.35">
      <c r="A9355">
        <v>2966</v>
      </c>
      <c r="B9355">
        <v>1</v>
      </c>
    </row>
    <row r="9356" spans="1:2" x14ac:dyDescent="0.35">
      <c r="A9356">
        <v>2967</v>
      </c>
      <c r="B9356">
        <v>1</v>
      </c>
    </row>
    <row r="9357" spans="1:2" x14ac:dyDescent="0.35">
      <c r="A9357">
        <v>2969</v>
      </c>
      <c r="B9357">
        <v>1</v>
      </c>
    </row>
    <row r="9358" spans="1:2" x14ac:dyDescent="0.35">
      <c r="A9358">
        <v>2972</v>
      </c>
      <c r="B9358">
        <v>1</v>
      </c>
    </row>
    <row r="9359" spans="1:2" x14ac:dyDescent="0.35">
      <c r="A9359">
        <v>2973</v>
      </c>
      <c r="B9359">
        <v>1</v>
      </c>
    </row>
    <row r="9360" spans="1:2" x14ac:dyDescent="0.35">
      <c r="A9360">
        <v>2976</v>
      </c>
      <c r="B9360">
        <v>1</v>
      </c>
    </row>
    <row r="9361" spans="1:2" x14ac:dyDescent="0.35">
      <c r="A9361">
        <v>2977</v>
      </c>
      <c r="B9361">
        <v>1</v>
      </c>
    </row>
    <row r="9362" spans="1:2" x14ac:dyDescent="0.35">
      <c r="A9362">
        <v>2978</v>
      </c>
      <c r="B9362">
        <v>1</v>
      </c>
    </row>
    <row r="9363" spans="1:2" x14ac:dyDescent="0.35">
      <c r="A9363">
        <v>2980</v>
      </c>
      <c r="B9363">
        <v>1</v>
      </c>
    </row>
    <row r="9364" spans="1:2" x14ac:dyDescent="0.35">
      <c r="A9364">
        <v>2980</v>
      </c>
      <c r="B9364">
        <v>1</v>
      </c>
    </row>
    <row r="9365" spans="1:2" x14ac:dyDescent="0.35">
      <c r="A9365">
        <v>2980</v>
      </c>
      <c r="B9365">
        <v>1</v>
      </c>
    </row>
    <row r="9366" spans="1:2" x14ac:dyDescent="0.35">
      <c r="A9366">
        <v>2981</v>
      </c>
      <c r="B9366">
        <v>1</v>
      </c>
    </row>
    <row r="9367" spans="1:2" x14ac:dyDescent="0.35">
      <c r="A9367">
        <v>2981</v>
      </c>
      <c r="B9367">
        <v>1</v>
      </c>
    </row>
    <row r="9368" spans="1:2" x14ac:dyDescent="0.35">
      <c r="A9368">
        <v>2992</v>
      </c>
      <c r="B9368">
        <v>1</v>
      </c>
    </row>
    <row r="9369" spans="1:2" x14ac:dyDescent="0.35">
      <c r="A9369">
        <v>2994</v>
      </c>
      <c r="B9369">
        <v>1</v>
      </c>
    </row>
    <row r="9370" spans="1:2" x14ac:dyDescent="0.35">
      <c r="A9370">
        <v>3001</v>
      </c>
      <c r="B9370">
        <v>1</v>
      </c>
    </row>
    <row r="9371" spans="1:2" x14ac:dyDescent="0.35">
      <c r="A9371">
        <v>3005</v>
      </c>
      <c r="B9371">
        <v>1</v>
      </c>
    </row>
    <row r="9372" spans="1:2" x14ac:dyDescent="0.35">
      <c r="A9372">
        <v>3018</v>
      </c>
      <c r="B9372">
        <v>1</v>
      </c>
    </row>
    <row r="9373" spans="1:2" x14ac:dyDescent="0.35">
      <c r="A9373">
        <v>3018</v>
      </c>
      <c r="B9373">
        <v>1</v>
      </c>
    </row>
    <row r="9374" spans="1:2" x14ac:dyDescent="0.35">
      <c r="A9374">
        <v>3018</v>
      </c>
      <c r="B9374">
        <v>1</v>
      </c>
    </row>
    <row r="9375" spans="1:2" x14ac:dyDescent="0.35">
      <c r="A9375">
        <v>3019</v>
      </c>
      <c r="B9375">
        <v>1</v>
      </c>
    </row>
    <row r="9376" spans="1:2" x14ac:dyDescent="0.35">
      <c r="A9376">
        <v>3025</v>
      </c>
      <c r="B9376">
        <v>1</v>
      </c>
    </row>
    <row r="9377" spans="1:2" x14ac:dyDescent="0.35">
      <c r="A9377">
        <v>3026</v>
      </c>
      <c r="B9377">
        <v>1</v>
      </c>
    </row>
    <row r="9378" spans="1:2" x14ac:dyDescent="0.35">
      <c r="A9378">
        <v>3036</v>
      </c>
      <c r="B9378">
        <v>1</v>
      </c>
    </row>
    <row r="9379" spans="1:2" x14ac:dyDescent="0.35">
      <c r="A9379">
        <v>3041</v>
      </c>
      <c r="B9379">
        <v>1</v>
      </c>
    </row>
    <row r="9380" spans="1:2" x14ac:dyDescent="0.35">
      <c r="A9380">
        <v>3045</v>
      </c>
      <c r="B9380">
        <v>1</v>
      </c>
    </row>
    <row r="9381" spans="1:2" x14ac:dyDescent="0.35">
      <c r="A9381">
        <v>3047</v>
      </c>
      <c r="B9381">
        <v>1</v>
      </c>
    </row>
    <row r="9382" spans="1:2" x14ac:dyDescent="0.35">
      <c r="A9382">
        <v>3064</v>
      </c>
      <c r="B9382">
        <v>1</v>
      </c>
    </row>
    <row r="9383" spans="1:2" x14ac:dyDescent="0.35">
      <c r="A9383">
        <v>3068</v>
      </c>
      <c r="B9383">
        <v>1</v>
      </c>
    </row>
    <row r="9384" spans="1:2" x14ac:dyDescent="0.35">
      <c r="A9384">
        <v>3075</v>
      </c>
      <c r="B9384">
        <v>1</v>
      </c>
    </row>
    <row r="9385" spans="1:2" x14ac:dyDescent="0.35">
      <c r="A9385">
        <v>3075</v>
      </c>
      <c r="B9385">
        <v>1</v>
      </c>
    </row>
    <row r="9386" spans="1:2" x14ac:dyDescent="0.35">
      <c r="A9386">
        <v>3079</v>
      </c>
      <c r="B9386">
        <v>1</v>
      </c>
    </row>
    <row r="9387" spans="1:2" x14ac:dyDescent="0.35">
      <c r="A9387">
        <v>3092</v>
      </c>
      <c r="B9387">
        <v>1</v>
      </c>
    </row>
    <row r="9388" spans="1:2" x14ac:dyDescent="0.35">
      <c r="A9388">
        <v>3096</v>
      </c>
      <c r="B9388">
        <v>1</v>
      </c>
    </row>
    <row r="9389" spans="1:2" x14ac:dyDescent="0.35">
      <c r="A9389">
        <v>3097</v>
      </c>
      <c r="B9389">
        <v>1</v>
      </c>
    </row>
    <row r="9390" spans="1:2" x14ac:dyDescent="0.35">
      <c r="A9390">
        <v>3097</v>
      </c>
      <c r="B9390">
        <v>1</v>
      </c>
    </row>
    <row r="9391" spans="1:2" x14ac:dyDescent="0.35">
      <c r="A9391">
        <v>3098</v>
      </c>
      <c r="B9391">
        <v>1</v>
      </c>
    </row>
    <row r="9392" spans="1:2" x14ac:dyDescent="0.35">
      <c r="A9392">
        <v>3120</v>
      </c>
      <c r="B9392">
        <v>1</v>
      </c>
    </row>
    <row r="9393" spans="1:2" x14ac:dyDescent="0.35">
      <c r="A9393">
        <v>3121</v>
      </c>
      <c r="B9393">
        <v>1</v>
      </c>
    </row>
    <row r="9394" spans="1:2" x14ac:dyDescent="0.35">
      <c r="A9394">
        <v>3123</v>
      </c>
      <c r="B9394">
        <v>1</v>
      </c>
    </row>
    <row r="9395" spans="1:2" x14ac:dyDescent="0.35">
      <c r="A9395">
        <v>3136</v>
      </c>
      <c r="B9395">
        <v>1</v>
      </c>
    </row>
    <row r="9396" spans="1:2" x14ac:dyDescent="0.35">
      <c r="A9396">
        <v>3137</v>
      </c>
      <c r="B9396">
        <v>1</v>
      </c>
    </row>
    <row r="9397" spans="1:2" x14ac:dyDescent="0.35">
      <c r="A9397">
        <v>3141</v>
      </c>
      <c r="B9397">
        <v>1</v>
      </c>
    </row>
    <row r="9398" spans="1:2" x14ac:dyDescent="0.35">
      <c r="A9398">
        <v>3143</v>
      </c>
      <c r="B9398">
        <v>1</v>
      </c>
    </row>
    <row r="9399" spans="1:2" x14ac:dyDescent="0.35">
      <c r="A9399">
        <v>3145</v>
      </c>
      <c r="B9399">
        <v>1</v>
      </c>
    </row>
    <row r="9400" spans="1:2" x14ac:dyDescent="0.35">
      <c r="A9400">
        <v>3159</v>
      </c>
      <c r="B9400">
        <v>1</v>
      </c>
    </row>
    <row r="9401" spans="1:2" x14ac:dyDescent="0.35">
      <c r="A9401">
        <v>3162</v>
      </c>
      <c r="B9401">
        <v>1</v>
      </c>
    </row>
    <row r="9402" spans="1:2" x14ac:dyDescent="0.35">
      <c r="A9402">
        <v>3168</v>
      </c>
      <c r="B9402">
        <v>1</v>
      </c>
    </row>
    <row r="9403" spans="1:2" x14ac:dyDescent="0.35">
      <c r="A9403">
        <v>3170</v>
      </c>
      <c r="B9403">
        <v>1</v>
      </c>
    </row>
    <row r="9404" spans="1:2" x14ac:dyDescent="0.35">
      <c r="A9404">
        <v>3174</v>
      </c>
      <c r="B9404">
        <v>1</v>
      </c>
    </row>
    <row r="9405" spans="1:2" x14ac:dyDescent="0.35">
      <c r="A9405">
        <v>3190</v>
      </c>
      <c r="B9405">
        <v>1</v>
      </c>
    </row>
    <row r="9406" spans="1:2" x14ac:dyDescent="0.35">
      <c r="A9406">
        <v>3191</v>
      </c>
      <c r="B9406">
        <v>1</v>
      </c>
    </row>
    <row r="9407" spans="1:2" x14ac:dyDescent="0.35">
      <c r="A9407">
        <v>3202</v>
      </c>
      <c r="B9407">
        <v>1</v>
      </c>
    </row>
    <row r="9408" spans="1:2" x14ac:dyDescent="0.35">
      <c r="A9408">
        <v>3211</v>
      </c>
      <c r="B9408">
        <v>1</v>
      </c>
    </row>
    <row r="9409" spans="1:2" x14ac:dyDescent="0.35">
      <c r="A9409">
        <v>3212</v>
      </c>
      <c r="B9409">
        <v>1</v>
      </c>
    </row>
    <row r="9410" spans="1:2" x14ac:dyDescent="0.35">
      <c r="A9410">
        <v>3215</v>
      </c>
      <c r="B9410">
        <v>1</v>
      </c>
    </row>
    <row r="9411" spans="1:2" x14ac:dyDescent="0.35">
      <c r="A9411">
        <v>3224</v>
      </c>
      <c r="B9411">
        <v>1</v>
      </c>
    </row>
    <row r="9412" spans="1:2" x14ac:dyDescent="0.35">
      <c r="A9412">
        <v>3237</v>
      </c>
      <c r="B9412">
        <v>1</v>
      </c>
    </row>
    <row r="9413" spans="1:2" x14ac:dyDescent="0.35">
      <c r="A9413">
        <v>3248</v>
      </c>
      <c r="B9413">
        <v>1</v>
      </c>
    </row>
    <row r="9414" spans="1:2" x14ac:dyDescent="0.35">
      <c r="A9414">
        <v>3248</v>
      </c>
      <c r="B9414">
        <v>1</v>
      </c>
    </row>
    <row r="9415" spans="1:2" x14ac:dyDescent="0.35">
      <c r="A9415">
        <v>3254</v>
      </c>
      <c r="B9415">
        <v>1</v>
      </c>
    </row>
    <row r="9416" spans="1:2" x14ac:dyDescent="0.35">
      <c r="A9416">
        <v>3258</v>
      </c>
      <c r="B9416">
        <v>1</v>
      </c>
    </row>
    <row r="9417" spans="1:2" x14ac:dyDescent="0.35">
      <c r="A9417">
        <v>3264</v>
      </c>
      <c r="B9417">
        <v>1</v>
      </c>
    </row>
    <row r="9418" spans="1:2" x14ac:dyDescent="0.35">
      <c r="A9418">
        <v>3266</v>
      </c>
      <c r="B9418">
        <v>1</v>
      </c>
    </row>
    <row r="9419" spans="1:2" x14ac:dyDescent="0.35">
      <c r="A9419">
        <v>3267</v>
      </c>
      <c r="B9419">
        <v>1</v>
      </c>
    </row>
    <row r="9420" spans="1:2" x14ac:dyDescent="0.35">
      <c r="A9420">
        <v>3269</v>
      </c>
      <c r="B9420">
        <v>1</v>
      </c>
    </row>
    <row r="9421" spans="1:2" x14ac:dyDescent="0.35">
      <c r="A9421">
        <v>3274</v>
      </c>
      <c r="B9421">
        <v>1</v>
      </c>
    </row>
    <row r="9422" spans="1:2" x14ac:dyDescent="0.35">
      <c r="A9422">
        <v>3277</v>
      </c>
      <c r="B9422">
        <v>1</v>
      </c>
    </row>
    <row r="9423" spans="1:2" x14ac:dyDescent="0.35">
      <c r="A9423">
        <v>3282</v>
      </c>
      <c r="B9423">
        <v>1</v>
      </c>
    </row>
    <row r="9424" spans="1:2" x14ac:dyDescent="0.35">
      <c r="A9424">
        <v>3284</v>
      </c>
      <c r="B9424">
        <v>1</v>
      </c>
    </row>
    <row r="9425" spans="1:2" x14ac:dyDescent="0.35">
      <c r="A9425">
        <v>3288</v>
      </c>
      <c r="B9425">
        <v>1</v>
      </c>
    </row>
    <row r="9426" spans="1:2" x14ac:dyDescent="0.35">
      <c r="A9426">
        <v>3290</v>
      </c>
      <c r="B9426">
        <v>1</v>
      </c>
    </row>
    <row r="9427" spans="1:2" x14ac:dyDescent="0.35">
      <c r="A9427">
        <v>3301</v>
      </c>
      <c r="B9427">
        <v>1</v>
      </c>
    </row>
    <row r="9428" spans="1:2" x14ac:dyDescent="0.35">
      <c r="A9428">
        <v>3308</v>
      </c>
      <c r="B9428">
        <v>1</v>
      </c>
    </row>
    <row r="9429" spans="1:2" x14ac:dyDescent="0.35">
      <c r="A9429">
        <v>3317</v>
      </c>
      <c r="B9429">
        <v>1</v>
      </c>
    </row>
    <row r="9430" spans="1:2" x14ac:dyDescent="0.35">
      <c r="A9430">
        <v>3319</v>
      </c>
      <c r="B9430">
        <v>1</v>
      </c>
    </row>
    <row r="9431" spans="1:2" x14ac:dyDescent="0.35">
      <c r="A9431">
        <v>3345</v>
      </c>
      <c r="B9431">
        <v>1</v>
      </c>
    </row>
    <row r="9432" spans="1:2" x14ac:dyDescent="0.35">
      <c r="A9432">
        <v>3345</v>
      </c>
      <c r="B9432">
        <v>1</v>
      </c>
    </row>
    <row r="9433" spans="1:2" x14ac:dyDescent="0.35">
      <c r="A9433">
        <v>3351</v>
      </c>
      <c r="B9433">
        <v>1</v>
      </c>
    </row>
    <row r="9434" spans="1:2" x14ac:dyDescent="0.35">
      <c r="A9434">
        <v>3363</v>
      </c>
      <c r="B9434">
        <v>1</v>
      </c>
    </row>
    <row r="9435" spans="1:2" x14ac:dyDescent="0.35">
      <c r="A9435">
        <v>3368</v>
      </c>
      <c r="B9435">
        <v>1</v>
      </c>
    </row>
    <row r="9436" spans="1:2" x14ac:dyDescent="0.35">
      <c r="A9436">
        <v>3379</v>
      </c>
      <c r="B9436">
        <v>1</v>
      </c>
    </row>
    <row r="9437" spans="1:2" x14ac:dyDescent="0.35">
      <c r="A9437">
        <v>3379</v>
      </c>
      <c r="B9437">
        <v>1</v>
      </c>
    </row>
    <row r="9438" spans="1:2" x14ac:dyDescent="0.35">
      <c r="A9438">
        <v>3383</v>
      </c>
      <c r="B9438">
        <v>1</v>
      </c>
    </row>
    <row r="9439" spans="1:2" x14ac:dyDescent="0.35">
      <c r="A9439">
        <v>3388</v>
      </c>
      <c r="B9439">
        <v>1</v>
      </c>
    </row>
    <row r="9440" spans="1:2" x14ac:dyDescent="0.35">
      <c r="A9440">
        <v>3400</v>
      </c>
      <c r="B9440">
        <v>1</v>
      </c>
    </row>
    <row r="9441" spans="1:2" x14ac:dyDescent="0.35">
      <c r="A9441">
        <v>3400</v>
      </c>
      <c r="B9441">
        <v>1</v>
      </c>
    </row>
    <row r="9442" spans="1:2" x14ac:dyDescent="0.35">
      <c r="A9442">
        <v>3408</v>
      </c>
      <c r="B9442">
        <v>1</v>
      </c>
    </row>
    <row r="9443" spans="1:2" x14ac:dyDescent="0.35">
      <c r="A9443">
        <v>3409</v>
      </c>
      <c r="B9443">
        <v>1</v>
      </c>
    </row>
    <row r="9444" spans="1:2" x14ac:dyDescent="0.35">
      <c r="A9444">
        <v>3413</v>
      </c>
      <c r="B9444">
        <v>1</v>
      </c>
    </row>
    <row r="9445" spans="1:2" x14ac:dyDescent="0.35">
      <c r="A9445">
        <v>3417</v>
      </c>
      <c r="B9445">
        <v>1</v>
      </c>
    </row>
    <row r="9446" spans="1:2" x14ac:dyDescent="0.35">
      <c r="A9446">
        <v>3422</v>
      </c>
      <c r="B9446">
        <v>1</v>
      </c>
    </row>
    <row r="9447" spans="1:2" x14ac:dyDescent="0.35">
      <c r="A9447">
        <v>3423</v>
      </c>
      <c r="B9447">
        <v>1</v>
      </c>
    </row>
    <row r="9448" spans="1:2" x14ac:dyDescent="0.35">
      <c r="A9448">
        <v>3424</v>
      </c>
      <c r="B9448">
        <v>1</v>
      </c>
    </row>
    <row r="9449" spans="1:2" x14ac:dyDescent="0.35">
      <c r="A9449">
        <v>3432</v>
      </c>
      <c r="B9449">
        <v>1</v>
      </c>
    </row>
    <row r="9450" spans="1:2" x14ac:dyDescent="0.35">
      <c r="A9450">
        <v>3449</v>
      </c>
      <c r="B9450">
        <v>1</v>
      </c>
    </row>
    <row r="9451" spans="1:2" x14ac:dyDescent="0.35">
      <c r="A9451">
        <v>3455</v>
      </c>
      <c r="B9451">
        <v>1</v>
      </c>
    </row>
    <row r="9452" spans="1:2" x14ac:dyDescent="0.35">
      <c r="A9452">
        <v>3461</v>
      </c>
      <c r="B9452">
        <v>1</v>
      </c>
    </row>
    <row r="9453" spans="1:2" x14ac:dyDescent="0.35">
      <c r="A9453">
        <v>3462</v>
      </c>
      <c r="B9453">
        <v>1</v>
      </c>
    </row>
    <row r="9454" spans="1:2" x14ac:dyDescent="0.35">
      <c r="A9454">
        <v>3462</v>
      </c>
      <c r="B9454">
        <v>1</v>
      </c>
    </row>
    <row r="9455" spans="1:2" x14ac:dyDescent="0.35">
      <c r="A9455">
        <v>3462</v>
      </c>
      <c r="B9455">
        <v>1</v>
      </c>
    </row>
    <row r="9456" spans="1:2" x14ac:dyDescent="0.35">
      <c r="A9456">
        <v>3463</v>
      </c>
      <c r="B9456">
        <v>1</v>
      </c>
    </row>
    <row r="9457" spans="1:2" x14ac:dyDescent="0.35">
      <c r="A9457">
        <v>3469</v>
      </c>
      <c r="B9457">
        <v>1</v>
      </c>
    </row>
    <row r="9458" spans="1:2" x14ac:dyDescent="0.35">
      <c r="A9458">
        <v>3503</v>
      </c>
      <c r="B9458">
        <v>1</v>
      </c>
    </row>
    <row r="9459" spans="1:2" x14ac:dyDescent="0.35">
      <c r="A9459">
        <v>3505</v>
      </c>
      <c r="B9459">
        <v>1</v>
      </c>
    </row>
    <row r="9460" spans="1:2" x14ac:dyDescent="0.35">
      <c r="A9460">
        <v>3506</v>
      </c>
      <c r="B9460">
        <v>1</v>
      </c>
    </row>
    <row r="9461" spans="1:2" x14ac:dyDescent="0.35">
      <c r="A9461">
        <v>3511</v>
      </c>
      <c r="B9461">
        <v>1</v>
      </c>
    </row>
    <row r="9462" spans="1:2" x14ac:dyDescent="0.35">
      <c r="A9462">
        <v>3512</v>
      </c>
      <c r="B9462">
        <v>1</v>
      </c>
    </row>
    <row r="9463" spans="1:2" x14ac:dyDescent="0.35">
      <c r="A9463">
        <v>3520</v>
      </c>
      <c r="B9463">
        <v>1</v>
      </c>
    </row>
    <row r="9464" spans="1:2" x14ac:dyDescent="0.35">
      <c r="A9464">
        <v>3522</v>
      </c>
      <c r="B9464">
        <v>1</v>
      </c>
    </row>
    <row r="9465" spans="1:2" x14ac:dyDescent="0.35">
      <c r="A9465">
        <v>3532</v>
      </c>
      <c r="B9465">
        <v>1</v>
      </c>
    </row>
    <row r="9466" spans="1:2" x14ac:dyDescent="0.35">
      <c r="A9466">
        <v>3533</v>
      </c>
      <c r="B9466">
        <v>1</v>
      </c>
    </row>
    <row r="9467" spans="1:2" x14ac:dyDescent="0.35">
      <c r="A9467">
        <v>3539</v>
      </c>
      <c r="B9467">
        <v>1</v>
      </c>
    </row>
    <row r="9468" spans="1:2" x14ac:dyDescent="0.35">
      <c r="A9468">
        <v>3541</v>
      </c>
      <c r="B9468">
        <v>1</v>
      </c>
    </row>
    <row r="9469" spans="1:2" x14ac:dyDescent="0.35">
      <c r="A9469">
        <v>3544</v>
      </c>
      <c r="B9469">
        <v>1</v>
      </c>
    </row>
    <row r="9470" spans="1:2" x14ac:dyDescent="0.35">
      <c r="A9470">
        <v>3556</v>
      </c>
      <c r="B9470">
        <v>1</v>
      </c>
    </row>
    <row r="9471" spans="1:2" x14ac:dyDescent="0.35">
      <c r="A9471">
        <v>3573</v>
      </c>
      <c r="B9471">
        <v>1</v>
      </c>
    </row>
    <row r="9472" spans="1:2" x14ac:dyDescent="0.35">
      <c r="A9472">
        <v>3580</v>
      </c>
      <c r="B9472">
        <v>1</v>
      </c>
    </row>
    <row r="9473" spans="1:2" x14ac:dyDescent="0.35">
      <c r="A9473">
        <v>3587</v>
      </c>
      <c r="B9473">
        <v>1</v>
      </c>
    </row>
    <row r="9474" spans="1:2" x14ac:dyDescent="0.35">
      <c r="A9474">
        <v>3588</v>
      </c>
      <c r="B9474">
        <v>1</v>
      </c>
    </row>
    <row r="9475" spans="1:2" x14ac:dyDescent="0.35">
      <c r="A9475">
        <v>3594</v>
      </c>
      <c r="B9475">
        <v>1</v>
      </c>
    </row>
    <row r="9476" spans="1:2" x14ac:dyDescent="0.35">
      <c r="A9476">
        <v>3599</v>
      </c>
      <c r="B9476">
        <v>1</v>
      </c>
    </row>
    <row r="9477" spans="1:2" x14ac:dyDescent="0.35">
      <c r="A9477">
        <v>3607</v>
      </c>
      <c r="B9477">
        <v>1</v>
      </c>
    </row>
    <row r="9478" spans="1:2" x14ac:dyDescent="0.35">
      <c r="A9478">
        <v>3610</v>
      </c>
      <c r="B9478">
        <v>1</v>
      </c>
    </row>
    <row r="9479" spans="1:2" x14ac:dyDescent="0.35">
      <c r="A9479">
        <v>3614</v>
      </c>
      <c r="B9479">
        <v>1</v>
      </c>
    </row>
    <row r="9480" spans="1:2" x14ac:dyDescent="0.35">
      <c r="A9480">
        <v>3616</v>
      </c>
      <c r="B9480">
        <v>1</v>
      </c>
    </row>
    <row r="9481" spans="1:2" x14ac:dyDescent="0.35">
      <c r="A9481">
        <v>3617</v>
      </c>
      <c r="B9481">
        <v>1</v>
      </c>
    </row>
    <row r="9482" spans="1:2" x14ac:dyDescent="0.35">
      <c r="A9482">
        <v>3619</v>
      </c>
      <c r="B9482">
        <v>1</v>
      </c>
    </row>
    <row r="9483" spans="1:2" x14ac:dyDescent="0.35">
      <c r="A9483">
        <v>3622</v>
      </c>
      <c r="B9483">
        <v>1</v>
      </c>
    </row>
    <row r="9484" spans="1:2" x14ac:dyDescent="0.35">
      <c r="A9484">
        <v>3623</v>
      </c>
      <c r="B9484">
        <v>1</v>
      </c>
    </row>
    <row r="9485" spans="1:2" x14ac:dyDescent="0.35">
      <c r="A9485">
        <v>3624</v>
      </c>
      <c r="B9485">
        <v>1</v>
      </c>
    </row>
    <row r="9486" spans="1:2" x14ac:dyDescent="0.35">
      <c r="A9486">
        <v>3633</v>
      </c>
      <c r="B9486">
        <v>1</v>
      </c>
    </row>
    <row r="9487" spans="1:2" x14ac:dyDescent="0.35">
      <c r="A9487">
        <v>3634</v>
      </c>
      <c r="B9487">
        <v>1</v>
      </c>
    </row>
    <row r="9488" spans="1:2" x14ac:dyDescent="0.35">
      <c r="A9488">
        <v>3642</v>
      </c>
      <c r="B9488">
        <v>1</v>
      </c>
    </row>
    <row r="9489" spans="1:2" x14ac:dyDescent="0.35">
      <c r="A9489">
        <v>3642</v>
      </c>
      <c r="B9489">
        <v>1</v>
      </c>
    </row>
    <row r="9490" spans="1:2" x14ac:dyDescent="0.35">
      <c r="A9490">
        <v>3645</v>
      </c>
      <c r="B9490">
        <v>1</v>
      </c>
    </row>
    <row r="9491" spans="1:2" x14ac:dyDescent="0.35">
      <c r="A9491">
        <v>3659</v>
      </c>
      <c r="B9491">
        <v>1</v>
      </c>
    </row>
    <row r="9492" spans="1:2" x14ac:dyDescent="0.35">
      <c r="A9492">
        <v>3662</v>
      </c>
      <c r="B9492">
        <v>1</v>
      </c>
    </row>
    <row r="9493" spans="1:2" x14ac:dyDescent="0.35">
      <c r="A9493">
        <v>3667</v>
      </c>
      <c r="B9493">
        <v>1</v>
      </c>
    </row>
    <row r="9494" spans="1:2" x14ac:dyDescent="0.35">
      <c r="A9494">
        <v>3668</v>
      </c>
      <c r="B9494">
        <v>1</v>
      </c>
    </row>
    <row r="9495" spans="1:2" x14ac:dyDescent="0.35">
      <c r="A9495">
        <v>3678</v>
      </c>
      <c r="B9495">
        <v>1</v>
      </c>
    </row>
    <row r="9496" spans="1:2" x14ac:dyDescent="0.35">
      <c r="A9496">
        <v>3692</v>
      </c>
      <c r="B9496">
        <v>1</v>
      </c>
    </row>
    <row r="9497" spans="1:2" x14ac:dyDescent="0.35">
      <c r="A9497">
        <v>3693</v>
      </c>
      <c r="B9497">
        <v>1</v>
      </c>
    </row>
    <row r="9498" spans="1:2" x14ac:dyDescent="0.35">
      <c r="A9498">
        <v>3706</v>
      </c>
      <c r="B9498">
        <v>1</v>
      </c>
    </row>
    <row r="9499" spans="1:2" x14ac:dyDescent="0.35">
      <c r="A9499">
        <v>3721</v>
      </c>
      <c r="B9499">
        <v>1</v>
      </c>
    </row>
    <row r="9500" spans="1:2" x14ac:dyDescent="0.35">
      <c r="A9500">
        <v>3723</v>
      </c>
      <c r="B9500">
        <v>1</v>
      </c>
    </row>
    <row r="9501" spans="1:2" x14ac:dyDescent="0.35">
      <c r="A9501">
        <v>3725</v>
      </c>
      <c r="B9501">
        <v>1</v>
      </c>
    </row>
    <row r="9502" spans="1:2" x14ac:dyDescent="0.35">
      <c r="A9502">
        <v>3726</v>
      </c>
      <c r="B9502">
        <v>1</v>
      </c>
    </row>
    <row r="9503" spans="1:2" x14ac:dyDescent="0.35">
      <c r="A9503">
        <v>3738</v>
      </c>
      <c r="B9503">
        <v>1</v>
      </c>
    </row>
    <row r="9504" spans="1:2" x14ac:dyDescent="0.35">
      <c r="A9504">
        <v>3743</v>
      </c>
      <c r="B9504">
        <v>1</v>
      </c>
    </row>
    <row r="9505" spans="1:2" x14ac:dyDescent="0.35">
      <c r="A9505">
        <v>3752</v>
      </c>
      <c r="B9505">
        <v>1</v>
      </c>
    </row>
    <row r="9506" spans="1:2" x14ac:dyDescent="0.35">
      <c r="A9506">
        <v>3752</v>
      </c>
      <c r="B9506">
        <v>1</v>
      </c>
    </row>
    <row r="9507" spans="1:2" x14ac:dyDescent="0.35">
      <c r="A9507">
        <v>3754</v>
      </c>
      <c r="B9507">
        <v>1</v>
      </c>
    </row>
    <row r="9508" spans="1:2" x14ac:dyDescent="0.35">
      <c r="A9508">
        <v>3766</v>
      </c>
      <c r="B9508">
        <v>1</v>
      </c>
    </row>
    <row r="9509" spans="1:2" x14ac:dyDescent="0.35">
      <c r="A9509">
        <v>3770</v>
      </c>
      <c r="B9509">
        <v>1</v>
      </c>
    </row>
    <row r="9510" spans="1:2" x14ac:dyDescent="0.35">
      <c r="A9510">
        <v>3780</v>
      </c>
      <c r="B9510">
        <v>1</v>
      </c>
    </row>
    <row r="9511" spans="1:2" x14ac:dyDescent="0.35">
      <c r="A9511">
        <v>3806</v>
      </c>
      <c r="B9511">
        <v>1</v>
      </c>
    </row>
    <row r="9512" spans="1:2" x14ac:dyDescent="0.35">
      <c r="A9512">
        <v>3812</v>
      </c>
      <c r="B9512">
        <v>1</v>
      </c>
    </row>
    <row r="9513" spans="1:2" x14ac:dyDescent="0.35">
      <c r="A9513">
        <v>3814</v>
      </c>
      <c r="B9513">
        <v>1</v>
      </c>
    </row>
    <row r="9514" spans="1:2" x14ac:dyDescent="0.35">
      <c r="A9514">
        <v>3819</v>
      </c>
      <c r="B9514">
        <v>1</v>
      </c>
    </row>
    <row r="9515" spans="1:2" x14ac:dyDescent="0.35">
      <c r="A9515">
        <v>3830</v>
      </c>
      <c r="B9515">
        <v>1</v>
      </c>
    </row>
    <row r="9516" spans="1:2" x14ac:dyDescent="0.35">
      <c r="A9516">
        <v>3834</v>
      </c>
      <c r="B9516">
        <v>1</v>
      </c>
    </row>
    <row r="9517" spans="1:2" x14ac:dyDescent="0.35">
      <c r="A9517">
        <v>3840</v>
      </c>
      <c r="B9517">
        <v>1</v>
      </c>
    </row>
    <row r="9518" spans="1:2" x14ac:dyDescent="0.35">
      <c r="A9518">
        <v>3845</v>
      </c>
      <c r="B9518">
        <v>1</v>
      </c>
    </row>
    <row r="9519" spans="1:2" x14ac:dyDescent="0.35">
      <c r="A9519">
        <v>3856</v>
      </c>
      <c r="B9519">
        <v>1</v>
      </c>
    </row>
    <row r="9520" spans="1:2" x14ac:dyDescent="0.35">
      <c r="A9520">
        <v>3867</v>
      </c>
      <c r="B9520">
        <v>1</v>
      </c>
    </row>
    <row r="9521" spans="1:2" x14ac:dyDescent="0.35">
      <c r="A9521">
        <v>3875</v>
      </c>
      <c r="B9521">
        <v>1</v>
      </c>
    </row>
    <row r="9522" spans="1:2" x14ac:dyDescent="0.35">
      <c r="A9522">
        <v>3882</v>
      </c>
      <c r="B9522">
        <v>1</v>
      </c>
    </row>
    <row r="9523" spans="1:2" x14ac:dyDescent="0.35">
      <c r="A9523">
        <v>3894</v>
      </c>
      <c r="B9523">
        <v>1</v>
      </c>
    </row>
    <row r="9524" spans="1:2" x14ac:dyDescent="0.35">
      <c r="A9524">
        <v>3894</v>
      </c>
      <c r="B9524">
        <v>1</v>
      </c>
    </row>
    <row r="9525" spans="1:2" x14ac:dyDescent="0.35">
      <c r="A9525">
        <v>3914</v>
      </c>
      <c r="B9525">
        <v>1</v>
      </c>
    </row>
    <row r="9526" spans="1:2" x14ac:dyDescent="0.35">
      <c r="A9526">
        <v>3915</v>
      </c>
      <c r="B9526">
        <v>1</v>
      </c>
    </row>
    <row r="9527" spans="1:2" x14ac:dyDescent="0.35">
      <c r="A9527">
        <v>3930</v>
      </c>
      <c r="B9527">
        <v>1</v>
      </c>
    </row>
    <row r="9528" spans="1:2" x14ac:dyDescent="0.35">
      <c r="A9528">
        <v>3938</v>
      </c>
      <c r="B9528">
        <v>1</v>
      </c>
    </row>
    <row r="9529" spans="1:2" x14ac:dyDescent="0.35">
      <c r="A9529">
        <v>3938</v>
      </c>
      <c r="B9529">
        <v>1</v>
      </c>
    </row>
    <row r="9530" spans="1:2" x14ac:dyDescent="0.35">
      <c r="A9530">
        <v>3959</v>
      </c>
      <c r="B9530">
        <v>1</v>
      </c>
    </row>
    <row r="9531" spans="1:2" x14ac:dyDescent="0.35">
      <c r="A9531">
        <v>3978</v>
      </c>
      <c r="B9531">
        <v>1</v>
      </c>
    </row>
    <row r="9532" spans="1:2" x14ac:dyDescent="0.35">
      <c r="A9532">
        <v>3991</v>
      </c>
      <c r="B9532">
        <v>1</v>
      </c>
    </row>
    <row r="9533" spans="1:2" x14ac:dyDescent="0.35">
      <c r="A9533">
        <v>4004</v>
      </c>
      <c r="B9533">
        <v>1</v>
      </c>
    </row>
    <row r="9534" spans="1:2" x14ac:dyDescent="0.35">
      <c r="A9534">
        <v>4007</v>
      </c>
      <c r="B9534">
        <v>1</v>
      </c>
    </row>
    <row r="9535" spans="1:2" x14ac:dyDescent="0.35">
      <c r="A9535">
        <v>4057</v>
      </c>
      <c r="B9535">
        <v>1</v>
      </c>
    </row>
    <row r="9536" spans="1:2" x14ac:dyDescent="0.35">
      <c r="A9536">
        <v>4095</v>
      </c>
      <c r="B9536">
        <v>1</v>
      </c>
    </row>
    <row r="9537" spans="1:2" x14ac:dyDescent="0.35">
      <c r="A9537">
        <v>4098</v>
      </c>
      <c r="B9537">
        <v>1</v>
      </c>
    </row>
    <row r="9538" spans="1:2" x14ac:dyDescent="0.35">
      <c r="A9538">
        <v>4105</v>
      </c>
      <c r="B9538">
        <v>1</v>
      </c>
    </row>
    <row r="9539" spans="1:2" x14ac:dyDescent="0.35">
      <c r="A9539">
        <v>4115</v>
      </c>
      <c r="B9539">
        <v>1</v>
      </c>
    </row>
    <row r="9540" spans="1:2" x14ac:dyDescent="0.35">
      <c r="A9540">
        <v>4119</v>
      </c>
      <c r="B9540">
        <v>1</v>
      </c>
    </row>
    <row r="9541" spans="1:2" x14ac:dyDescent="0.35">
      <c r="A9541">
        <v>4126</v>
      </c>
      <c r="B9541">
        <v>1</v>
      </c>
    </row>
    <row r="9542" spans="1:2" x14ac:dyDescent="0.35">
      <c r="A9542">
        <v>4127</v>
      </c>
      <c r="B9542">
        <v>1</v>
      </c>
    </row>
    <row r="9543" spans="1:2" x14ac:dyDescent="0.35">
      <c r="A9543">
        <v>4133</v>
      </c>
      <c r="B9543">
        <v>1</v>
      </c>
    </row>
    <row r="9544" spans="1:2" x14ac:dyDescent="0.35">
      <c r="A9544">
        <v>4134</v>
      </c>
      <c r="B9544">
        <v>1</v>
      </c>
    </row>
    <row r="9545" spans="1:2" x14ac:dyDescent="0.35">
      <c r="A9545">
        <v>4145</v>
      </c>
      <c r="B9545">
        <v>1</v>
      </c>
    </row>
    <row r="9546" spans="1:2" x14ac:dyDescent="0.35">
      <c r="A9546">
        <v>4160</v>
      </c>
      <c r="B9546">
        <v>1</v>
      </c>
    </row>
    <row r="9547" spans="1:2" x14ac:dyDescent="0.35">
      <c r="A9547">
        <v>4162</v>
      </c>
      <c r="B9547">
        <v>1</v>
      </c>
    </row>
    <row r="9548" spans="1:2" x14ac:dyDescent="0.35">
      <c r="A9548">
        <v>4168</v>
      </c>
      <c r="B9548">
        <v>1</v>
      </c>
    </row>
    <row r="9549" spans="1:2" x14ac:dyDescent="0.35">
      <c r="A9549">
        <v>4187</v>
      </c>
      <c r="B9549">
        <v>1</v>
      </c>
    </row>
    <row r="9550" spans="1:2" x14ac:dyDescent="0.35">
      <c r="A9550">
        <v>4188</v>
      </c>
      <c r="B9550">
        <v>1</v>
      </c>
    </row>
    <row r="9551" spans="1:2" x14ac:dyDescent="0.35">
      <c r="A9551">
        <v>4207</v>
      </c>
      <c r="B9551">
        <v>1</v>
      </c>
    </row>
    <row r="9552" spans="1:2" x14ac:dyDescent="0.35">
      <c r="A9552">
        <v>4213</v>
      </c>
      <c r="B9552">
        <v>1</v>
      </c>
    </row>
    <row r="9553" spans="1:2" x14ac:dyDescent="0.35">
      <c r="A9553">
        <v>4216</v>
      </c>
      <c r="B9553">
        <v>1</v>
      </c>
    </row>
    <row r="9554" spans="1:2" x14ac:dyDescent="0.35">
      <c r="A9554">
        <v>4221</v>
      </c>
      <c r="B9554">
        <v>1</v>
      </c>
    </row>
    <row r="9555" spans="1:2" x14ac:dyDescent="0.35">
      <c r="A9555">
        <v>4232</v>
      </c>
      <c r="B9555">
        <v>1</v>
      </c>
    </row>
    <row r="9556" spans="1:2" x14ac:dyDescent="0.35">
      <c r="A9556">
        <v>4248</v>
      </c>
      <c r="B9556">
        <v>1</v>
      </c>
    </row>
    <row r="9557" spans="1:2" x14ac:dyDescent="0.35">
      <c r="A9557">
        <v>4263</v>
      </c>
      <c r="B9557">
        <v>1</v>
      </c>
    </row>
    <row r="9558" spans="1:2" x14ac:dyDescent="0.35">
      <c r="A9558">
        <v>4268</v>
      </c>
      <c r="B9558">
        <v>1</v>
      </c>
    </row>
    <row r="9559" spans="1:2" x14ac:dyDescent="0.35">
      <c r="A9559">
        <v>4281</v>
      </c>
      <c r="B9559">
        <v>1</v>
      </c>
    </row>
    <row r="9560" spans="1:2" x14ac:dyDescent="0.35">
      <c r="A9560">
        <v>4286</v>
      </c>
      <c r="B9560">
        <v>1</v>
      </c>
    </row>
    <row r="9561" spans="1:2" x14ac:dyDescent="0.35">
      <c r="A9561">
        <v>4296</v>
      </c>
      <c r="B9561">
        <v>1</v>
      </c>
    </row>
    <row r="9562" spans="1:2" x14ac:dyDescent="0.35">
      <c r="A9562">
        <v>4300</v>
      </c>
      <c r="B9562">
        <v>1</v>
      </c>
    </row>
    <row r="9563" spans="1:2" x14ac:dyDescent="0.35">
      <c r="A9563">
        <v>4327</v>
      </c>
      <c r="B9563">
        <v>1</v>
      </c>
    </row>
    <row r="9564" spans="1:2" x14ac:dyDescent="0.35">
      <c r="A9564">
        <v>4330</v>
      </c>
      <c r="B9564">
        <v>1</v>
      </c>
    </row>
    <row r="9565" spans="1:2" x14ac:dyDescent="0.35">
      <c r="A9565">
        <v>4332</v>
      </c>
      <c r="B9565">
        <v>1</v>
      </c>
    </row>
    <row r="9566" spans="1:2" x14ac:dyDescent="0.35">
      <c r="A9566">
        <v>4336</v>
      </c>
      <c r="B9566">
        <v>1</v>
      </c>
    </row>
    <row r="9567" spans="1:2" x14ac:dyDescent="0.35">
      <c r="A9567">
        <v>4370</v>
      </c>
      <c r="B9567">
        <v>1</v>
      </c>
    </row>
    <row r="9568" spans="1:2" x14ac:dyDescent="0.35">
      <c r="A9568">
        <v>4391</v>
      </c>
      <c r="B9568">
        <v>1</v>
      </c>
    </row>
    <row r="9569" spans="1:2" x14ac:dyDescent="0.35">
      <c r="A9569">
        <v>4402</v>
      </c>
      <c r="B9569">
        <v>1</v>
      </c>
    </row>
    <row r="9570" spans="1:2" x14ac:dyDescent="0.35">
      <c r="A9570">
        <v>4404</v>
      </c>
      <c r="B9570">
        <v>1</v>
      </c>
    </row>
    <row r="9571" spans="1:2" x14ac:dyDescent="0.35">
      <c r="A9571">
        <v>4405</v>
      </c>
      <c r="B9571">
        <v>1</v>
      </c>
    </row>
    <row r="9572" spans="1:2" x14ac:dyDescent="0.35">
      <c r="A9572">
        <v>4406</v>
      </c>
      <c r="B9572">
        <v>1</v>
      </c>
    </row>
    <row r="9573" spans="1:2" x14ac:dyDescent="0.35">
      <c r="A9573">
        <v>4422</v>
      </c>
      <c r="B9573">
        <v>1</v>
      </c>
    </row>
    <row r="9574" spans="1:2" x14ac:dyDescent="0.35">
      <c r="A9574">
        <v>4439</v>
      </c>
      <c r="B9574">
        <v>1</v>
      </c>
    </row>
    <row r="9575" spans="1:2" x14ac:dyDescent="0.35">
      <c r="A9575">
        <v>4456</v>
      </c>
      <c r="B9575">
        <v>1</v>
      </c>
    </row>
    <row r="9576" spans="1:2" x14ac:dyDescent="0.35">
      <c r="A9576">
        <v>4465</v>
      </c>
      <c r="B9576">
        <v>1</v>
      </c>
    </row>
    <row r="9577" spans="1:2" x14ac:dyDescent="0.35">
      <c r="A9577">
        <v>4467</v>
      </c>
      <c r="B9577">
        <v>1</v>
      </c>
    </row>
    <row r="9578" spans="1:2" x14ac:dyDescent="0.35">
      <c r="A9578">
        <v>4480</v>
      </c>
      <c r="B9578">
        <v>1</v>
      </c>
    </row>
    <row r="9579" spans="1:2" x14ac:dyDescent="0.35">
      <c r="A9579">
        <v>4521</v>
      </c>
      <c r="B9579">
        <v>1</v>
      </c>
    </row>
    <row r="9580" spans="1:2" x14ac:dyDescent="0.35">
      <c r="A9580">
        <v>4523</v>
      </c>
      <c r="B9580">
        <v>1</v>
      </c>
    </row>
    <row r="9581" spans="1:2" x14ac:dyDescent="0.35">
      <c r="A9581">
        <v>4527</v>
      </c>
      <c r="B9581">
        <v>1</v>
      </c>
    </row>
    <row r="9582" spans="1:2" x14ac:dyDescent="0.35">
      <c r="A9582">
        <v>4529</v>
      </c>
      <c r="B9582">
        <v>1</v>
      </c>
    </row>
    <row r="9583" spans="1:2" x14ac:dyDescent="0.35">
      <c r="A9583">
        <v>4533</v>
      </c>
      <c r="B9583">
        <v>1</v>
      </c>
    </row>
    <row r="9584" spans="1:2" x14ac:dyDescent="0.35">
      <c r="A9584">
        <v>4542</v>
      </c>
      <c r="B9584">
        <v>1</v>
      </c>
    </row>
    <row r="9585" spans="1:2" x14ac:dyDescent="0.35">
      <c r="A9585">
        <v>4547</v>
      </c>
      <c r="B9585">
        <v>1</v>
      </c>
    </row>
    <row r="9586" spans="1:2" x14ac:dyDescent="0.35">
      <c r="A9586">
        <v>4549</v>
      </c>
      <c r="B9586">
        <v>1</v>
      </c>
    </row>
    <row r="9587" spans="1:2" x14ac:dyDescent="0.35">
      <c r="A9587">
        <v>4551</v>
      </c>
      <c r="B9587">
        <v>1</v>
      </c>
    </row>
    <row r="9588" spans="1:2" x14ac:dyDescent="0.35">
      <c r="A9588">
        <v>4566</v>
      </c>
      <c r="B9588">
        <v>1</v>
      </c>
    </row>
    <row r="9589" spans="1:2" x14ac:dyDescent="0.35">
      <c r="A9589">
        <v>4570</v>
      </c>
      <c r="B9589">
        <v>1</v>
      </c>
    </row>
    <row r="9590" spans="1:2" x14ac:dyDescent="0.35">
      <c r="A9590">
        <v>4570</v>
      </c>
      <c r="B9590">
        <v>1</v>
      </c>
    </row>
    <row r="9591" spans="1:2" x14ac:dyDescent="0.35">
      <c r="A9591">
        <v>4573</v>
      </c>
      <c r="B9591">
        <v>1</v>
      </c>
    </row>
    <row r="9592" spans="1:2" x14ac:dyDescent="0.35">
      <c r="A9592">
        <v>4577</v>
      </c>
      <c r="B9592">
        <v>1</v>
      </c>
    </row>
    <row r="9593" spans="1:2" x14ac:dyDescent="0.35">
      <c r="A9593">
        <v>4577</v>
      </c>
      <c r="B9593">
        <v>1</v>
      </c>
    </row>
    <row r="9594" spans="1:2" x14ac:dyDescent="0.35">
      <c r="A9594">
        <v>4581</v>
      </c>
      <c r="B9594">
        <v>1</v>
      </c>
    </row>
    <row r="9595" spans="1:2" x14ac:dyDescent="0.35">
      <c r="A9595">
        <v>4600</v>
      </c>
      <c r="B9595">
        <v>1</v>
      </c>
    </row>
    <row r="9596" spans="1:2" x14ac:dyDescent="0.35">
      <c r="A9596">
        <v>4620</v>
      </c>
      <c r="B9596">
        <v>1</v>
      </c>
    </row>
    <row r="9597" spans="1:2" x14ac:dyDescent="0.35">
      <c r="A9597">
        <v>4623</v>
      </c>
      <c r="B9597">
        <v>1</v>
      </c>
    </row>
    <row r="9598" spans="1:2" x14ac:dyDescent="0.35">
      <c r="A9598">
        <v>4628</v>
      </c>
      <c r="B9598">
        <v>1</v>
      </c>
    </row>
    <row r="9599" spans="1:2" x14ac:dyDescent="0.35">
      <c r="A9599">
        <v>4641</v>
      </c>
      <c r="B9599">
        <v>1</v>
      </c>
    </row>
    <row r="9600" spans="1:2" x14ac:dyDescent="0.35">
      <c r="A9600">
        <v>4667</v>
      </c>
      <c r="B9600">
        <v>1</v>
      </c>
    </row>
    <row r="9601" spans="1:2" x14ac:dyDescent="0.35">
      <c r="A9601">
        <v>4668</v>
      </c>
      <c r="B9601">
        <v>1</v>
      </c>
    </row>
    <row r="9602" spans="1:2" x14ac:dyDescent="0.35">
      <c r="A9602">
        <v>4688</v>
      </c>
      <c r="B9602">
        <v>1</v>
      </c>
    </row>
    <row r="9603" spans="1:2" x14ac:dyDescent="0.35">
      <c r="A9603">
        <v>4689</v>
      </c>
      <c r="B9603">
        <v>1</v>
      </c>
    </row>
    <row r="9604" spans="1:2" x14ac:dyDescent="0.35">
      <c r="A9604">
        <v>4718</v>
      </c>
      <c r="B9604">
        <v>1</v>
      </c>
    </row>
    <row r="9605" spans="1:2" x14ac:dyDescent="0.35">
      <c r="A9605">
        <v>4734</v>
      </c>
      <c r="B9605">
        <v>1</v>
      </c>
    </row>
    <row r="9606" spans="1:2" x14ac:dyDescent="0.35">
      <c r="A9606">
        <v>4756</v>
      </c>
      <c r="B9606">
        <v>1</v>
      </c>
    </row>
    <row r="9607" spans="1:2" x14ac:dyDescent="0.35">
      <c r="A9607">
        <v>4757</v>
      </c>
      <c r="B9607">
        <v>1</v>
      </c>
    </row>
    <row r="9608" spans="1:2" x14ac:dyDescent="0.35">
      <c r="A9608">
        <v>4782</v>
      </c>
      <c r="B9608">
        <v>1</v>
      </c>
    </row>
    <row r="9609" spans="1:2" x14ac:dyDescent="0.35">
      <c r="A9609">
        <v>4783</v>
      </c>
      <c r="B9609">
        <v>1</v>
      </c>
    </row>
    <row r="9610" spans="1:2" x14ac:dyDescent="0.35">
      <c r="A9610">
        <v>4788</v>
      </c>
      <c r="B9610">
        <v>1</v>
      </c>
    </row>
    <row r="9611" spans="1:2" x14ac:dyDescent="0.35">
      <c r="A9611">
        <v>4807</v>
      </c>
      <c r="B9611">
        <v>1</v>
      </c>
    </row>
    <row r="9612" spans="1:2" x14ac:dyDescent="0.35">
      <c r="A9612">
        <v>4819</v>
      </c>
      <c r="B9612">
        <v>1</v>
      </c>
    </row>
    <row r="9613" spans="1:2" x14ac:dyDescent="0.35">
      <c r="A9613">
        <v>4827</v>
      </c>
      <c r="B9613">
        <v>1</v>
      </c>
    </row>
    <row r="9614" spans="1:2" x14ac:dyDescent="0.35">
      <c r="A9614">
        <v>4852</v>
      </c>
      <c r="B9614">
        <v>1</v>
      </c>
    </row>
    <row r="9615" spans="1:2" x14ac:dyDescent="0.35">
      <c r="A9615">
        <v>4856</v>
      </c>
      <c r="B9615">
        <v>1</v>
      </c>
    </row>
    <row r="9616" spans="1:2" x14ac:dyDescent="0.35">
      <c r="A9616">
        <v>4862</v>
      </c>
      <c r="B9616">
        <v>1</v>
      </c>
    </row>
    <row r="9617" spans="1:2" x14ac:dyDescent="0.35">
      <c r="A9617">
        <v>4862</v>
      </c>
      <c r="B9617">
        <v>1</v>
      </c>
    </row>
    <row r="9618" spans="1:2" x14ac:dyDescent="0.35">
      <c r="A9618">
        <v>4862</v>
      </c>
      <c r="B9618">
        <v>1</v>
      </c>
    </row>
    <row r="9619" spans="1:2" x14ac:dyDescent="0.35">
      <c r="A9619">
        <v>4877</v>
      </c>
      <c r="B9619">
        <v>1</v>
      </c>
    </row>
    <row r="9620" spans="1:2" x14ac:dyDescent="0.35">
      <c r="A9620">
        <v>4887</v>
      </c>
      <c r="B9620">
        <v>1</v>
      </c>
    </row>
    <row r="9621" spans="1:2" x14ac:dyDescent="0.35">
      <c r="A9621">
        <v>4896</v>
      </c>
      <c r="B9621">
        <v>1</v>
      </c>
    </row>
    <row r="9622" spans="1:2" x14ac:dyDescent="0.35">
      <c r="A9622">
        <v>4896</v>
      </c>
      <c r="B9622">
        <v>1</v>
      </c>
    </row>
    <row r="9623" spans="1:2" x14ac:dyDescent="0.35">
      <c r="A9623">
        <v>4900</v>
      </c>
      <c r="B9623">
        <v>1</v>
      </c>
    </row>
    <row r="9624" spans="1:2" x14ac:dyDescent="0.35">
      <c r="A9624">
        <v>4901</v>
      </c>
      <c r="B9624">
        <v>1</v>
      </c>
    </row>
    <row r="9625" spans="1:2" x14ac:dyDescent="0.35">
      <c r="A9625">
        <v>4951</v>
      </c>
      <c r="B9625">
        <v>1</v>
      </c>
    </row>
    <row r="9626" spans="1:2" x14ac:dyDescent="0.35">
      <c r="A9626">
        <v>4961</v>
      </c>
      <c r="B9626">
        <v>1</v>
      </c>
    </row>
    <row r="9627" spans="1:2" x14ac:dyDescent="0.35">
      <c r="A9627">
        <v>4968</v>
      </c>
      <c r="B9627">
        <v>1</v>
      </c>
    </row>
    <row r="9628" spans="1:2" x14ac:dyDescent="0.35">
      <c r="A9628">
        <v>4999</v>
      </c>
      <c r="B9628">
        <v>1</v>
      </c>
    </row>
    <row r="9629" spans="1:2" x14ac:dyDescent="0.35">
      <c r="A9629">
        <v>5044</v>
      </c>
      <c r="B9629">
        <v>1</v>
      </c>
    </row>
    <row r="9630" spans="1:2" x14ac:dyDescent="0.35">
      <c r="A9630">
        <v>5055</v>
      </c>
      <c r="B9630">
        <v>1</v>
      </c>
    </row>
    <row r="9631" spans="1:2" x14ac:dyDescent="0.35">
      <c r="A9631">
        <v>5065</v>
      </c>
      <c r="B9631">
        <v>1</v>
      </c>
    </row>
    <row r="9632" spans="1:2" x14ac:dyDescent="0.35">
      <c r="A9632">
        <v>5066</v>
      </c>
      <c r="B9632">
        <v>1</v>
      </c>
    </row>
    <row r="9633" spans="1:2" x14ac:dyDescent="0.35">
      <c r="A9633">
        <v>5089</v>
      </c>
      <c r="B9633">
        <v>1</v>
      </c>
    </row>
    <row r="9634" spans="1:2" x14ac:dyDescent="0.35">
      <c r="A9634">
        <v>5097</v>
      </c>
      <c r="B9634">
        <v>1</v>
      </c>
    </row>
    <row r="9635" spans="1:2" x14ac:dyDescent="0.35">
      <c r="A9635">
        <v>5099</v>
      </c>
      <c r="B9635">
        <v>1</v>
      </c>
    </row>
    <row r="9636" spans="1:2" x14ac:dyDescent="0.35">
      <c r="A9636">
        <v>5121</v>
      </c>
      <c r="B9636">
        <v>1</v>
      </c>
    </row>
    <row r="9637" spans="1:2" x14ac:dyDescent="0.35">
      <c r="A9637">
        <v>5143</v>
      </c>
      <c r="B9637">
        <v>1</v>
      </c>
    </row>
    <row r="9638" spans="1:2" x14ac:dyDescent="0.35">
      <c r="A9638">
        <v>5151</v>
      </c>
      <c r="B9638">
        <v>1</v>
      </c>
    </row>
    <row r="9639" spans="1:2" x14ac:dyDescent="0.35">
      <c r="A9639">
        <v>5170</v>
      </c>
      <c r="B9639">
        <v>1</v>
      </c>
    </row>
    <row r="9640" spans="1:2" x14ac:dyDescent="0.35">
      <c r="A9640">
        <v>5188</v>
      </c>
      <c r="B9640">
        <v>1</v>
      </c>
    </row>
    <row r="9641" spans="1:2" x14ac:dyDescent="0.35">
      <c r="A9641">
        <v>5197</v>
      </c>
      <c r="B9641">
        <v>1</v>
      </c>
    </row>
    <row r="9642" spans="1:2" x14ac:dyDescent="0.35">
      <c r="A9642">
        <v>5198</v>
      </c>
      <c r="B9642">
        <v>1</v>
      </c>
    </row>
    <row r="9643" spans="1:2" x14ac:dyDescent="0.35">
      <c r="A9643">
        <v>5213</v>
      </c>
      <c r="B9643">
        <v>1</v>
      </c>
    </row>
    <row r="9644" spans="1:2" x14ac:dyDescent="0.35">
      <c r="A9644">
        <v>5219</v>
      </c>
      <c r="B9644">
        <v>1</v>
      </c>
    </row>
    <row r="9645" spans="1:2" x14ac:dyDescent="0.35">
      <c r="A9645">
        <v>5246</v>
      </c>
      <c r="B9645">
        <v>1</v>
      </c>
    </row>
    <row r="9646" spans="1:2" x14ac:dyDescent="0.35">
      <c r="A9646">
        <v>5253</v>
      </c>
      <c r="B9646">
        <v>1</v>
      </c>
    </row>
    <row r="9647" spans="1:2" x14ac:dyDescent="0.35">
      <c r="A9647">
        <v>5256</v>
      </c>
      <c r="B9647">
        <v>1</v>
      </c>
    </row>
    <row r="9648" spans="1:2" x14ac:dyDescent="0.35">
      <c r="A9648">
        <v>5311</v>
      </c>
      <c r="B9648">
        <v>1</v>
      </c>
    </row>
    <row r="9649" spans="1:2" x14ac:dyDescent="0.35">
      <c r="A9649">
        <v>5312</v>
      </c>
      <c r="B9649">
        <v>1</v>
      </c>
    </row>
    <row r="9650" spans="1:2" x14ac:dyDescent="0.35">
      <c r="A9650">
        <v>5317</v>
      </c>
      <c r="B9650">
        <v>1</v>
      </c>
    </row>
    <row r="9651" spans="1:2" x14ac:dyDescent="0.35">
      <c r="A9651">
        <v>5328</v>
      </c>
      <c r="B9651">
        <v>1</v>
      </c>
    </row>
    <row r="9652" spans="1:2" x14ac:dyDescent="0.35">
      <c r="A9652">
        <v>5350</v>
      </c>
      <c r="B9652">
        <v>1</v>
      </c>
    </row>
    <row r="9653" spans="1:2" x14ac:dyDescent="0.35">
      <c r="A9653">
        <v>5364</v>
      </c>
      <c r="B9653">
        <v>1</v>
      </c>
    </row>
    <row r="9654" spans="1:2" x14ac:dyDescent="0.35">
      <c r="A9654">
        <v>5391</v>
      </c>
      <c r="B9654">
        <v>1</v>
      </c>
    </row>
    <row r="9655" spans="1:2" x14ac:dyDescent="0.35">
      <c r="A9655">
        <v>5400</v>
      </c>
      <c r="B9655">
        <v>1</v>
      </c>
    </row>
    <row r="9656" spans="1:2" x14ac:dyDescent="0.35">
      <c r="A9656">
        <v>5404</v>
      </c>
      <c r="B9656">
        <v>1</v>
      </c>
    </row>
    <row r="9657" spans="1:2" x14ac:dyDescent="0.35">
      <c r="A9657">
        <v>5409</v>
      </c>
      <c r="B9657">
        <v>1</v>
      </c>
    </row>
    <row r="9658" spans="1:2" x14ac:dyDescent="0.35">
      <c r="A9658">
        <v>5432</v>
      </c>
      <c r="B9658">
        <v>1</v>
      </c>
    </row>
    <row r="9659" spans="1:2" x14ac:dyDescent="0.35">
      <c r="A9659">
        <v>5451</v>
      </c>
      <c r="B9659">
        <v>1</v>
      </c>
    </row>
    <row r="9660" spans="1:2" x14ac:dyDescent="0.35">
      <c r="A9660">
        <v>5468</v>
      </c>
      <c r="B9660">
        <v>1</v>
      </c>
    </row>
    <row r="9661" spans="1:2" x14ac:dyDescent="0.35">
      <c r="A9661">
        <v>5481</v>
      </c>
      <c r="B9661">
        <v>1</v>
      </c>
    </row>
    <row r="9662" spans="1:2" x14ac:dyDescent="0.35">
      <c r="A9662">
        <v>5481</v>
      </c>
      <c r="B9662">
        <v>1</v>
      </c>
    </row>
    <row r="9663" spans="1:2" x14ac:dyDescent="0.35">
      <c r="A9663">
        <v>5484</v>
      </c>
      <c r="B9663">
        <v>1</v>
      </c>
    </row>
    <row r="9664" spans="1:2" x14ac:dyDescent="0.35">
      <c r="A9664">
        <v>5501</v>
      </c>
      <c r="B9664">
        <v>1</v>
      </c>
    </row>
    <row r="9665" spans="1:2" x14ac:dyDescent="0.35">
      <c r="A9665">
        <v>5512</v>
      </c>
      <c r="B9665">
        <v>1</v>
      </c>
    </row>
    <row r="9666" spans="1:2" x14ac:dyDescent="0.35">
      <c r="A9666">
        <v>5514</v>
      </c>
      <c r="B9666">
        <v>1</v>
      </c>
    </row>
    <row r="9667" spans="1:2" x14ac:dyDescent="0.35">
      <c r="A9667">
        <v>5534</v>
      </c>
      <c r="B9667">
        <v>1</v>
      </c>
    </row>
    <row r="9668" spans="1:2" x14ac:dyDescent="0.35">
      <c r="A9668">
        <v>5539</v>
      </c>
      <c r="B9668">
        <v>1</v>
      </c>
    </row>
    <row r="9669" spans="1:2" x14ac:dyDescent="0.35">
      <c r="A9669">
        <v>5553</v>
      </c>
      <c r="B9669">
        <v>1</v>
      </c>
    </row>
    <row r="9670" spans="1:2" x14ac:dyDescent="0.35">
      <c r="A9670">
        <v>5556</v>
      </c>
      <c r="B9670">
        <v>1</v>
      </c>
    </row>
    <row r="9671" spans="1:2" x14ac:dyDescent="0.35">
      <c r="A9671">
        <v>5557</v>
      </c>
      <c r="B9671">
        <v>1</v>
      </c>
    </row>
    <row r="9672" spans="1:2" x14ac:dyDescent="0.35">
      <c r="A9672">
        <v>5560</v>
      </c>
      <c r="B9672">
        <v>1</v>
      </c>
    </row>
    <row r="9673" spans="1:2" x14ac:dyDescent="0.35">
      <c r="A9673">
        <v>5570</v>
      </c>
      <c r="B9673">
        <v>1</v>
      </c>
    </row>
    <row r="9674" spans="1:2" x14ac:dyDescent="0.35">
      <c r="A9674">
        <v>5574</v>
      </c>
      <c r="B9674">
        <v>1</v>
      </c>
    </row>
    <row r="9675" spans="1:2" x14ac:dyDescent="0.35">
      <c r="A9675">
        <v>5580</v>
      </c>
      <c r="B9675">
        <v>1</v>
      </c>
    </row>
    <row r="9676" spans="1:2" x14ac:dyDescent="0.35">
      <c r="A9676">
        <v>5586</v>
      </c>
      <c r="B9676">
        <v>1</v>
      </c>
    </row>
    <row r="9677" spans="1:2" x14ac:dyDescent="0.35">
      <c r="A9677">
        <v>5612</v>
      </c>
      <c r="B9677">
        <v>1</v>
      </c>
    </row>
    <row r="9678" spans="1:2" x14ac:dyDescent="0.35">
      <c r="A9678">
        <v>5623</v>
      </c>
      <c r="B9678">
        <v>1</v>
      </c>
    </row>
    <row r="9679" spans="1:2" x14ac:dyDescent="0.35">
      <c r="A9679">
        <v>5624</v>
      </c>
      <c r="B9679">
        <v>1</v>
      </c>
    </row>
    <row r="9680" spans="1:2" x14ac:dyDescent="0.35">
      <c r="A9680">
        <v>5637</v>
      </c>
      <c r="B9680">
        <v>1</v>
      </c>
    </row>
    <row r="9681" spans="1:2" x14ac:dyDescent="0.35">
      <c r="A9681">
        <v>5641</v>
      </c>
      <c r="B9681">
        <v>1</v>
      </c>
    </row>
    <row r="9682" spans="1:2" x14ac:dyDescent="0.35">
      <c r="A9682">
        <v>5653</v>
      </c>
      <c r="B9682">
        <v>1</v>
      </c>
    </row>
    <row r="9683" spans="1:2" x14ac:dyDescent="0.35">
      <c r="A9683">
        <v>5654</v>
      </c>
      <c r="B9683">
        <v>1</v>
      </c>
    </row>
    <row r="9684" spans="1:2" x14ac:dyDescent="0.35">
      <c r="A9684">
        <v>5657</v>
      </c>
      <c r="B9684">
        <v>1</v>
      </c>
    </row>
    <row r="9685" spans="1:2" x14ac:dyDescent="0.35">
      <c r="A9685">
        <v>5659</v>
      </c>
      <c r="B9685">
        <v>1</v>
      </c>
    </row>
    <row r="9686" spans="1:2" x14ac:dyDescent="0.35">
      <c r="A9686">
        <v>5668</v>
      </c>
      <c r="B9686">
        <v>1</v>
      </c>
    </row>
    <row r="9687" spans="1:2" x14ac:dyDescent="0.35">
      <c r="A9687">
        <v>5675</v>
      </c>
      <c r="B9687">
        <v>1</v>
      </c>
    </row>
    <row r="9688" spans="1:2" x14ac:dyDescent="0.35">
      <c r="A9688">
        <v>5688</v>
      </c>
      <c r="B9688">
        <v>1</v>
      </c>
    </row>
    <row r="9689" spans="1:2" x14ac:dyDescent="0.35">
      <c r="A9689">
        <v>5693</v>
      </c>
      <c r="B9689">
        <v>1</v>
      </c>
    </row>
    <row r="9690" spans="1:2" x14ac:dyDescent="0.35">
      <c r="A9690">
        <v>5694</v>
      </c>
      <c r="B9690">
        <v>1</v>
      </c>
    </row>
    <row r="9691" spans="1:2" x14ac:dyDescent="0.35">
      <c r="A9691">
        <v>5707</v>
      </c>
      <c r="B9691">
        <v>1</v>
      </c>
    </row>
    <row r="9692" spans="1:2" x14ac:dyDescent="0.35">
      <c r="A9692">
        <v>5715</v>
      </c>
      <c r="B9692">
        <v>1</v>
      </c>
    </row>
    <row r="9693" spans="1:2" x14ac:dyDescent="0.35">
      <c r="A9693">
        <v>5718</v>
      </c>
      <c r="B9693">
        <v>1</v>
      </c>
    </row>
    <row r="9694" spans="1:2" x14ac:dyDescent="0.35">
      <c r="A9694">
        <v>5718</v>
      </c>
      <c r="B9694">
        <v>1</v>
      </c>
    </row>
    <row r="9695" spans="1:2" x14ac:dyDescent="0.35">
      <c r="A9695">
        <v>5795</v>
      </c>
      <c r="B9695">
        <v>1</v>
      </c>
    </row>
    <row r="9696" spans="1:2" x14ac:dyDescent="0.35">
      <c r="A9696">
        <v>5815</v>
      </c>
      <c r="B9696">
        <v>1</v>
      </c>
    </row>
    <row r="9697" spans="1:2" x14ac:dyDescent="0.35">
      <c r="A9697">
        <v>5856</v>
      </c>
      <c r="B9697">
        <v>1</v>
      </c>
    </row>
    <row r="9698" spans="1:2" x14ac:dyDescent="0.35">
      <c r="A9698">
        <v>5862</v>
      </c>
      <c r="B9698">
        <v>1</v>
      </c>
    </row>
    <row r="9699" spans="1:2" x14ac:dyDescent="0.35">
      <c r="A9699">
        <v>5866</v>
      </c>
      <c r="B9699">
        <v>1</v>
      </c>
    </row>
    <row r="9700" spans="1:2" x14ac:dyDescent="0.35">
      <c r="A9700">
        <v>5888</v>
      </c>
      <c r="B9700">
        <v>1</v>
      </c>
    </row>
    <row r="9701" spans="1:2" x14ac:dyDescent="0.35">
      <c r="A9701">
        <v>5896</v>
      </c>
      <c r="B9701">
        <v>1</v>
      </c>
    </row>
    <row r="9702" spans="1:2" x14ac:dyDescent="0.35">
      <c r="A9702">
        <v>5898</v>
      </c>
      <c r="B9702">
        <v>1</v>
      </c>
    </row>
    <row r="9703" spans="1:2" x14ac:dyDescent="0.35">
      <c r="A9703">
        <v>5906</v>
      </c>
      <c r="B9703">
        <v>1</v>
      </c>
    </row>
    <row r="9704" spans="1:2" x14ac:dyDescent="0.35">
      <c r="A9704">
        <v>5908</v>
      </c>
      <c r="B9704">
        <v>1</v>
      </c>
    </row>
    <row r="9705" spans="1:2" x14ac:dyDescent="0.35">
      <c r="A9705">
        <v>5912</v>
      </c>
      <c r="B9705">
        <v>1</v>
      </c>
    </row>
    <row r="9706" spans="1:2" x14ac:dyDescent="0.35">
      <c r="A9706">
        <v>5943</v>
      </c>
      <c r="B9706">
        <v>1</v>
      </c>
    </row>
    <row r="9707" spans="1:2" x14ac:dyDescent="0.35">
      <c r="A9707">
        <v>5970</v>
      </c>
      <c r="B9707">
        <v>1</v>
      </c>
    </row>
    <row r="9708" spans="1:2" x14ac:dyDescent="0.35">
      <c r="A9708">
        <v>5985</v>
      </c>
      <c r="B9708">
        <v>1</v>
      </c>
    </row>
    <row r="9709" spans="1:2" x14ac:dyDescent="0.35">
      <c r="A9709">
        <v>5993</v>
      </c>
      <c r="B9709">
        <v>1</v>
      </c>
    </row>
    <row r="9710" spans="1:2" x14ac:dyDescent="0.35">
      <c r="A9710">
        <v>6004</v>
      </c>
      <c r="B9710">
        <v>1</v>
      </c>
    </row>
    <row r="9711" spans="1:2" x14ac:dyDescent="0.35">
      <c r="A9711">
        <v>6008</v>
      </c>
      <c r="B9711">
        <v>1</v>
      </c>
    </row>
    <row r="9712" spans="1:2" x14ac:dyDescent="0.35">
      <c r="A9712">
        <v>6058</v>
      </c>
      <c r="B9712">
        <v>1</v>
      </c>
    </row>
    <row r="9713" spans="1:2" x14ac:dyDescent="0.35">
      <c r="A9713">
        <v>6076</v>
      </c>
      <c r="B9713">
        <v>1</v>
      </c>
    </row>
    <row r="9714" spans="1:2" x14ac:dyDescent="0.35">
      <c r="A9714">
        <v>6100</v>
      </c>
      <c r="B9714">
        <v>1</v>
      </c>
    </row>
    <row r="9715" spans="1:2" x14ac:dyDescent="0.35">
      <c r="A9715">
        <v>6108</v>
      </c>
      <c r="B9715">
        <v>1</v>
      </c>
    </row>
    <row r="9716" spans="1:2" x14ac:dyDescent="0.35">
      <c r="A9716">
        <v>6124</v>
      </c>
      <c r="B9716">
        <v>1</v>
      </c>
    </row>
    <row r="9717" spans="1:2" x14ac:dyDescent="0.35">
      <c r="A9717">
        <v>6126</v>
      </c>
      <c r="B9717">
        <v>1</v>
      </c>
    </row>
    <row r="9718" spans="1:2" x14ac:dyDescent="0.35">
      <c r="A9718">
        <v>6127</v>
      </c>
      <c r="B9718">
        <v>1</v>
      </c>
    </row>
    <row r="9719" spans="1:2" x14ac:dyDescent="0.35">
      <c r="A9719">
        <v>6145</v>
      </c>
      <c r="B9719">
        <v>1</v>
      </c>
    </row>
    <row r="9720" spans="1:2" x14ac:dyDescent="0.35">
      <c r="A9720">
        <v>6147</v>
      </c>
      <c r="B9720">
        <v>1</v>
      </c>
    </row>
    <row r="9721" spans="1:2" x14ac:dyDescent="0.35">
      <c r="A9721">
        <v>6153</v>
      </c>
      <c r="B9721">
        <v>1</v>
      </c>
    </row>
    <row r="9722" spans="1:2" x14ac:dyDescent="0.35">
      <c r="A9722">
        <v>6160</v>
      </c>
      <c r="B9722">
        <v>1</v>
      </c>
    </row>
    <row r="9723" spans="1:2" x14ac:dyDescent="0.35">
      <c r="A9723">
        <v>6167</v>
      </c>
      <c r="B9723">
        <v>1</v>
      </c>
    </row>
    <row r="9724" spans="1:2" x14ac:dyDescent="0.35">
      <c r="A9724">
        <v>6173</v>
      </c>
      <c r="B9724">
        <v>1</v>
      </c>
    </row>
    <row r="9725" spans="1:2" x14ac:dyDescent="0.35">
      <c r="A9725">
        <v>6177</v>
      </c>
      <c r="B9725">
        <v>1</v>
      </c>
    </row>
    <row r="9726" spans="1:2" x14ac:dyDescent="0.35">
      <c r="A9726">
        <v>6262</v>
      </c>
      <c r="B9726">
        <v>1</v>
      </c>
    </row>
    <row r="9727" spans="1:2" x14ac:dyDescent="0.35">
      <c r="A9727">
        <v>6291</v>
      </c>
      <c r="B9727">
        <v>1</v>
      </c>
    </row>
    <row r="9728" spans="1:2" x14ac:dyDescent="0.35">
      <c r="A9728">
        <v>6298</v>
      </c>
      <c r="B9728">
        <v>1</v>
      </c>
    </row>
    <row r="9729" spans="1:2" x14ac:dyDescent="0.35">
      <c r="A9729">
        <v>6302</v>
      </c>
      <c r="B9729">
        <v>1</v>
      </c>
    </row>
    <row r="9730" spans="1:2" x14ac:dyDescent="0.35">
      <c r="A9730">
        <v>6313</v>
      </c>
      <c r="B9730">
        <v>1</v>
      </c>
    </row>
    <row r="9731" spans="1:2" x14ac:dyDescent="0.35">
      <c r="A9731">
        <v>6316</v>
      </c>
      <c r="B9731">
        <v>1</v>
      </c>
    </row>
    <row r="9732" spans="1:2" x14ac:dyDescent="0.35">
      <c r="A9732">
        <v>6319</v>
      </c>
      <c r="B9732">
        <v>1</v>
      </c>
    </row>
    <row r="9733" spans="1:2" x14ac:dyDescent="0.35">
      <c r="A9733">
        <v>6320</v>
      </c>
      <c r="B9733">
        <v>1</v>
      </c>
    </row>
    <row r="9734" spans="1:2" x14ac:dyDescent="0.35">
      <c r="A9734">
        <v>6346</v>
      </c>
      <c r="B9734">
        <v>1</v>
      </c>
    </row>
    <row r="9735" spans="1:2" x14ac:dyDescent="0.35">
      <c r="A9735">
        <v>6363</v>
      </c>
      <c r="B9735">
        <v>1</v>
      </c>
    </row>
    <row r="9736" spans="1:2" x14ac:dyDescent="0.35">
      <c r="A9736">
        <v>6368</v>
      </c>
      <c r="B9736">
        <v>1</v>
      </c>
    </row>
    <row r="9737" spans="1:2" x14ac:dyDescent="0.35">
      <c r="A9737">
        <v>6383</v>
      </c>
      <c r="B9737">
        <v>1</v>
      </c>
    </row>
    <row r="9738" spans="1:2" x14ac:dyDescent="0.35">
      <c r="A9738">
        <v>6434</v>
      </c>
      <c r="B9738">
        <v>1</v>
      </c>
    </row>
    <row r="9739" spans="1:2" x14ac:dyDescent="0.35">
      <c r="A9739">
        <v>6472</v>
      </c>
      <c r="B9739">
        <v>1</v>
      </c>
    </row>
    <row r="9740" spans="1:2" x14ac:dyDescent="0.35">
      <c r="A9740">
        <v>6472</v>
      </c>
      <c r="B9740">
        <v>1</v>
      </c>
    </row>
    <row r="9741" spans="1:2" x14ac:dyDescent="0.35">
      <c r="A9741">
        <v>6476</v>
      </c>
      <c r="B9741">
        <v>1</v>
      </c>
    </row>
    <row r="9742" spans="1:2" x14ac:dyDescent="0.35">
      <c r="A9742">
        <v>6497</v>
      </c>
      <c r="B9742">
        <v>1</v>
      </c>
    </row>
    <row r="9743" spans="1:2" x14ac:dyDescent="0.35">
      <c r="A9743">
        <v>6514</v>
      </c>
      <c r="B9743">
        <v>1</v>
      </c>
    </row>
    <row r="9744" spans="1:2" x14ac:dyDescent="0.35">
      <c r="A9744">
        <v>6534</v>
      </c>
      <c r="B9744">
        <v>1</v>
      </c>
    </row>
    <row r="9745" spans="1:2" x14ac:dyDescent="0.35">
      <c r="A9745">
        <v>6565</v>
      </c>
      <c r="B9745">
        <v>1</v>
      </c>
    </row>
    <row r="9746" spans="1:2" x14ac:dyDescent="0.35">
      <c r="A9746">
        <v>6584</v>
      </c>
      <c r="B9746">
        <v>1</v>
      </c>
    </row>
    <row r="9747" spans="1:2" x14ac:dyDescent="0.35">
      <c r="A9747">
        <v>6610</v>
      </c>
      <c r="B9747">
        <v>1</v>
      </c>
    </row>
    <row r="9748" spans="1:2" x14ac:dyDescent="0.35">
      <c r="A9748">
        <v>6624</v>
      </c>
      <c r="B9748">
        <v>1</v>
      </c>
    </row>
    <row r="9749" spans="1:2" x14ac:dyDescent="0.35">
      <c r="A9749">
        <v>6638</v>
      </c>
      <c r="B9749">
        <v>1</v>
      </c>
    </row>
    <row r="9750" spans="1:2" x14ac:dyDescent="0.35">
      <c r="A9750">
        <v>6651</v>
      </c>
      <c r="B9750">
        <v>1</v>
      </c>
    </row>
    <row r="9751" spans="1:2" x14ac:dyDescent="0.35">
      <c r="A9751">
        <v>6704</v>
      </c>
      <c r="B9751">
        <v>1</v>
      </c>
    </row>
    <row r="9752" spans="1:2" x14ac:dyDescent="0.35">
      <c r="A9752">
        <v>6713</v>
      </c>
      <c r="B9752">
        <v>1</v>
      </c>
    </row>
    <row r="9753" spans="1:2" x14ac:dyDescent="0.35">
      <c r="A9753">
        <v>6713</v>
      </c>
      <c r="B9753">
        <v>1</v>
      </c>
    </row>
    <row r="9754" spans="1:2" x14ac:dyDescent="0.35">
      <c r="A9754">
        <v>6720</v>
      </c>
      <c r="B9754">
        <v>1</v>
      </c>
    </row>
    <row r="9755" spans="1:2" x14ac:dyDescent="0.35">
      <c r="A9755">
        <v>6721</v>
      </c>
      <c r="B9755">
        <v>1</v>
      </c>
    </row>
    <row r="9756" spans="1:2" x14ac:dyDescent="0.35">
      <c r="A9756">
        <v>6730</v>
      </c>
      <c r="B9756">
        <v>1</v>
      </c>
    </row>
    <row r="9757" spans="1:2" x14ac:dyDescent="0.35">
      <c r="A9757">
        <v>6732</v>
      </c>
      <c r="B9757">
        <v>1</v>
      </c>
    </row>
    <row r="9758" spans="1:2" x14ac:dyDescent="0.35">
      <c r="A9758">
        <v>6760</v>
      </c>
      <c r="B9758">
        <v>1</v>
      </c>
    </row>
    <row r="9759" spans="1:2" x14ac:dyDescent="0.35">
      <c r="A9759">
        <v>6790</v>
      </c>
      <c r="B9759">
        <v>1</v>
      </c>
    </row>
    <row r="9760" spans="1:2" x14ac:dyDescent="0.35">
      <c r="A9760">
        <v>6800</v>
      </c>
      <c r="B9760">
        <v>1</v>
      </c>
    </row>
    <row r="9761" spans="1:2" x14ac:dyDescent="0.35">
      <c r="A9761">
        <v>6801</v>
      </c>
      <c r="B9761">
        <v>1</v>
      </c>
    </row>
    <row r="9762" spans="1:2" x14ac:dyDescent="0.35">
      <c r="A9762">
        <v>6828</v>
      </c>
      <c r="B9762">
        <v>1</v>
      </c>
    </row>
    <row r="9763" spans="1:2" x14ac:dyDescent="0.35">
      <c r="A9763">
        <v>6866</v>
      </c>
      <c r="B9763">
        <v>1</v>
      </c>
    </row>
    <row r="9764" spans="1:2" x14ac:dyDescent="0.35">
      <c r="A9764">
        <v>6878</v>
      </c>
      <c r="B9764">
        <v>1</v>
      </c>
    </row>
    <row r="9765" spans="1:2" x14ac:dyDescent="0.35">
      <c r="A9765">
        <v>6895</v>
      </c>
      <c r="B9765">
        <v>1</v>
      </c>
    </row>
    <row r="9766" spans="1:2" x14ac:dyDescent="0.35">
      <c r="A9766">
        <v>6903</v>
      </c>
      <c r="B9766">
        <v>1</v>
      </c>
    </row>
    <row r="9767" spans="1:2" x14ac:dyDescent="0.35">
      <c r="A9767">
        <v>6927</v>
      </c>
      <c r="B9767">
        <v>1</v>
      </c>
    </row>
    <row r="9768" spans="1:2" x14ac:dyDescent="0.35">
      <c r="A9768">
        <v>6936</v>
      </c>
      <c r="B9768">
        <v>1</v>
      </c>
    </row>
    <row r="9769" spans="1:2" x14ac:dyDescent="0.35">
      <c r="A9769">
        <v>6949</v>
      </c>
      <c r="B9769">
        <v>1</v>
      </c>
    </row>
    <row r="9770" spans="1:2" x14ac:dyDescent="0.35">
      <c r="A9770">
        <v>6964</v>
      </c>
      <c r="B9770">
        <v>1</v>
      </c>
    </row>
    <row r="9771" spans="1:2" x14ac:dyDescent="0.35">
      <c r="A9771">
        <v>6965</v>
      </c>
      <c r="B9771">
        <v>1</v>
      </c>
    </row>
    <row r="9772" spans="1:2" x14ac:dyDescent="0.35">
      <c r="A9772">
        <v>7039</v>
      </c>
      <c r="B9772">
        <v>1</v>
      </c>
    </row>
    <row r="9773" spans="1:2" x14ac:dyDescent="0.35">
      <c r="A9773">
        <v>7040</v>
      </c>
      <c r="B9773">
        <v>1</v>
      </c>
    </row>
    <row r="9774" spans="1:2" x14ac:dyDescent="0.35">
      <c r="A9774">
        <v>7047</v>
      </c>
      <c r="B9774">
        <v>1</v>
      </c>
    </row>
    <row r="9775" spans="1:2" x14ac:dyDescent="0.35">
      <c r="A9775">
        <v>7082</v>
      </c>
      <c r="B9775">
        <v>1</v>
      </c>
    </row>
    <row r="9776" spans="1:2" x14ac:dyDescent="0.35">
      <c r="A9776">
        <v>7116</v>
      </c>
      <c r="B9776">
        <v>1</v>
      </c>
    </row>
    <row r="9777" spans="1:2" x14ac:dyDescent="0.35">
      <c r="A9777">
        <v>7165</v>
      </c>
      <c r="B9777">
        <v>1</v>
      </c>
    </row>
    <row r="9778" spans="1:2" x14ac:dyDescent="0.35">
      <c r="A9778">
        <v>7176</v>
      </c>
      <c r="B9778">
        <v>1</v>
      </c>
    </row>
    <row r="9779" spans="1:2" x14ac:dyDescent="0.35">
      <c r="A9779">
        <v>7236</v>
      </c>
      <c r="B9779">
        <v>1</v>
      </c>
    </row>
    <row r="9780" spans="1:2" x14ac:dyDescent="0.35">
      <c r="A9780">
        <v>7247</v>
      </c>
      <c r="B9780">
        <v>1</v>
      </c>
    </row>
    <row r="9781" spans="1:2" x14ac:dyDescent="0.35">
      <c r="A9781">
        <v>7260</v>
      </c>
      <c r="B9781">
        <v>1</v>
      </c>
    </row>
    <row r="9782" spans="1:2" x14ac:dyDescent="0.35">
      <c r="A9782">
        <v>7285</v>
      </c>
      <c r="B9782">
        <v>1</v>
      </c>
    </row>
    <row r="9783" spans="1:2" x14ac:dyDescent="0.35">
      <c r="A9783">
        <v>7295</v>
      </c>
      <c r="B9783">
        <v>1</v>
      </c>
    </row>
    <row r="9784" spans="1:2" x14ac:dyDescent="0.35">
      <c r="A9784">
        <v>7321</v>
      </c>
      <c r="B9784">
        <v>1</v>
      </c>
    </row>
    <row r="9785" spans="1:2" x14ac:dyDescent="0.35">
      <c r="A9785">
        <v>7322</v>
      </c>
      <c r="B9785">
        <v>1</v>
      </c>
    </row>
    <row r="9786" spans="1:2" x14ac:dyDescent="0.35">
      <c r="A9786">
        <v>7351</v>
      </c>
      <c r="B9786">
        <v>1</v>
      </c>
    </row>
    <row r="9787" spans="1:2" x14ac:dyDescent="0.35">
      <c r="A9787">
        <v>7363</v>
      </c>
      <c r="B9787">
        <v>1</v>
      </c>
    </row>
    <row r="9788" spans="1:2" x14ac:dyDescent="0.35">
      <c r="A9788">
        <v>7379</v>
      </c>
      <c r="B9788">
        <v>1</v>
      </c>
    </row>
    <row r="9789" spans="1:2" x14ac:dyDescent="0.35">
      <c r="A9789">
        <v>7414</v>
      </c>
      <c r="B9789">
        <v>1</v>
      </c>
    </row>
    <row r="9790" spans="1:2" x14ac:dyDescent="0.35">
      <c r="A9790">
        <v>7435</v>
      </c>
      <c r="B9790">
        <v>1</v>
      </c>
    </row>
    <row r="9791" spans="1:2" x14ac:dyDescent="0.35">
      <c r="A9791">
        <v>7449</v>
      </c>
      <c r="B9791">
        <v>1</v>
      </c>
    </row>
    <row r="9792" spans="1:2" x14ac:dyDescent="0.35">
      <c r="A9792">
        <v>7476</v>
      </c>
      <c r="B9792">
        <v>1</v>
      </c>
    </row>
    <row r="9793" spans="1:2" x14ac:dyDescent="0.35">
      <c r="A9793">
        <v>7486</v>
      </c>
      <c r="B9793">
        <v>1</v>
      </c>
    </row>
    <row r="9794" spans="1:2" x14ac:dyDescent="0.35">
      <c r="A9794">
        <v>7502</v>
      </c>
      <c r="B9794">
        <v>1</v>
      </c>
    </row>
    <row r="9795" spans="1:2" x14ac:dyDescent="0.35">
      <c r="A9795">
        <v>7529</v>
      </c>
      <c r="B9795">
        <v>1</v>
      </c>
    </row>
    <row r="9796" spans="1:2" x14ac:dyDescent="0.35">
      <c r="A9796">
        <v>7539</v>
      </c>
      <c r="B9796">
        <v>1</v>
      </c>
    </row>
    <row r="9797" spans="1:2" x14ac:dyDescent="0.35">
      <c r="A9797">
        <v>7568</v>
      </c>
      <c r="B9797">
        <v>1</v>
      </c>
    </row>
    <row r="9798" spans="1:2" x14ac:dyDescent="0.35">
      <c r="A9798">
        <v>7599</v>
      </c>
      <c r="B9798">
        <v>1</v>
      </c>
    </row>
    <row r="9799" spans="1:2" x14ac:dyDescent="0.35">
      <c r="A9799">
        <v>7610</v>
      </c>
      <c r="B9799">
        <v>1</v>
      </c>
    </row>
    <row r="9800" spans="1:2" x14ac:dyDescent="0.35">
      <c r="A9800">
        <v>7615</v>
      </c>
      <c r="B9800">
        <v>1</v>
      </c>
    </row>
    <row r="9801" spans="1:2" x14ac:dyDescent="0.35">
      <c r="A9801">
        <v>7616</v>
      </c>
      <c r="B9801">
        <v>1</v>
      </c>
    </row>
    <row r="9802" spans="1:2" x14ac:dyDescent="0.35">
      <c r="A9802">
        <v>7650</v>
      </c>
      <c r="B9802">
        <v>1</v>
      </c>
    </row>
    <row r="9803" spans="1:2" x14ac:dyDescent="0.35">
      <c r="A9803">
        <v>7653</v>
      </c>
      <c r="B9803">
        <v>1</v>
      </c>
    </row>
    <row r="9804" spans="1:2" x14ac:dyDescent="0.35">
      <c r="A9804">
        <v>7688</v>
      </c>
      <c r="B9804">
        <v>1</v>
      </c>
    </row>
    <row r="9805" spans="1:2" x14ac:dyDescent="0.35">
      <c r="A9805">
        <v>7694</v>
      </c>
      <c r="B9805">
        <v>1</v>
      </c>
    </row>
    <row r="9806" spans="1:2" x14ac:dyDescent="0.35">
      <c r="A9806">
        <v>7748</v>
      </c>
      <c r="B9806">
        <v>1</v>
      </c>
    </row>
    <row r="9807" spans="1:2" x14ac:dyDescent="0.35">
      <c r="A9807">
        <v>7804</v>
      </c>
      <c r="B9807">
        <v>1</v>
      </c>
    </row>
    <row r="9808" spans="1:2" x14ac:dyDescent="0.35">
      <c r="A9808">
        <v>7824</v>
      </c>
      <c r="B9808">
        <v>1</v>
      </c>
    </row>
    <row r="9809" spans="1:2" x14ac:dyDescent="0.35">
      <c r="A9809">
        <v>7828</v>
      </c>
      <c r="B9809">
        <v>1</v>
      </c>
    </row>
    <row r="9810" spans="1:2" x14ac:dyDescent="0.35">
      <c r="A9810">
        <v>7833</v>
      </c>
      <c r="B9810">
        <v>1</v>
      </c>
    </row>
    <row r="9811" spans="1:2" x14ac:dyDescent="0.35">
      <c r="A9811">
        <v>7856</v>
      </c>
      <c r="B9811">
        <v>1</v>
      </c>
    </row>
    <row r="9812" spans="1:2" x14ac:dyDescent="0.35">
      <c r="A9812">
        <v>7876</v>
      </c>
      <c r="B9812">
        <v>1</v>
      </c>
    </row>
    <row r="9813" spans="1:2" x14ac:dyDescent="0.35">
      <c r="A9813">
        <v>7877</v>
      </c>
      <c r="B9813">
        <v>1</v>
      </c>
    </row>
    <row r="9814" spans="1:2" x14ac:dyDescent="0.35">
      <c r="A9814">
        <v>7972</v>
      </c>
      <c r="B9814">
        <v>1</v>
      </c>
    </row>
    <row r="9815" spans="1:2" x14ac:dyDescent="0.35">
      <c r="A9815">
        <v>7999</v>
      </c>
      <c r="B9815">
        <v>1</v>
      </c>
    </row>
    <row r="9816" spans="1:2" x14ac:dyDescent="0.35">
      <c r="A9816">
        <v>8035</v>
      </c>
      <c r="B9816">
        <v>1</v>
      </c>
    </row>
    <row r="9817" spans="1:2" x14ac:dyDescent="0.35">
      <c r="A9817">
        <v>8082</v>
      </c>
      <c r="B9817">
        <v>1</v>
      </c>
    </row>
    <row r="9818" spans="1:2" x14ac:dyDescent="0.35">
      <c r="A9818">
        <v>8142</v>
      </c>
      <c r="B9818">
        <v>1</v>
      </c>
    </row>
    <row r="9819" spans="1:2" x14ac:dyDescent="0.35">
      <c r="A9819">
        <v>8142</v>
      </c>
      <c r="B9819">
        <v>1</v>
      </c>
    </row>
    <row r="9820" spans="1:2" x14ac:dyDescent="0.35">
      <c r="A9820">
        <v>8146</v>
      </c>
      <c r="B9820">
        <v>1</v>
      </c>
    </row>
    <row r="9821" spans="1:2" x14ac:dyDescent="0.35">
      <c r="A9821">
        <v>8199</v>
      </c>
      <c r="B9821">
        <v>1</v>
      </c>
    </row>
    <row r="9822" spans="1:2" x14ac:dyDescent="0.35">
      <c r="A9822">
        <v>8219</v>
      </c>
      <c r="B9822">
        <v>1</v>
      </c>
    </row>
    <row r="9823" spans="1:2" x14ac:dyDescent="0.35">
      <c r="A9823">
        <v>8262</v>
      </c>
      <c r="B9823">
        <v>1</v>
      </c>
    </row>
    <row r="9824" spans="1:2" x14ac:dyDescent="0.35">
      <c r="A9824">
        <v>8333</v>
      </c>
      <c r="B9824">
        <v>1</v>
      </c>
    </row>
    <row r="9825" spans="1:2" x14ac:dyDescent="0.35">
      <c r="A9825">
        <v>8378</v>
      </c>
      <c r="B9825">
        <v>1</v>
      </c>
    </row>
    <row r="9826" spans="1:2" x14ac:dyDescent="0.35">
      <c r="A9826">
        <v>8382</v>
      </c>
      <c r="B9826">
        <v>1</v>
      </c>
    </row>
    <row r="9827" spans="1:2" x14ac:dyDescent="0.35">
      <c r="A9827">
        <v>8383</v>
      </c>
      <c r="B9827">
        <v>1</v>
      </c>
    </row>
    <row r="9828" spans="1:2" x14ac:dyDescent="0.35">
      <c r="A9828">
        <v>8388</v>
      </c>
      <c r="B9828">
        <v>1</v>
      </c>
    </row>
    <row r="9829" spans="1:2" x14ac:dyDescent="0.35">
      <c r="A9829">
        <v>8397</v>
      </c>
      <c r="B9829">
        <v>1</v>
      </c>
    </row>
    <row r="9830" spans="1:2" x14ac:dyDescent="0.35">
      <c r="A9830">
        <v>8402</v>
      </c>
      <c r="B9830">
        <v>1</v>
      </c>
    </row>
    <row r="9831" spans="1:2" x14ac:dyDescent="0.35">
      <c r="A9831">
        <v>8425</v>
      </c>
      <c r="B9831">
        <v>1</v>
      </c>
    </row>
    <row r="9832" spans="1:2" x14ac:dyDescent="0.35">
      <c r="A9832">
        <v>8509</v>
      </c>
      <c r="B9832">
        <v>1</v>
      </c>
    </row>
    <row r="9833" spans="1:2" x14ac:dyDescent="0.35">
      <c r="A9833">
        <v>8515</v>
      </c>
      <c r="B9833">
        <v>1</v>
      </c>
    </row>
    <row r="9834" spans="1:2" x14ac:dyDescent="0.35">
      <c r="A9834">
        <v>8583</v>
      </c>
      <c r="B9834">
        <v>1</v>
      </c>
    </row>
    <row r="9835" spans="1:2" x14ac:dyDescent="0.35">
      <c r="A9835">
        <v>8594</v>
      </c>
      <c r="B9835">
        <v>1</v>
      </c>
    </row>
    <row r="9836" spans="1:2" x14ac:dyDescent="0.35">
      <c r="A9836">
        <v>8607</v>
      </c>
      <c r="B9836">
        <v>1</v>
      </c>
    </row>
    <row r="9837" spans="1:2" x14ac:dyDescent="0.35">
      <c r="A9837">
        <v>8607</v>
      </c>
      <c r="B9837">
        <v>1</v>
      </c>
    </row>
    <row r="9838" spans="1:2" x14ac:dyDescent="0.35">
      <c r="A9838">
        <v>8609</v>
      </c>
      <c r="B9838">
        <v>1</v>
      </c>
    </row>
    <row r="9839" spans="1:2" x14ac:dyDescent="0.35">
      <c r="A9839">
        <v>8628</v>
      </c>
      <c r="B9839">
        <v>1</v>
      </c>
    </row>
    <row r="9840" spans="1:2" x14ac:dyDescent="0.35">
      <c r="A9840">
        <v>8688</v>
      </c>
      <c r="B9840">
        <v>1</v>
      </c>
    </row>
    <row r="9841" spans="1:2" x14ac:dyDescent="0.35">
      <c r="A9841">
        <v>8840</v>
      </c>
      <c r="B9841">
        <v>1</v>
      </c>
    </row>
    <row r="9842" spans="1:2" x14ac:dyDescent="0.35">
      <c r="A9842">
        <v>8844</v>
      </c>
      <c r="B9842">
        <v>1</v>
      </c>
    </row>
    <row r="9843" spans="1:2" x14ac:dyDescent="0.35">
      <c r="A9843">
        <v>8858</v>
      </c>
      <c r="B9843">
        <v>1</v>
      </c>
    </row>
    <row r="9844" spans="1:2" x14ac:dyDescent="0.35">
      <c r="A9844">
        <v>9043</v>
      </c>
      <c r="B9844">
        <v>1</v>
      </c>
    </row>
    <row r="9845" spans="1:2" x14ac:dyDescent="0.35">
      <c r="A9845">
        <v>9061</v>
      </c>
      <c r="B9845">
        <v>1</v>
      </c>
    </row>
    <row r="9846" spans="1:2" x14ac:dyDescent="0.35">
      <c r="A9846">
        <v>9159</v>
      </c>
      <c r="B9846">
        <v>1</v>
      </c>
    </row>
    <row r="9847" spans="1:2" x14ac:dyDescent="0.35">
      <c r="A9847">
        <v>9208</v>
      </c>
      <c r="B9847">
        <v>1</v>
      </c>
    </row>
    <row r="9848" spans="1:2" x14ac:dyDescent="0.35">
      <c r="A9848">
        <v>9209</v>
      </c>
      <c r="B9848">
        <v>1</v>
      </c>
    </row>
    <row r="9849" spans="1:2" x14ac:dyDescent="0.35">
      <c r="A9849">
        <v>9252</v>
      </c>
      <c r="B9849">
        <v>1</v>
      </c>
    </row>
    <row r="9850" spans="1:2" x14ac:dyDescent="0.35">
      <c r="A9850">
        <v>9280</v>
      </c>
      <c r="B9850">
        <v>1</v>
      </c>
    </row>
    <row r="9851" spans="1:2" x14ac:dyDescent="0.35">
      <c r="A9851">
        <v>9384</v>
      </c>
      <c r="B9851">
        <v>1</v>
      </c>
    </row>
    <row r="9852" spans="1:2" x14ac:dyDescent="0.35">
      <c r="A9852">
        <v>9431</v>
      </c>
      <c r="B9852">
        <v>1</v>
      </c>
    </row>
    <row r="9853" spans="1:2" x14ac:dyDescent="0.35">
      <c r="A9853">
        <v>9441</v>
      </c>
      <c r="B9853">
        <v>1</v>
      </c>
    </row>
    <row r="9854" spans="1:2" x14ac:dyDescent="0.35">
      <c r="A9854">
        <v>9444</v>
      </c>
      <c r="B9854">
        <v>1</v>
      </c>
    </row>
    <row r="9855" spans="1:2" x14ac:dyDescent="0.35">
      <c r="A9855">
        <v>9444</v>
      </c>
      <c r="B9855">
        <v>1</v>
      </c>
    </row>
    <row r="9856" spans="1:2" x14ac:dyDescent="0.35">
      <c r="A9856">
        <v>9448</v>
      </c>
      <c r="B9856">
        <v>1</v>
      </c>
    </row>
    <row r="9857" spans="1:2" x14ac:dyDescent="0.35">
      <c r="A9857">
        <v>9508</v>
      </c>
      <c r="B9857">
        <v>1</v>
      </c>
    </row>
    <row r="9858" spans="1:2" x14ac:dyDescent="0.35">
      <c r="A9858">
        <v>9512</v>
      </c>
      <c r="B9858">
        <v>1</v>
      </c>
    </row>
    <row r="9859" spans="1:2" x14ac:dyDescent="0.35">
      <c r="A9859">
        <v>9564</v>
      </c>
      <c r="B9859">
        <v>1</v>
      </c>
    </row>
    <row r="9860" spans="1:2" x14ac:dyDescent="0.35">
      <c r="A9860">
        <v>9583</v>
      </c>
      <c r="B9860">
        <v>1</v>
      </c>
    </row>
    <row r="9861" spans="1:2" x14ac:dyDescent="0.35">
      <c r="A9861">
        <v>9591</v>
      </c>
      <c r="B9861">
        <v>1</v>
      </c>
    </row>
    <row r="9862" spans="1:2" x14ac:dyDescent="0.35">
      <c r="A9862">
        <v>9622</v>
      </c>
      <c r="B9862">
        <v>1</v>
      </c>
    </row>
    <row r="9863" spans="1:2" x14ac:dyDescent="0.35">
      <c r="A9863">
        <v>9686</v>
      </c>
      <c r="B9863">
        <v>1</v>
      </c>
    </row>
    <row r="9864" spans="1:2" x14ac:dyDescent="0.35">
      <c r="A9864">
        <v>9806</v>
      </c>
      <c r="B9864">
        <v>1</v>
      </c>
    </row>
    <row r="9865" spans="1:2" x14ac:dyDescent="0.35">
      <c r="A9865">
        <v>9815</v>
      </c>
      <c r="B9865">
        <v>1</v>
      </c>
    </row>
    <row r="9866" spans="1:2" x14ac:dyDescent="0.35">
      <c r="A9866">
        <v>9833</v>
      </c>
      <c r="B9866">
        <v>1</v>
      </c>
    </row>
    <row r="9867" spans="1:2" x14ac:dyDescent="0.35">
      <c r="A9867">
        <v>9842</v>
      </c>
      <c r="B9867">
        <v>1</v>
      </c>
    </row>
    <row r="9868" spans="1:2" x14ac:dyDescent="0.35">
      <c r="A9868">
        <v>9867</v>
      </c>
      <c r="B9868">
        <v>1</v>
      </c>
    </row>
    <row r="9869" spans="1:2" x14ac:dyDescent="0.35">
      <c r="A9869">
        <v>9875</v>
      </c>
      <c r="B9869">
        <v>1</v>
      </c>
    </row>
    <row r="9870" spans="1:2" x14ac:dyDescent="0.35">
      <c r="A9870">
        <v>9882</v>
      </c>
      <c r="B9870">
        <v>1</v>
      </c>
    </row>
    <row r="9871" spans="1:2" x14ac:dyDescent="0.35">
      <c r="A9871">
        <v>10012</v>
      </c>
      <c r="B9871">
        <v>1</v>
      </c>
    </row>
    <row r="9872" spans="1:2" x14ac:dyDescent="0.35">
      <c r="A9872">
        <v>10032</v>
      </c>
      <c r="B9872">
        <v>1</v>
      </c>
    </row>
    <row r="9873" spans="1:2" x14ac:dyDescent="0.35">
      <c r="A9873">
        <v>10041</v>
      </c>
      <c r="B9873">
        <v>1</v>
      </c>
    </row>
    <row r="9874" spans="1:2" x14ac:dyDescent="0.35">
      <c r="A9874">
        <v>10060</v>
      </c>
      <c r="B9874">
        <v>1</v>
      </c>
    </row>
    <row r="9875" spans="1:2" x14ac:dyDescent="0.35">
      <c r="A9875">
        <v>10149</v>
      </c>
      <c r="B9875">
        <v>1</v>
      </c>
    </row>
    <row r="9876" spans="1:2" x14ac:dyDescent="0.35">
      <c r="A9876">
        <v>10200</v>
      </c>
      <c r="B9876">
        <v>1</v>
      </c>
    </row>
    <row r="9877" spans="1:2" x14ac:dyDescent="0.35">
      <c r="A9877">
        <v>10245</v>
      </c>
      <c r="B9877">
        <v>1</v>
      </c>
    </row>
    <row r="9878" spans="1:2" x14ac:dyDescent="0.35">
      <c r="A9878">
        <v>10264</v>
      </c>
      <c r="B9878">
        <v>1</v>
      </c>
    </row>
    <row r="9879" spans="1:2" x14ac:dyDescent="0.35">
      <c r="A9879">
        <v>10280</v>
      </c>
      <c r="B9879">
        <v>1</v>
      </c>
    </row>
    <row r="9880" spans="1:2" x14ac:dyDescent="0.35">
      <c r="A9880">
        <v>10308</v>
      </c>
      <c r="B9880">
        <v>1</v>
      </c>
    </row>
    <row r="9881" spans="1:2" x14ac:dyDescent="0.35">
      <c r="A9881">
        <v>10341</v>
      </c>
      <c r="B9881">
        <v>1</v>
      </c>
    </row>
    <row r="9882" spans="1:2" x14ac:dyDescent="0.35">
      <c r="A9882">
        <v>10386</v>
      </c>
      <c r="B9882">
        <v>1</v>
      </c>
    </row>
    <row r="9883" spans="1:2" x14ac:dyDescent="0.35">
      <c r="A9883">
        <v>10561</v>
      </c>
      <c r="B9883">
        <v>1</v>
      </c>
    </row>
    <row r="9884" spans="1:2" x14ac:dyDescent="0.35">
      <c r="A9884">
        <v>10601</v>
      </c>
      <c r="B9884">
        <v>1</v>
      </c>
    </row>
    <row r="9885" spans="1:2" x14ac:dyDescent="0.35">
      <c r="A9885">
        <v>10657</v>
      </c>
      <c r="B9885">
        <v>1</v>
      </c>
    </row>
    <row r="9886" spans="1:2" x14ac:dyDescent="0.35">
      <c r="A9886">
        <v>10699</v>
      </c>
      <c r="B9886">
        <v>1</v>
      </c>
    </row>
    <row r="9887" spans="1:2" x14ac:dyDescent="0.35">
      <c r="A9887">
        <v>10710</v>
      </c>
      <c r="B9887">
        <v>1</v>
      </c>
    </row>
    <row r="9888" spans="1:2" x14ac:dyDescent="0.35">
      <c r="A9888">
        <v>10716</v>
      </c>
      <c r="B9888">
        <v>1</v>
      </c>
    </row>
    <row r="9889" spans="1:2" x14ac:dyDescent="0.35">
      <c r="A9889">
        <v>10872</v>
      </c>
      <c r="B9889">
        <v>1</v>
      </c>
    </row>
    <row r="9890" spans="1:2" x14ac:dyDescent="0.35">
      <c r="A9890">
        <v>10912</v>
      </c>
      <c r="B9890">
        <v>1</v>
      </c>
    </row>
    <row r="9891" spans="1:2" x14ac:dyDescent="0.35">
      <c r="A9891">
        <v>10974</v>
      </c>
      <c r="B9891">
        <v>1</v>
      </c>
    </row>
    <row r="9892" spans="1:2" x14ac:dyDescent="0.35">
      <c r="A9892">
        <v>11101</v>
      </c>
      <c r="B9892">
        <v>1</v>
      </c>
    </row>
    <row r="9893" spans="1:2" x14ac:dyDescent="0.35">
      <c r="A9893">
        <v>11177</v>
      </c>
      <c r="B9893">
        <v>1</v>
      </c>
    </row>
    <row r="9894" spans="1:2" x14ac:dyDescent="0.35">
      <c r="A9894">
        <v>11270</v>
      </c>
      <c r="B9894">
        <v>1</v>
      </c>
    </row>
    <row r="9895" spans="1:2" x14ac:dyDescent="0.35">
      <c r="A9895">
        <v>11433</v>
      </c>
      <c r="B9895">
        <v>1</v>
      </c>
    </row>
    <row r="9896" spans="1:2" x14ac:dyDescent="0.35">
      <c r="A9896">
        <v>11470</v>
      </c>
      <c r="B9896">
        <v>1</v>
      </c>
    </row>
    <row r="9897" spans="1:2" x14ac:dyDescent="0.35">
      <c r="A9897">
        <v>11505</v>
      </c>
      <c r="B9897">
        <v>1</v>
      </c>
    </row>
    <row r="9898" spans="1:2" x14ac:dyDescent="0.35">
      <c r="A9898">
        <v>11543</v>
      </c>
      <c r="B9898">
        <v>1</v>
      </c>
    </row>
    <row r="9899" spans="1:2" x14ac:dyDescent="0.35">
      <c r="A9899">
        <v>11573</v>
      </c>
      <c r="B9899">
        <v>1</v>
      </c>
    </row>
    <row r="9900" spans="1:2" x14ac:dyDescent="0.35">
      <c r="A9900">
        <v>11604</v>
      </c>
      <c r="B9900">
        <v>1</v>
      </c>
    </row>
    <row r="9901" spans="1:2" x14ac:dyDescent="0.35">
      <c r="A9901">
        <v>11644</v>
      </c>
      <c r="B9901">
        <v>1</v>
      </c>
    </row>
    <row r="9902" spans="1:2" x14ac:dyDescent="0.35">
      <c r="A9902">
        <v>11671</v>
      </c>
      <c r="B9902">
        <v>1</v>
      </c>
    </row>
    <row r="9903" spans="1:2" x14ac:dyDescent="0.35">
      <c r="A9903">
        <v>11751</v>
      </c>
      <c r="B9903">
        <v>1</v>
      </c>
    </row>
    <row r="9904" spans="1:2" x14ac:dyDescent="0.35">
      <c r="A9904">
        <v>11768</v>
      </c>
      <c r="B9904">
        <v>1</v>
      </c>
    </row>
    <row r="9905" spans="1:2" x14ac:dyDescent="0.35">
      <c r="A9905">
        <v>11842</v>
      </c>
      <c r="B9905">
        <v>1</v>
      </c>
    </row>
    <row r="9906" spans="1:2" x14ac:dyDescent="0.35">
      <c r="A9906">
        <v>12006</v>
      </c>
      <c r="B9906">
        <v>1</v>
      </c>
    </row>
    <row r="9907" spans="1:2" x14ac:dyDescent="0.35">
      <c r="A9907">
        <v>12021</v>
      </c>
      <c r="B9907">
        <v>1</v>
      </c>
    </row>
    <row r="9908" spans="1:2" x14ac:dyDescent="0.35">
      <c r="A9908">
        <v>12077</v>
      </c>
      <c r="B9908">
        <v>1</v>
      </c>
    </row>
    <row r="9909" spans="1:2" x14ac:dyDescent="0.35">
      <c r="A9909">
        <v>12087</v>
      </c>
      <c r="B9909">
        <v>1</v>
      </c>
    </row>
    <row r="9910" spans="1:2" x14ac:dyDescent="0.35">
      <c r="A9910">
        <v>12148</v>
      </c>
      <c r="B9910">
        <v>1</v>
      </c>
    </row>
    <row r="9911" spans="1:2" x14ac:dyDescent="0.35">
      <c r="A9911">
        <v>12309</v>
      </c>
      <c r="B9911">
        <v>1</v>
      </c>
    </row>
    <row r="9912" spans="1:2" x14ac:dyDescent="0.35">
      <c r="A9912">
        <v>12384</v>
      </c>
      <c r="B9912">
        <v>1</v>
      </c>
    </row>
    <row r="9913" spans="1:2" x14ac:dyDescent="0.35">
      <c r="A9913">
        <v>12512</v>
      </c>
      <c r="B9913">
        <v>1</v>
      </c>
    </row>
    <row r="9914" spans="1:2" x14ac:dyDescent="0.35">
      <c r="A9914">
        <v>12539</v>
      </c>
      <c r="B9914">
        <v>1</v>
      </c>
    </row>
    <row r="9915" spans="1:2" x14ac:dyDescent="0.35">
      <c r="A9915">
        <v>12554</v>
      </c>
      <c r="B9915">
        <v>1</v>
      </c>
    </row>
    <row r="9916" spans="1:2" x14ac:dyDescent="0.35">
      <c r="A9916">
        <v>12569</v>
      </c>
      <c r="B9916">
        <v>1</v>
      </c>
    </row>
    <row r="9917" spans="1:2" x14ac:dyDescent="0.35">
      <c r="A9917">
        <v>12648</v>
      </c>
      <c r="B9917">
        <v>1</v>
      </c>
    </row>
    <row r="9918" spans="1:2" x14ac:dyDescent="0.35">
      <c r="A9918">
        <v>12665</v>
      </c>
      <c r="B9918">
        <v>1</v>
      </c>
    </row>
    <row r="9919" spans="1:2" x14ac:dyDescent="0.35">
      <c r="A9919">
        <v>12830</v>
      </c>
      <c r="B9919">
        <v>1</v>
      </c>
    </row>
    <row r="9920" spans="1:2" x14ac:dyDescent="0.35">
      <c r="A9920">
        <v>13062</v>
      </c>
      <c r="B9920">
        <v>1</v>
      </c>
    </row>
    <row r="9921" spans="1:2" x14ac:dyDescent="0.35">
      <c r="A9921">
        <v>13198</v>
      </c>
      <c r="B9921">
        <v>1</v>
      </c>
    </row>
    <row r="9922" spans="1:2" x14ac:dyDescent="0.35">
      <c r="A9922">
        <v>13207</v>
      </c>
      <c r="B9922">
        <v>1</v>
      </c>
    </row>
    <row r="9923" spans="1:2" x14ac:dyDescent="0.35">
      <c r="A9923">
        <v>13272</v>
      </c>
      <c r="B9923">
        <v>1</v>
      </c>
    </row>
    <row r="9924" spans="1:2" x14ac:dyDescent="0.35">
      <c r="A9924">
        <v>13367</v>
      </c>
      <c r="B9924">
        <v>1</v>
      </c>
    </row>
    <row r="9925" spans="1:2" x14ac:dyDescent="0.35">
      <c r="A9925">
        <v>13729</v>
      </c>
      <c r="B9925">
        <v>1</v>
      </c>
    </row>
    <row r="9926" spans="1:2" x14ac:dyDescent="0.35">
      <c r="A9926">
        <v>13747</v>
      </c>
      <c r="B9926">
        <v>1</v>
      </c>
    </row>
    <row r="9927" spans="1:2" x14ac:dyDescent="0.35">
      <c r="A9927">
        <v>13911</v>
      </c>
      <c r="B9927">
        <v>1</v>
      </c>
    </row>
    <row r="9928" spans="1:2" x14ac:dyDescent="0.35">
      <c r="A9928">
        <v>14013</v>
      </c>
      <c r="B9928">
        <v>1</v>
      </c>
    </row>
    <row r="9929" spans="1:2" x14ac:dyDescent="0.35">
      <c r="A9929">
        <v>14032</v>
      </c>
      <c r="B9929">
        <v>1</v>
      </c>
    </row>
    <row r="9930" spans="1:2" x14ac:dyDescent="0.35">
      <c r="A9930">
        <v>14348</v>
      </c>
      <c r="B9930">
        <v>1</v>
      </c>
    </row>
    <row r="9931" spans="1:2" x14ac:dyDescent="0.35">
      <c r="A9931">
        <v>14395</v>
      </c>
      <c r="B9931">
        <v>1</v>
      </c>
    </row>
    <row r="9932" spans="1:2" x14ac:dyDescent="0.35">
      <c r="A9932">
        <v>14664</v>
      </c>
      <c r="B9932">
        <v>1</v>
      </c>
    </row>
    <row r="9933" spans="1:2" x14ac:dyDescent="0.35">
      <c r="A9933">
        <v>14706</v>
      </c>
      <c r="B9933">
        <v>1</v>
      </c>
    </row>
    <row r="9934" spans="1:2" x14ac:dyDescent="0.35">
      <c r="A9934">
        <v>14728</v>
      </c>
      <c r="B9934">
        <v>1</v>
      </c>
    </row>
    <row r="9935" spans="1:2" x14ac:dyDescent="0.35">
      <c r="A9935">
        <v>14740</v>
      </c>
      <c r="B9935">
        <v>1</v>
      </c>
    </row>
    <row r="9936" spans="1:2" x14ac:dyDescent="0.35">
      <c r="A9936">
        <v>14759</v>
      </c>
      <c r="B9936">
        <v>1</v>
      </c>
    </row>
    <row r="9937" spans="1:2" x14ac:dyDescent="0.35">
      <c r="A9937">
        <v>14903</v>
      </c>
      <c r="B9937">
        <v>1</v>
      </c>
    </row>
    <row r="9938" spans="1:2" x14ac:dyDescent="0.35">
      <c r="A9938">
        <v>14965</v>
      </c>
      <c r="B9938">
        <v>1</v>
      </c>
    </row>
    <row r="9939" spans="1:2" x14ac:dyDescent="0.35">
      <c r="A9939">
        <v>15014</v>
      </c>
      <c r="B9939">
        <v>1</v>
      </c>
    </row>
    <row r="9940" spans="1:2" x14ac:dyDescent="0.35">
      <c r="A9940">
        <v>15109</v>
      </c>
      <c r="B9940">
        <v>1</v>
      </c>
    </row>
    <row r="9941" spans="1:2" x14ac:dyDescent="0.35">
      <c r="A9941">
        <v>15158</v>
      </c>
      <c r="B9941">
        <v>1</v>
      </c>
    </row>
    <row r="9942" spans="1:2" x14ac:dyDescent="0.35">
      <c r="A9942">
        <v>15174</v>
      </c>
      <c r="B9942">
        <v>1</v>
      </c>
    </row>
    <row r="9943" spans="1:2" x14ac:dyDescent="0.35">
      <c r="A9943">
        <v>15253</v>
      </c>
      <c r="B9943">
        <v>1</v>
      </c>
    </row>
    <row r="9944" spans="1:2" x14ac:dyDescent="0.35">
      <c r="A9944">
        <v>15327</v>
      </c>
      <c r="B9944">
        <v>1</v>
      </c>
    </row>
    <row r="9945" spans="1:2" x14ac:dyDescent="0.35">
      <c r="A9945">
        <v>15503</v>
      </c>
      <c r="B9945">
        <v>1</v>
      </c>
    </row>
    <row r="9946" spans="1:2" x14ac:dyDescent="0.35">
      <c r="A9946">
        <v>15665</v>
      </c>
      <c r="B9946">
        <v>1</v>
      </c>
    </row>
    <row r="9947" spans="1:2" x14ac:dyDescent="0.35">
      <c r="A9947">
        <v>15748</v>
      </c>
      <c r="B9947">
        <v>1</v>
      </c>
    </row>
    <row r="9948" spans="1:2" x14ac:dyDescent="0.35">
      <c r="A9948">
        <v>15929</v>
      </c>
      <c r="B9948">
        <v>1</v>
      </c>
    </row>
    <row r="9949" spans="1:2" x14ac:dyDescent="0.35">
      <c r="A9949">
        <v>16049</v>
      </c>
      <c r="B9949">
        <v>1</v>
      </c>
    </row>
    <row r="9950" spans="1:2" x14ac:dyDescent="0.35">
      <c r="A9950">
        <v>16202</v>
      </c>
      <c r="B9950">
        <v>1</v>
      </c>
    </row>
    <row r="9951" spans="1:2" x14ac:dyDescent="0.35">
      <c r="A9951">
        <v>16812</v>
      </c>
      <c r="B9951">
        <v>1</v>
      </c>
    </row>
    <row r="9952" spans="1:2" x14ac:dyDescent="0.35">
      <c r="A9952">
        <v>17122</v>
      </c>
      <c r="B9952">
        <v>1</v>
      </c>
    </row>
    <row r="9953" spans="1:2" x14ac:dyDescent="0.35">
      <c r="A9953">
        <v>17191</v>
      </c>
      <c r="B9953">
        <v>1</v>
      </c>
    </row>
    <row r="9954" spans="1:2" x14ac:dyDescent="0.35">
      <c r="A9954">
        <v>17307</v>
      </c>
      <c r="B9954">
        <v>1</v>
      </c>
    </row>
    <row r="9955" spans="1:2" x14ac:dyDescent="0.35">
      <c r="A9955">
        <v>17477</v>
      </c>
      <c r="B9955">
        <v>1</v>
      </c>
    </row>
    <row r="9956" spans="1:2" x14ac:dyDescent="0.35">
      <c r="A9956">
        <v>17591</v>
      </c>
      <c r="B9956">
        <v>1</v>
      </c>
    </row>
    <row r="9957" spans="1:2" x14ac:dyDescent="0.35">
      <c r="A9957">
        <v>17671</v>
      </c>
      <c r="B9957">
        <v>1</v>
      </c>
    </row>
    <row r="9958" spans="1:2" x14ac:dyDescent="0.35">
      <c r="A9958">
        <v>17732</v>
      </c>
      <c r="B9958">
        <v>1</v>
      </c>
    </row>
    <row r="9959" spans="1:2" x14ac:dyDescent="0.35">
      <c r="A9959">
        <v>17771</v>
      </c>
      <c r="B9959">
        <v>1</v>
      </c>
    </row>
    <row r="9960" spans="1:2" x14ac:dyDescent="0.35">
      <c r="A9960">
        <v>17857</v>
      </c>
      <c r="B9960">
        <v>1</v>
      </c>
    </row>
    <row r="9961" spans="1:2" x14ac:dyDescent="0.35">
      <c r="A9961">
        <v>17887</v>
      </c>
      <c r="B9961">
        <v>1</v>
      </c>
    </row>
    <row r="9962" spans="1:2" x14ac:dyDescent="0.35">
      <c r="A9962">
        <v>17894</v>
      </c>
      <c r="B9962">
        <v>1</v>
      </c>
    </row>
    <row r="9963" spans="1:2" x14ac:dyDescent="0.35">
      <c r="A9963">
        <v>17921</v>
      </c>
      <c r="B9963">
        <v>1</v>
      </c>
    </row>
    <row r="9964" spans="1:2" x14ac:dyDescent="0.35">
      <c r="A9964">
        <v>17997</v>
      </c>
      <c r="B9964">
        <v>1</v>
      </c>
    </row>
    <row r="9965" spans="1:2" x14ac:dyDescent="0.35">
      <c r="A9965">
        <v>18313</v>
      </c>
      <c r="B9965">
        <v>1</v>
      </c>
    </row>
    <row r="9966" spans="1:2" x14ac:dyDescent="0.35">
      <c r="A9966">
        <v>18830</v>
      </c>
      <c r="B9966">
        <v>1</v>
      </c>
    </row>
    <row r="9967" spans="1:2" x14ac:dyDescent="0.35">
      <c r="A9967">
        <v>18866</v>
      </c>
      <c r="B9967">
        <v>1</v>
      </c>
    </row>
    <row r="9968" spans="1:2" x14ac:dyDescent="0.35">
      <c r="A9968">
        <v>19782</v>
      </c>
      <c r="B9968">
        <v>1</v>
      </c>
    </row>
    <row r="9969" spans="1:2" x14ac:dyDescent="0.35">
      <c r="A9969">
        <v>20356</v>
      </c>
      <c r="B9969">
        <v>1</v>
      </c>
    </row>
    <row r="9970" spans="1:2" x14ac:dyDescent="0.35">
      <c r="A9970">
        <v>20424</v>
      </c>
      <c r="B9970">
        <v>1</v>
      </c>
    </row>
    <row r="9971" spans="1:2" x14ac:dyDescent="0.35">
      <c r="A9971">
        <v>20691</v>
      </c>
      <c r="B9971">
        <v>1</v>
      </c>
    </row>
    <row r="9972" spans="1:2" x14ac:dyDescent="0.35">
      <c r="A9972">
        <v>20896</v>
      </c>
      <c r="B9972">
        <v>1</v>
      </c>
    </row>
    <row r="9973" spans="1:2" x14ac:dyDescent="0.35">
      <c r="A9973">
        <v>21382</v>
      </c>
      <c r="B9973">
        <v>1</v>
      </c>
    </row>
    <row r="9974" spans="1:2" x14ac:dyDescent="0.35">
      <c r="A9974">
        <v>21704</v>
      </c>
      <c r="B9974">
        <v>1</v>
      </c>
    </row>
    <row r="9975" spans="1:2" x14ac:dyDescent="0.35">
      <c r="A9975">
        <v>22093</v>
      </c>
      <c r="B9975">
        <v>1</v>
      </c>
    </row>
    <row r="9976" spans="1:2" x14ac:dyDescent="0.35">
      <c r="A9976">
        <v>22409</v>
      </c>
      <c r="B9976">
        <v>1</v>
      </c>
    </row>
    <row r="9977" spans="1:2" x14ac:dyDescent="0.35">
      <c r="A9977">
        <v>22951</v>
      </c>
      <c r="B9977">
        <v>1</v>
      </c>
    </row>
    <row r="9978" spans="1:2" x14ac:dyDescent="0.35">
      <c r="A9978">
        <v>23647</v>
      </c>
      <c r="B9978">
        <v>1</v>
      </c>
    </row>
    <row r="9979" spans="1:2" x14ac:dyDescent="0.35">
      <c r="A9979">
        <v>23712</v>
      </c>
      <c r="B9979">
        <v>1</v>
      </c>
    </row>
    <row r="9980" spans="1:2" x14ac:dyDescent="0.35">
      <c r="A9980">
        <v>24611</v>
      </c>
      <c r="B9980">
        <v>1</v>
      </c>
    </row>
    <row r="9981" spans="1:2" x14ac:dyDescent="0.35">
      <c r="A9981">
        <v>24900</v>
      </c>
      <c r="B9981">
        <v>1</v>
      </c>
    </row>
    <row r="9982" spans="1:2" x14ac:dyDescent="0.35">
      <c r="A9982">
        <v>25331</v>
      </c>
      <c r="B9982">
        <v>1</v>
      </c>
    </row>
    <row r="9983" spans="1:2" x14ac:dyDescent="0.35">
      <c r="A9983">
        <v>27680</v>
      </c>
      <c r="B9983">
        <v>1</v>
      </c>
    </row>
    <row r="9984" spans="1:2" x14ac:dyDescent="0.35">
      <c r="A9984">
        <v>28554</v>
      </c>
      <c r="B9984">
        <v>1</v>
      </c>
    </row>
    <row r="9985" spans="1:2" x14ac:dyDescent="0.35">
      <c r="A9985">
        <v>28814</v>
      </c>
      <c r="B9985">
        <v>1</v>
      </c>
    </row>
    <row r="9986" spans="1:2" x14ac:dyDescent="0.35">
      <c r="A9986">
        <v>28997</v>
      </c>
      <c r="B9986">
        <v>1</v>
      </c>
    </row>
    <row r="9987" spans="1:2" x14ac:dyDescent="0.35">
      <c r="A9987">
        <v>29303</v>
      </c>
      <c r="B9987">
        <v>1</v>
      </c>
    </row>
    <row r="9988" spans="1:2" x14ac:dyDescent="0.35">
      <c r="A9988">
        <v>29454</v>
      </c>
      <c r="B9988">
        <v>1</v>
      </c>
    </row>
    <row r="9989" spans="1:2" x14ac:dyDescent="0.35">
      <c r="A9989">
        <v>31130</v>
      </c>
      <c r="B9989">
        <v>1</v>
      </c>
    </row>
    <row r="9990" spans="1:2" x14ac:dyDescent="0.35">
      <c r="A9990">
        <v>31387</v>
      </c>
      <c r="B9990">
        <v>1</v>
      </c>
    </row>
    <row r="9991" spans="1:2" x14ac:dyDescent="0.35">
      <c r="A9991">
        <v>31643</v>
      </c>
      <c r="B9991">
        <v>1</v>
      </c>
    </row>
    <row r="9992" spans="1:2" x14ac:dyDescent="0.35">
      <c r="A9992">
        <v>31807</v>
      </c>
      <c r="B9992">
        <v>1</v>
      </c>
    </row>
    <row r="9993" spans="1:2" x14ac:dyDescent="0.35">
      <c r="A9993">
        <v>32859</v>
      </c>
      <c r="B9993">
        <v>1</v>
      </c>
    </row>
    <row r="9994" spans="1:2" x14ac:dyDescent="0.35">
      <c r="A9994">
        <v>34869</v>
      </c>
      <c r="B9994">
        <v>1</v>
      </c>
    </row>
    <row r="9995" spans="1:2" x14ac:dyDescent="0.35">
      <c r="A9995">
        <v>38320</v>
      </c>
      <c r="B9995">
        <v>1</v>
      </c>
    </row>
    <row r="9996" spans="1:2" x14ac:dyDescent="0.35">
      <c r="A9996">
        <v>38915</v>
      </c>
      <c r="B9996">
        <v>1</v>
      </c>
    </row>
    <row r="9997" spans="1:2" x14ac:dyDescent="0.35">
      <c r="A9997">
        <v>39115</v>
      </c>
      <c r="B9997">
        <v>1</v>
      </c>
    </row>
    <row r="9998" spans="1:2" x14ac:dyDescent="0.35">
      <c r="A9998">
        <v>43820</v>
      </c>
      <c r="B9998">
        <v>1</v>
      </c>
    </row>
    <row r="9999" spans="1:2" x14ac:dyDescent="0.35">
      <c r="A9999">
        <v>45597</v>
      </c>
      <c r="B9999">
        <v>1</v>
      </c>
    </row>
    <row r="10000" spans="1:2" x14ac:dyDescent="0.35">
      <c r="A10000">
        <v>80000</v>
      </c>
      <c r="B10000">
        <v>1</v>
      </c>
    </row>
    <row r="10001" spans="1:2" x14ac:dyDescent="0.35">
      <c r="A10001">
        <v>80000</v>
      </c>
      <c r="B10001">
        <v>1</v>
      </c>
    </row>
  </sheetData>
  <sortState xmlns:xlrd2="http://schemas.microsoft.com/office/spreadsheetml/2017/richdata2" ref="A2:B10001">
    <sortCondition ref="A1:A10001"/>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3CD1-B517-48D3-9C95-56C345CA3CF0}">
  <sheetPr codeName="Sheet12"/>
  <dimension ref="A1:AC152"/>
  <sheetViews>
    <sheetView zoomScale="80" zoomScaleNormal="80" workbookViewId="0">
      <selection activeCell="E5" sqref="E5"/>
    </sheetView>
  </sheetViews>
  <sheetFormatPr defaultRowHeight="14.5" x14ac:dyDescent="0.35"/>
  <cols>
    <col min="1" max="1" width="20.81640625" customWidth="1"/>
    <col min="2" max="2" width="7.7265625" customWidth="1"/>
    <col min="4" max="4" width="14.7265625" customWidth="1"/>
    <col min="5" max="5" width="13.453125" customWidth="1"/>
    <col min="7" max="7" width="12.26953125" customWidth="1"/>
    <col min="10" max="10" width="18.26953125" customWidth="1"/>
    <col min="23" max="23" width="15.7265625" customWidth="1"/>
    <col min="24" max="24" width="27.453125" customWidth="1"/>
  </cols>
  <sheetData>
    <row r="1" spans="1:29" x14ac:dyDescent="0.35">
      <c r="A1" t="s">
        <v>15</v>
      </c>
      <c r="B1">
        <v>1</v>
      </c>
      <c r="F1" s="34" t="s">
        <v>16</v>
      </c>
      <c r="G1" t="s">
        <v>17</v>
      </c>
      <c r="Z1">
        <v>-75</v>
      </c>
      <c r="AA1">
        <f>Z1*10</f>
        <v>-750</v>
      </c>
      <c r="AB1" s="44">
        <f>AA1  *  E$4/500</f>
        <v>-210.04678552545209</v>
      </c>
      <c r="AC1">
        <f t="shared" ref="AC1:AC64" si="0">NORMDIST((AB1+0.5)*B$1,$B$2,$B$4, TRUE)   -   NORMDIST((AB1-0.5)*B$1,$B$2,$B$4, TRUE)</f>
        <v>5.9078452038395589E-7</v>
      </c>
    </row>
    <row r="2" spans="1:29" ht="18.5" x14ac:dyDescent="0.45">
      <c r="A2" t="s">
        <v>18</v>
      </c>
      <c r="B2">
        <f>B3 *  B5</f>
        <v>-41.163506430070619</v>
      </c>
      <c r="D2" t="s">
        <v>10</v>
      </c>
      <c r="E2" s="45">
        <f>SUM(MathSheet!B3:B4)</f>
        <v>0.70604044479593309</v>
      </c>
      <c r="G2" t="s">
        <v>19</v>
      </c>
      <c r="Z2">
        <v>-74</v>
      </c>
      <c r="AA2">
        <f t="shared" ref="AA2:AA65" si="1">Z2*10</f>
        <v>-740</v>
      </c>
      <c r="AB2" s="44">
        <f t="shared" ref="AB2:AB65" si="2">AA2  *  E$4/500</f>
        <v>-207.24616171844607</v>
      </c>
      <c r="AC2">
        <f t="shared" si="0"/>
        <v>8.1496349705221436E-7</v>
      </c>
    </row>
    <row r="3" spans="1:29" ht="18.5" x14ac:dyDescent="0.45">
      <c r="A3" t="s">
        <v>20</v>
      </c>
      <c r="B3" s="46">
        <f>E2-1</f>
        <v>-0.29395955520406691</v>
      </c>
      <c r="D3" t="s">
        <v>21</v>
      </c>
      <c r="E3" s="110">
        <f>MathSheet!E5</f>
        <v>3.2267684325505002</v>
      </c>
      <c r="G3" t="s">
        <v>22</v>
      </c>
      <c r="Z3">
        <v>-73</v>
      </c>
      <c r="AA3">
        <f t="shared" si="1"/>
        <v>-730</v>
      </c>
      <c r="AB3" s="44">
        <f t="shared" si="2"/>
        <v>-204.44553791144</v>
      </c>
      <c r="AC3">
        <f t="shared" si="0"/>
        <v>1.1181781799051262E-6</v>
      </c>
    </row>
    <row r="4" spans="1:29" ht="18.5" x14ac:dyDescent="0.45">
      <c r="A4" t="s">
        <v>23</v>
      </c>
      <c r="B4" s="10">
        <f>E4^0.5   *  E3   *  B1</f>
        <v>38.183891727095634</v>
      </c>
      <c r="D4" t="s">
        <v>24</v>
      </c>
      <c r="E4" s="48">
        <f>MathSheet!D47</f>
        <v>140.03119035030139</v>
      </c>
      <c r="Z4">
        <v>-72</v>
      </c>
      <c r="AA4">
        <f t="shared" si="1"/>
        <v>-720</v>
      </c>
      <c r="AB4" s="44">
        <f t="shared" si="2"/>
        <v>-201.64491410443398</v>
      </c>
      <c r="AC4">
        <f t="shared" si="0"/>
        <v>1.5259759073539601E-6</v>
      </c>
    </row>
    <row r="5" spans="1:29" x14ac:dyDescent="0.35">
      <c r="A5" t="s">
        <v>25</v>
      </c>
      <c r="B5">
        <f>B1 * E4</f>
        <v>140.03119035030139</v>
      </c>
      <c r="G5" t="s">
        <v>26</v>
      </c>
      <c r="Z5">
        <v>-71</v>
      </c>
      <c r="AA5">
        <f t="shared" si="1"/>
        <v>-710</v>
      </c>
      <c r="AB5" s="44">
        <f t="shared" si="2"/>
        <v>-198.84429029742796</v>
      </c>
      <c r="AC5">
        <f t="shared" si="0"/>
        <v>2.0713245270258588E-6</v>
      </c>
    </row>
    <row r="6" spans="1:29" x14ac:dyDescent="0.35">
      <c r="G6" t="s">
        <v>27</v>
      </c>
      <c r="Z6">
        <v>-70</v>
      </c>
      <c r="AA6">
        <f t="shared" si="1"/>
        <v>-700</v>
      </c>
      <c r="AB6" s="44">
        <f t="shared" si="2"/>
        <v>-196.04366649042194</v>
      </c>
      <c r="AC6">
        <f t="shared" si="0"/>
        <v>2.7964845605332743E-6</v>
      </c>
    </row>
    <row r="7" spans="1:29" x14ac:dyDescent="0.35">
      <c r="A7" s="49" t="s">
        <v>28</v>
      </c>
      <c r="B7" s="50" t="s">
        <v>29</v>
      </c>
      <c r="G7" t="s">
        <v>30</v>
      </c>
      <c r="Z7">
        <v>-69</v>
      </c>
      <c r="AA7">
        <f t="shared" si="1"/>
        <v>-690</v>
      </c>
      <c r="AB7" s="44">
        <f t="shared" si="2"/>
        <v>-193.24304268341589</v>
      </c>
      <c r="AC7">
        <f t="shared" si="0"/>
        <v>3.7552643233599803E-6</v>
      </c>
    </row>
    <row r="8" spans="1:29" x14ac:dyDescent="0.35">
      <c r="G8" s="1"/>
      <c r="Z8">
        <v>-68</v>
      </c>
      <c r="AA8">
        <f t="shared" si="1"/>
        <v>-680</v>
      </c>
      <c r="AB8" s="44">
        <f t="shared" si="2"/>
        <v>-190.44241887640987</v>
      </c>
      <c r="AC8">
        <f t="shared" si="0"/>
        <v>5.0157098327136975E-6</v>
      </c>
    </row>
    <row r="9" spans="1:29" x14ac:dyDescent="0.35">
      <c r="Z9">
        <v>-67</v>
      </c>
      <c r="AA9">
        <f t="shared" si="1"/>
        <v>-670</v>
      </c>
      <c r="AB9" s="44">
        <f t="shared" si="2"/>
        <v>-187.64179506940386</v>
      </c>
      <c r="AC9">
        <f t="shared" si="0"/>
        <v>6.6632806201753517E-6</v>
      </c>
    </row>
    <row r="10" spans="1:29" x14ac:dyDescent="0.35">
      <c r="Z10">
        <v>-66</v>
      </c>
      <c r="AA10">
        <f t="shared" si="1"/>
        <v>-660</v>
      </c>
      <c r="AB10" s="44">
        <f t="shared" si="2"/>
        <v>-184.84117126239784</v>
      </c>
      <c r="AC10">
        <f t="shared" si="0"/>
        <v>8.8045590555513293E-6</v>
      </c>
    </row>
    <row r="11" spans="1:29" x14ac:dyDescent="0.35">
      <c r="Z11">
        <v>-65</v>
      </c>
      <c r="AA11">
        <f t="shared" si="1"/>
        <v>-650</v>
      </c>
      <c r="AB11" s="44">
        <f t="shared" si="2"/>
        <v>-182.04054745539179</v>
      </c>
      <c r="AC11">
        <f t="shared" si="0"/>
        <v>1.1571533715986162E-5</v>
      </c>
    </row>
    <row r="12" spans="1:29" x14ac:dyDescent="0.35">
      <c r="Z12">
        <v>-64</v>
      </c>
      <c r="AA12">
        <f t="shared" si="1"/>
        <v>-640</v>
      </c>
      <c r="AB12" s="44">
        <f t="shared" si="2"/>
        <v>-179.23992364838577</v>
      </c>
      <c r="AC12">
        <f t="shared" si="0"/>
        <v>1.5126485891380018E-5</v>
      </c>
    </row>
    <row r="13" spans="1:29" x14ac:dyDescent="0.35">
      <c r="Z13">
        <v>-63</v>
      </c>
      <c r="AA13">
        <f t="shared" si="1"/>
        <v>-630</v>
      </c>
      <c r="AB13" s="44">
        <f t="shared" si="2"/>
        <v>-176.43929984137975</v>
      </c>
      <c r="AC13">
        <f t="shared" si="0"/>
        <v>1.9667491694673949E-5</v>
      </c>
    </row>
    <row r="14" spans="1:29" x14ac:dyDescent="0.35">
      <c r="Z14">
        <v>-62</v>
      </c>
      <c r="AA14">
        <f t="shared" si="1"/>
        <v>-620</v>
      </c>
      <c r="AB14" s="44">
        <f t="shared" si="2"/>
        <v>-173.63867603437373</v>
      </c>
      <c r="AC14">
        <f t="shared" si="0"/>
        <v>2.5434529689437563E-5</v>
      </c>
    </row>
    <row r="15" spans="1:29" x14ac:dyDescent="0.35">
      <c r="Z15">
        <v>-61</v>
      </c>
      <c r="AA15">
        <f t="shared" si="1"/>
        <v>-610</v>
      </c>
      <c r="AB15" s="44">
        <f t="shared" si="2"/>
        <v>-170.83805222736771</v>
      </c>
      <c r="AC15">
        <f t="shared" si="0"/>
        <v>3.2716154826584621E-5</v>
      </c>
    </row>
    <row r="16" spans="1:29" x14ac:dyDescent="0.35">
      <c r="Z16">
        <v>-60</v>
      </c>
      <c r="AA16">
        <f t="shared" si="1"/>
        <v>-600</v>
      </c>
      <c r="AB16" s="44">
        <f t="shared" si="2"/>
        <v>-168.03742842036166</v>
      </c>
      <c r="AC16">
        <f t="shared" si="0"/>
        <v>4.1856663370919448E-5</v>
      </c>
    </row>
    <row r="17" spans="26:29" x14ac:dyDescent="0.35">
      <c r="Z17">
        <v>-59</v>
      </c>
      <c r="AA17">
        <f t="shared" si="1"/>
        <v>-590</v>
      </c>
      <c r="AB17" s="44">
        <f t="shared" si="2"/>
        <v>-165.23680461335564</v>
      </c>
      <c r="AC17">
        <f t="shared" si="0"/>
        <v>5.3263630267176782E-5</v>
      </c>
    </row>
    <row r="18" spans="26:29" x14ac:dyDescent="0.35">
      <c r="Z18">
        <v>-58</v>
      </c>
      <c r="AA18">
        <f t="shared" si="1"/>
        <v>-580</v>
      </c>
      <c r="AB18" s="44">
        <f t="shared" si="2"/>
        <v>-162.43618080634963</v>
      </c>
      <c r="AC18">
        <f t="shared" si="0"/>
        <v>6.7415650310059848E-5</v>
      </c>
    </row>
    <row r="19" spans="26:29" x14ac:dyDescent="0.35">
      <c r="Z19">
        <v>-57</v>
      </c>
      <c r="AA19">
        <f t="shared" si="1"/>
        <v>-570</v>
      </c>
      <c r="AB19" s="44">
        <f t="shared" si="2"/>
        <v>-159.63555699934361</v>
      </c>
      <c r="AC19">
        <f t="shared" si="0"/>
        <v>8.4870058302696783E-5</v>
      </c>
    </row>
    <row r="20" spans="26:29" x14ac:dyDescent="0.35">
      <c r="Z20">
        <v>-56</v>
      </c>
      <c r="AA20">
        <f t="shared" si="1"/>
        <v>-560</v>
      </c>
      <c r="AB20" s="44">
        <f t="shared" si="2"/>
        <v>-156.83493319233753</v>
      </c>
      <c r="AC20">
        <f t="shared" si="0"/>
        <v>1.0627034245806288E-4</v>
      </c>
    </row>
    <row r="21" spans="26:29" x14ac:dyDescent="0.35">
      <c r="Z21">
        <v>-55</v>
      </c>
      <c r="AA21">
        <f t="shared" si="1"/>
        <v>-550</v>
      </c>
      <c r="AB21" s="44">
        <f t="shared" si="2"/>
        <v>-154.03430938533151</v>
      </c>
      <c r="AC21">
        <f t="shared" si="0"/>
        <v>1.3235290162369549E-4</v>
      </c>
    </row>
    <row r="22" spans="26:29" x14ac:dyDescent="0.35">
      <c r="Z22">
        <v>-54</v>
      </c>
      <c r="AA22">
        <f t="shared" si="1"/>
        <v>-540</v>
      </c>
      <c r="AB22" s="44">
        <f t="shared" si="2"/>
        <v>-151.23368557832549</v>
      </c>
      <c r="AC22">
        <f t="shared" si="0"/>
        <v>1.6395273320609738E-4</v>
      </c>
    </row>
    <row r="23" spans="26:29" x14ac:dyDescent="0.35">
      <c r="Z23">
        <v>-53</v>
      </c>
      <c r="AA23">
        <f t="shared" si="1"/>
        <v>-530</v>
      </c>
      <c r="AB23" s="44">
        <f t="shared" si="2"/>
        <v>-148.43306177131947</v>
      </c>
      <c r="AC23">
        <f t="shared" si="0"/>
        <v>2.0200757837198369E-4</v>
      </c>
    </row>
    <row r="24" spans="26:29" x14ac:dyDescent="0.35">
      <c r="Z24">
        <v>-52</v>
      </c>
      <c r="AA24">
        <f t="shared" si="1"/>
        <v>-520</v>
      </c>
      <c r="AB24" s="44">
        <f t="shared" si="2"/>
        <v>-145.63243796431343</v>
      </c>
      <c r="AC24">
        <f t="shared" si="0"/>
        <v>2.475599983235658E-4</v>
      </c>
    </row>
    <row r="25" spans="26:29" x14ac:dyDescent="0.35">
      <c r="Z25">
        <v>-51</v>
      </c>
      <c r="AA25">
        <f t="shared" si="1"/>
        <v>-510</v>
      </c>
      <c r="AB25" s="44">
        <f t="shared" si="2"/>
        <v>-142.83181415730741</v>
      </c>
      <c r="AC25">
        <f t="shared" si="0"/>
        <v>3.0175681488295823E-4</v>
      </c>
    </row>
    <row r="26" spans="26:29" x14ac:dyDescent="0.35">
      <c r="Z26">
        <v>-50</v>
      </c>
      <c r="AA26">
        <f t="shared" si="1"/>
        <v>-500</v>
      </c>
      <c r="AB26" s="44">
        <f t="shared" si="2"/>
        <v>-140.03119035030139</v>
      </c>
      <c r="AC26">
        <f t="shared" si="0"/>
        <v>3.6584532539418735E-4</v>
      </c>
    </row>
    <row r="27" spans="26:29" x14ac:dyDescent="0.35">
      <c r="Z27">
        <v>-49</v>
      </c>
      <c r="AA27">
        <f t="shared" si="1"/>
        <v>-490</v>
      </c>
      <c r="AB27" s="44">
        <f t="shared" si="2"/>
        <v>-137.23056654329537</v>
      </c>
      <c r="AC27">
        <f t="shared" si="0"/>
        <v>4.4116570136439309E-4</v>
      </c>
    </row>
    <row r="28" spans="26:29" x14ac:dyDescent="0.35">
      <c r="Z28">
        <v>-48</v>
      </c>
      <c r="AA28">
        <f t="shared" si="1"/>
        <v>-480</v>
      </c>
      <c r="AB28" s="44">
        <f t="shared" si="2"/>
        <v>-134.42994273628932</v>
      </c>
      <c r="AC28">
        <f t="shared" si="0"/>
        <v>5.2913900750691054E-4</v>
      </c>
    </row>
    <row r="29" spans="26:29" x14ac:dyDescent="0.35">
      <c r="Z29">
        <v>-47</v>
      </c>
      <c r="AA29">
        <f t="shared" si="1"/>
        <v>-470</v>
      </c>
      <c r="AB29" s="44">
        <f t="shared" si="2"/>
        <v>-131.6293189292833</v>
      </c>
      <c r="AC29">
        <f t="shared" si="0"/>
        <v>6.3125033762635209E-4</v>
      </c>
    </row>
    <row r="30" spans="26:29" x14ac:dyDescent="0.35">
      <c r="Z30">
        <v>-46</v>
      </c>
      <c r="AA30">
        <f t="shared" si="1"/>
        <v>-460</v>
      </c>
      <c r="AB30" s="44">
        <f t="shared" si="2"/>
        <v>-128.82869512227728</v>
      </c>
      <c r="AC30">
        <f t="shared" si="0"/>
        <v>7.4902665991764296E-4</v>
      </c>
    </row>
    <row r="31" spans="26:29" x14ac:dyDescent="0.35">
      <c r="Z31">
        <v>-45</v>
      </c>
      <c r="AA31">
        <f t="shared" si="1"/>
        <v>-450</v>
      </c>
      <c r="AB31" s="44">
        <f t="shared" si="2"/>
        <v>-126.02807131527125</v>
      </c>
      <c r="AC31">
        <f t="shared" si="0"/>
        <v>8.8400909922599184E-4</v>
      </c>
    </row>
    <row r="32" spans="26:29" x14ac:dyDescent="0.35">
      <c r="Z32">
        <v>-44</v>
      </c>
      <c r="AA32">
        <f t="shared" si="1"/>
        <v>-440</v>
      </c>
      <c r="AB32" s="44">
        <f t="shared" si="2"/>
        <v>-123.22744750826521</v>
      </c>
      <c r="AC32">
        <f t="shared" si="0"/>
        <v>1.0377195583571239E-3</v>
      </c>
    </row>
    <row r="33" spans="26:29" x14ac:dyDescent="0.35">
      <c r="Z33">
        <v>-43</v>
      </c>
      <c r="AA33">
        <f t="shared" si="1"/>
        <v>-430</v>
      </c>
      <c r="AB33" s="44">
        <f t="shared" si="2"/>
        <v>-120.42682370125918</v>
      </c>
      <c r="AC33">
        <f t="shared" si="0"/>
        <v>1.2116217931918694E-3</v>
      </c>
    </row>
    <row r="34" spans="26:29" x14ac:dyDescent="0.35">
      <c r="Z34">
        <v>-42</v>
      </c>
      <c r="AA34">
        <f t="shared" si="1"/>
        <v>-420</v>
      </c>
      <c r="AB34" s="44">
        <f t="shared" si="2"/>
        <v>-117.62619989425316</v>
      </c>
      <c r="AC34">
        <f t="shared" si="0"/>
        <v>1.4070773032046416E-3</v>
      </c>
    </row>
    <row r="35" spans="26:29" x14ac:dyDescent="0.35">
      <c r="Z35">
        <v>-41</v>
      </c>
      <c r="AA35">
        <f t="shared" si="1"/>
        <v>-410</v>
      </c>
      <c r="AB35" s="44">
        <f t="shared" si="2"/>
        <v>-114.82557608724714</v>
      </c>
      <c r="AC35">
        <f t="shared" si="0"/>
        <v>1.6252966733514215E-3</v>
      </c>
    </row>
    <row r="36" spans="26:29" x14ac:dyDescent="0.35">
      <c r="Z36">
        <v>-40</v>
      </c>
      <c r="AA36">
        <f t="shared" si="1"/>
        <v>-400</v>
      </c>
      <c r="AB36" s="44">
        <f t="shared" si="2"/>
        <v>-112.02495228024111</v>
      </c>
      <c r="AC36">
        <f t="shared" si="0"/>
        <v>1.8672872957276529E-3</v>
      </c>
    </row>
    <row r="37" spans="26:29" x14ac:dyDescent="0.35">
      <c r="Z37">
        <v>-39</v>
      </c>
      <c r="AA37">
        <f t="shared" si="1"/>
        <v>-390</v>
      </c>
      <c r="AB37" s="44">
        <f t="shared" si="2"/>
        <v>-109.22432847323509</v>
      </c>
      <c r="AC37">
        <f t="shared" si="0"/>
        <v>2.1337986977777654E-3</v>
      </c>
    </row>
    <row r="38" spans="26:29" x14ac:dyDescent="0.35">
      <c r="Z38">
        <v>-38</v>
      </c>
      <c r="AA38">
        <f t="shared" si="1"/>
        <v>-380</v>
      </c>
      <c r="AB38" s="44">
        <f t="shared" si="2"/>
        <v>-106.42370466622906</v>
      </c>
      <c r="AC38">
        <f t="shared" si="0"/>
        <v>2.4252669936645627E-3</v>
      </c>
    </row>
    <row r="39" spans="26:29" x14ac:dyDescent="0.35">
      <c r="Z39">
        <v>-37</v>
      </c>
      <c r="AA39">
        <f t="shared" si="1"/>
        <v>-370</v>
      </c>
      <c r="AB39" s="44">
        <f t="shared" si="2"/>
        <v>-103.62308085922304</v>
      </c>
      <c r="AC39">
        <f t="shared" si="0"/>
        <v>2.7417602403568067E-3</v>
      </c>
    </row>
    <row r="40" spans="26:29" x14ac:dyDescent="0.35">
      <c r="Z40">
        <v>-36</v>
      </c>
      <c r="AA40">
        <f t="shared" si="1"/>
        <v>-360</v>
      </c>
      <c r="AB40" s="44">
        <f t="shared" si="2"/>
        <v>-100.82245705221699</v>
      </c>
      <c r="AC40">
        <f t="shared" si="0"/>
        <v>3.0829267026385582E-3</v>
      </c>
    </row>
    <row r="41" spans="26:29" x14ac:dyDescent="0.35">
      <c r="Z41">
        <v>-35</v>
      </c>
      <c r="AA41">
        <f t="shared" si="1"/>
        <v>-350</v>
      </c>
      <c r="AB41" s="44">
        <f t="shared" si="2"/>
        <v>-98.021833245210971</v>
      </c>
      <c r="AC41">
        <f t="shared" si="0"/>
        <v>3.4479481940002804E-3</v>
      </c>
    </row>
    <row r="42" spans="26:29" x14ac:dyDescent="0.35">
      <c r="Z42">
        <v>-34</v>
      </c>
      <c r="AA42">
        <f t="shared" si="1"/>
        <v>-340</v>
      </c>
      <c r="AB42" s="44">
        <f t="shared" si="2"/>
        <v>-95.221209438204937</v>
      </c>
      <c r="AC42">
        <f t="shared" si="0"/>
        <v>3.8355007465630114E-3</v>
      </c>
    </row>
    <row r="43" spans="26:29" x14ac:dyDescent="0.35">
      <c r="Z43">
        <v>-33</v>
      </c>
      <c r="AA43">
        <f t="shared" si="1"/>
        <v>-330</v>
      </c>
      <c r="AB43" s="44">
        <f t="shared" si="2"/>
        <v>-92.420585631198918</v>
      </c>
      <c r="AC43">
        <f t="shared" si="0"/>
        <v>4.2437248582305326E-3</v>
      </c>
    </row>
    <row r="44" spans="26:29" x14ac:dyDescent="0.35">
      <c r="Z44">
        <v>-32</v>
      </c>
      <c r="AA44">
        <f t="shared" si="1"/>
        <v>-320</v>
      </c>
      <c r="AB44" s="44">
        <f t="shared" si="2"/>
        <v>-89.619961824192885</v>
      </c>
      <c r="AC44">
        <f t="shared" si="0"/>
        <v>4.6702074578375968E-3</v>
      </c>
    </row>
    <row r="45" spans="26:29" x14ac:dyDescent="0.35">
      <c r="Z45">
        <v>-31</v>
      </c>
      <c r="AA45">
        <f t="shared" si="1"/>
        <v>-310</v>
      </c>
      <c r="AB45" s="44">
        <f t="shared" si="2"/>
        <v>-86.819338017186865</v>
      </c>
      <c r="AC45">
        <f t="shared" si="0"/>
        <v>5.1119775122487748E-3</v>
      </c>
    </row>
    <row r="46" spans="26:29" x14ac:dyDescent="0.35">
      <c r="Z46">
        <v>-30</v>
      </c>
      <c r="AA46">
        <f t="shared" si="1"/>
        <v>-300</v>
      </c>
      <c r="AB46" s="44">
        <f t="shared" si="2"/>
        <v>-84.018714210180832</v>
      </c>
      <c r="AC46">
        <f t="shared" si="0"/>
        <v>5.5655168715771364E-3</v>
      </c>
    </row>
    <row r="47" spans="26:29" x14ac:dyDescent="0.35">
      <c r="Z47">
        <v>-29</v>
      </c>
      <c r="AA47">
        <f t="shared" si="1"/>
        <v>-290</v>
      </c>
      <c r="AB47" s="44">
        <f t="shared" si="2"/>
        <v>-81.218090403174813</v>
      </c>
      <c r="AC47">
        <f t="shared" si="0"/>
        <v>6.0267875144331684E-3</v>
      </c>
    </row>
    <row r="48" spans="26:29" x14ac:dyDescent="0.35">
      <c r="Z48">
        <v>-28</v>
      </c>
      <c r="AA48">
        <f t="shared" si="1"/>
        <v>-280</v>
      </c>
      <c r="AB48" s="44">
        <f t="shared" si="2"/>
        <v>-78.417466596168765</v>
      </c>
      <c r="AC48">
        <f t="shared" si="0"/>
        <v>6.4912758253057035E-3</v>
      </c>
    </row>
    <row r="49" spans="26:29" x14ac:dyDescent="0.35">
      <c r="Z49">
        <v>-27</v>
      </c>
      <c r="AA49">
        <f t="shared" si="1"/>
        <v>-270</v>
      </c>
      <c r="AB49" s="44">
        <f t="shared" si="2"/>
        <v>-75.616842789162746</v>
      </c>
      <c r="AC49">
        <f t="shared" si="0"/>
        <v>6.9540539281917335E-3</v>
      </c>
    </row>
    <row r="50" spans="26:29" x14ac:dyDescent="0.35">
      <c r="Z50">
        <v>-26</v>
      </c>
      <c r="AA50">
        <f t="shared" si="1"/>
        <v>-260</v>
      </c>
      <c r="AB50" s="44">
        <f t="shared" si="2"/>
        <v>-72.816218982156713</v>
      </c>
      <c r="AC50">
        <f t="shared" si="0"/>
        <v>7.4098574377936821E-3</v>
      </c>
    </row>
    <row r="51" spans="26:29" x14ac:dyDescent="0.35">
      <c r="Z51">
        <v>-25</v>
      </c>
      <c r="AA51">
        <f t="shared" si="1"/>
        <v>-250</v>
      </c>
      <c r="AB51" s="44">
        <f t="shared" si="2"/>
        <v>-70.015595175150693</v>
      </c>
      <c r="AC51">
        <f t="shared" si="0"/>
        <v>7.8531783004624212E-3</v>
      </c>
    </row>
    <row r="52" spans="26:29" x14ac:dyDescent="0.35">
      <c r="Z52">
        <v>-24</v>
      </c>
      <c r="AA52">
        <f t="shared" si="1"/>
        <v>-240</v>
      </c>
      <c r="AB52" s="44">
        <f t="shared" si="2"/>
        <v>-67.21497136814466</v>
      </c>
      <c r="AC52">
        <f t="shared" si="0"/>
        <v>8.2783707138692209E-3</v>
      </c>
    </row>
    <row r="53" spans="26:29" x14ac:dyDescent="0.35">
      <c r="Z53">
        <v>-23</v>
      </c>
      <c r="AA53">
        <f t="shared" si="1"/>
        <v>-230</v>
      </c>
      <c r="AB53" s="44">
        <f t="shared" si="2"/>
        <v>-64.414347561138641</v>
      </c>
      <c r="AC53">
        <f t="shared" si="0"/>
        <v>8.6797674715710094E-3</v>
      </c>
    </row>
    <row r="54" spans="26:29" x14ac:dyDescent="0.35">
      <c r="Z54">
        <v>-22</v>
      </c>
      <c r="AA54">
        <f t="shared" si="1"/>
        <v>-220</v>
      </c>
      <c r="AB54" s="44">
        <f t="shared" si="2"/>
        <v>-61.613723754132607</v>
      </c>
      <c r="AC54">
        <f t="shared" si="0"/>
        <v>9.0518035108392292E-3</v>
      </c>
    </row>
    <row r="55" spans="26:29" x14ac:dyDescent="0.35">
      <c r="Z55">
        <v>-21</v>
      </c>
      <c r="AA55">
        <f t="shared" si="1"/>
        <v>-210</v>
      </c>
      <c r="AB55" s="44">
        <f t="shared" si="2"/>
        <v>-58.813099947126581</v>
      </c>
      <c r="AC55">
        <f t="shared" si="0"/>
        <v>9.3891429821321148E-3</v>
      </c>
    </row>
    <row r="56" spans="26:29" x14ac:dyDescent="0.35">
      <c r="Z56">
        <v>-20</v>
      </c>
      <c r="AA56">
        <f t="shared" si="1"/>
        <v>-200</v>
      </c>
      <c r="AB56" s="44">
        <f t="shared" si="2"/>
        <v>-56.012476140120555</v>
      </c>
      <c r="AC56">
        <f t="shared" si="0"/>
        <v>9.686805835230905E-3</v>
      </c>
    </row>
    <row r="57" spans="26:29" x14ac:dyDescent="0.35">
      <c r="Z57">
        <v>-19</v>
      </c>
      <c r="AA57">
        <f t="shared" si="1"/>
        <v>-190</v>
      </c>
      <c r="AB57" s="44">
        <f t="shared" si="2"/>
        <v>-53.211852333114528</v>
      </c>
      <c r="AC57">
        <f t="shared" si="0"/>
        <v>9.9402897532175905E-3</v>
      </c>
    </row>
    <row r="58" spans="26:29" x14ac:dyDescent="0.35">
      <c r="Z58">
        <v>-18</v>
      </c>
      <c r="AA58">
        <f t="shared" si="1"/>
        <v>-180</v>
      </c>
      <c r="AB58" s="44">
        <f t="shared" si="2"/>
        <v>-50.411228526108495</v>
      </c>
      <c r="AC58">
        <f t="shared" si="0"/>
        <v>1.0145683276456818E-2</v>
      </c>
    </row>
    <row r="59" spans="26:29" x14ac:dyDescent="0.35">
      <c r="Z59">
        <v>-17</v>
      </c>
      <c r="AA59">
        <f t="shared" si="1"/>
        <v>-170</v>
      </c>
      <c r="AB59" s="44">
        <f t="shared" si="2"/>
        <v>-47.610604719102469</v>
      </c>
      <c r="AC59">
        <f t="shared" si="0"/>
        <v>1.0299766150982714E-2</v>
      </c>
    </row>
    <row r="60" spans="26:29" x14ac:dyDescent="0.35">
      <c r="Z60">
        <v>-16</v>
      </c>
      <c r="AA60">
        <f t="shared" si="1"/>
        <v>-160</v>
      </c>
      <c r="AB60" s="44">
        <f t="shared" si="2"/>
        <v>-44.809980912096442</v>
      </c>
      <c r="AC60">
        <f t="shared" si="0"/>
        <v>1.0400093306030811E-2</v>
      </c>
    </row>
    <row r="61" spans="26:29" x14ac:dyDescent="0.35">
      <c r="Z61">
        <v>-15</v>
      </c>
      <c r="AA61">
        <f t="shared" si="1"/>
        <v>-150</v>
      </c>
      <c r="AB61" s="44">
        <f t="shared" si="2"/>
        <v>-42.009357105090416</v>
      </c>
      <c r="AC61">
        <f t="shared" si="0"/>
        <v>1.0445059400988166E-2</v>
      </c>
    </row>
    <row r="62" spans="26:29" x14ac:dyDescent="0.35">
      <c r="Z62">
        <v>-14</v>
      </c>
      <c r="AA62">
        <f t="shared" si="1"/>
        <v>-140</v>
      </c>
      <c r="AB62" s="44">
        <f t="shared" si="2"/>
        <v>-39.208733298084383</v>
      </c>
      <c r="AC62">
        <f t="shared" si="0"/>
        <v>1.0433941560610505E-2</v>
      </c>
    </row>
    <row r="63" spans="26:29" x14ac:dyDescent="0.35">
      <c r="Z63">
        <v>-13</v>
      </c>
      <c r="AA63">
        <f t="shared" si="1"/>
        <v>-130</v>
      </c>
      <c r="AB63" s="44">
        <f t="shared" si="2"/>
        <v>-36.408109491078356</v>
      </c>
      <c r="AC63">
        <f t="shared" si="0"/>
        <v>1.0366918708661244E-2</v>
      </c>
    </row>
    <row r="64" spans="26:29" x14ac:dyDescent="0.35">
      <c r="Z64">
        <v>-12</v>
      </c>
      <c r="AA64">
        <f t="shared" si="1"/>
        <v>-120</v>
      </c>
      <c r="AB64" s="44">
        <f t="shared" si="2"/>
        <v>-33.60748568407233</v>
      </c>
      <c r="AC64">
        <f t="shared" si="0"/>
        <v>1.0245066777343048E-2</v>
      </c>
    </row>
    <row r="65" spans="26:29" x14ac:dyDescent="0.35">
      <c r="Z65">
        <v>-11</v>
      </c>
      <c r="AA65">
        <f t="shared" si="1"/>
        <v>-110</v>
      </c>
      <c r="AB65" s="44">
        <f t="shared" si="2"/>
        <v>-30.806861877066304</v>
      </c>
      <c r="AC65">
        <f t="shared" ref="AC65:AC128" si="3">NORMDIST((AB65+0.5)*B$1,$B$2,$B$4, TRUE)   -   NORMDIST((AB65-0.5)*B$1,$B$2,$B$4, TRUE)</f>
        <v>1.0070329971769709E-2</v>
      </c>
    </row>
    <row r="66" spans="26:29" x14ac:dyDescent="0.35">
      <c r="Z66">
        <v>-10</v>
      </c>
      <c r="AA66">
        <f t="shared" ref="AA66:AA107" si="4">Z66*10</f>
        <v>-100</v>
      </c>
      <c r="AB66" s="44">
        <f t="shared" ref="AB66:AB129" si="5">AA66  *  E$4/500</f>
        <v>-28.006238070060277</v>
      </c>
      <c r="AC66">
        <f t="shared" si="3"/>
        <v>9.8454691620024626E-3</v>
      </c>
    </row>
    <row r="67" spans="26:29" x14ac:dyDescent="0.35">
      <c r="Z67">
        <v>-9</v>
      </c>
      <c r="AA67">
        <f t="shared" si="4"/>
        <v>-90</v>
      </c>
      <c r="AB67" s="44">
        <f t="shared" si="5"/>
        <v>-25.205614263054247</v>
      </c>
      <c r="AC67">
        <f t="shared" si="3"/>
        <v>9.5739893170622148E-3</v>
      </c>
    </row>
    <row r="68" spans="26:29" x14ac:dyDescent="0.35">
      <c r="Z68">
        <v>-8</v>
      </c>
      <c r="AA68">
        <f t="shared" si="4"/>
        <v>-80</v>
      </c>
      <c r="AB68" s="44">
        <f t="shared" si="5"/>
        <v>-22.404990456048221</v>
      </c>
      <c r="AC68">
        <f t="shared" si="3"/>
        <v>9.2600486460936438E-3</v>
      </c>
    </row>
    <row r="69" spans="26:29" x14ac:dyDescent="0.35">
      <c r="Z69">
        <v>-7</v>
      </c>
      <c r="AA69">
        <f t="shared" si="4"/>
        <v>-70</v>
      </c>
      <c r="AB69" s="44">
        <f t="shared" si="5"/>
        <v>-19.604366649042191</v>
      </c>
      <c r="AC69">
        <f t="shared" si="3"/>
        <v>8.9083527369857585E-3</v>
      </c>
    </row>
    <row r="70" spans="26:29" x14ac:dyDescent="0.35">
      <c r="Z70">
        <v>-6</v>
      </c>
      <c r="AA70">
        <f t="shared" si="4"/>
        <v>-60</v>
      </c>
      <c r="AB70" s="44">
        <f t="shared" si="5"/>
        <v>-16.803742842036165</v>
      </c>
      <c r="AC70">
        <f t="shared" si="3"/>
        <v>8.52403745503727E-3</v>
      </c>
    </row>
    <row r="71" spans="26:29" x14ac:dyDescent="0.35">
      <c r="Z71">
        <v>-5</v>
      </c>
      <c r="AA71">
        <f t="shared" si="4"/>
        <v>-50</v>
      </c>
      <c r="AB71" s="44">
        <f t="shared" si="5"/>
        <v>-14.003119035030139</v>
      </c>
      <c r="AC71">
        <f t="shared" si="3"/>
        <v>8.112544665075716E-3</v>
      </c>
    </row>
    <row r="72" spans="26:29" x14ac:dyDescent="0.35">
      <c r="Z72">
        <v>-4</v>
      </c>
      <c r="AA72">
        <f t="shared" si="4"/>
        <v>-40</v>
      </c>
      <c r="AB72" s="44">
        <f t="shared" si="5"/>
        <v>-11.202495228024111</v>
      </c>
      <c r="AC72">
        <f t="shared" si="3"/>
        <v>7.6794949607436047E-3</v>
      </c>
    </row>
    <row r="73" spans="26:29" x14ac:dyDescent="0.35">
      <c r="Z73">
        <v>-3</v>
      </c>
      <c r="AA73">
        <f t="shared" si="4"/>
        <v>-30</v>
      </c>
      <c r="AB73" s="44">
        <f t="shared" si="5"/>
        <v>-8.4018714210180825</v>
      </c>
      <c r="AC73">
        <f t="shared" si="3"/>
        <v>7.2305615251427868E-3</v>
      </c>
    </row>
    <row r="74" spans="26:29" x14ac:dyDescent="0.35">
      <c r="Z74">
        <v>-2</v>
      </c>
      <c r="AA74">
        <f t="shared" si="4"/>
        <v>-20</v>
      </c>
      <c r="AB74" s="44">
        <f t="shared" si="5"/>
        <v>-5.6012476140120553</v>
      </c>
      <c r="AC74">
        <f t="shared" si="3"/>
        <v>6.7713490177346847E-3</v>
      </c>
    </row>
    <row r="75" spans="26:29" x14ac:dyDescent="0.35">
      <c r="Z75">
        <v>-1</v>
      </c>
      <c r="AA75">
        <f t="shared" si="4"/>
        <v>-10</v>
      </c>
      <c r="AB75" s="44">
        <f t="shared" si="5"/>
        <v>-2.8006238070060276</v>
      </c>
      <c r="AC75">
        <f t="shared" si="3"/>
        <v>6.3072810018303116E-3</v>
      </c>
    </row>
    <row r="76" spans="26:29" x14ac:dyDescent="0.35">
      <c r="Z76">
        <v>0</v>
      </c>
      <c r="AA76">
        <f t="shared" si="4"/>
        <v>0</v>
      </c>
      <c r="AB76" s="44">
        <f t="shared" si="5"/>
        <v>0</v>
      </c>
      <c r="AC76">
        <f t="shared" si="3"/>
        <v>5.8434989206097576E-3</v>
      </c>
    </row>
    <row r="77" spans="26:29" x14ac:dyDescent="0.35">
      <c r="Z77">
        <v>1</v>
      </c>
      <c r="AA77">
        <f t="shared" si="4"/>
        <v>10</v>
      </c>
      <c r="AB77" s="44">
        <f t="shared" si="5"/>
        <v>2.8006238070060276</v>
      </c>
      <c r="AC77">
        <f t="shared" si="3"/>
        <v>5.3847750280464624E-3</v>
      </c>
    </row>
    <row r="78" spans="26:29" x14ac:dyDescent="0.35">
      <c r="Z78">
        <v>2</v>
      </c>
      <c r="AA78">
        <f t="shared" si="4"/>
        <v>20</v>
      </c>
      <c r="AB78" s="44">
        <f t="shared" si="5"/>
        <v>5.6012476140120553</v>
      </c>
      <c r="AC78">
        <f t="shared" si="3"/>
        <v>4.9354410181193797E-3</v>
      </c>
    </row>
    <row r="79" spans="26:29" x14ac:dyDescent="0.35">
      <c r="Z79">
        <v>3</v>
      </c>
      <c r="AA79">
        <f t="shared" si="4"/>
        <v>30</v>
      </c>
      <c r="AB79" s="44">
        <f t="shared" si="5"/>
        <v>8.4018714210180825</v>
      </c>
      <c r="AC79">
        <f t="shared" si="3"/>
        <v>4.4993334061163015E-3</v>
      </c>
    </row>
    <row r="80" spans="26:29" x14ac:dyDescent="0.35">
      <c r="Z80">
        <v>4</v>
      </c>
      <c r="AA80">
        <f t="shared" si="4"/>
        <v>40</v>
      </c>
      <c r="AB80" s="44">
        <f t="shared" si="5"/>
        <v>11.202495228024111</v>
      </c>
      <c r="AC80">
        <f t="shared" si="3"/>
        <v>4.0797560334353555E-3</v>
      </c>
    </row>
    <row r="81" spans="26:29" x14ac:dyDescent="0.35">
      <c r="Z81">
        <v>5</v>
      </c>
      <c r="AA81">
        <f t="shared" si="4"/>
        <v>50</v>
      </c>
      <c r="AB81" s="44">
        <f t="shared" si="5"/>
        <v>14.003119035030139</v>
      </c>
      <c r="AC81">
        <f t="shared" si="3"/>
        <v>3.6794594230515898E-3</v>
      </c>
    </row>
    <row r="82" spans="26:29" x14ac:dyDescent="0.35">
      <c r="Z82">
        <v>6</v>
      </c>
      <c r="AA82">
        <f t="shared" si="4"/>
        <v>60</v>
      </c>
      <c r="AB82" s="44">
        <f t="shared" si="5"/>
        <v>16.803742842036165</v>
      </c>
      <c r="AC82">
        <f t="shared" si="3"/>
        <v>3.3006361333088874E-3</v>
      </c>
    </row>
    <row r="83" spans="26:29" x14ac:dyDescent="0.35">
      <c r="Z83">
        <v>7</v>
      </c>
      <c r="AA83">
        <f t="shared" si="4"/>
        <v>70</v>
      </c>
      <c r="AB83" s="44">
        <f t="shared" si="5"/>
        <v>19.604366649042191</v>
      </c>
      <c r="AC83">
        <f t="shared" si="3"/>
        <v>2.9449307640028177E-3</v>
      </c>
    </row>
    <row r="84" spans="26:29" x14ac:dyDescent="0.35">
      <c r="Z84">
        <v>8</v>
      </c>
      <c r="AA84">
        <f t="shared" si="4"/>
        <v>80</v>
      </c>
      <c r="AB84" s="44">
        <f t="shared" si="5"/>
        <v>22.404990456048221</v>
      </c>
      <c r="AC84">
        <f t="shared" si="3"/>
        <v>2.6134628756693257E-3</v>
      </c>
    </row>
    <row r="85" spans="26:29" x14ac:dyDescent="0.35">
      <c r="Z85">
        <v>9</v>
      </c>
      <c r="AA85">
        <f t="shared" si="4"/>
        <v>90</v>
      </c>
      <c r="AB85" s="44">
        <f t="shared" si="5"/>
        <v>25.205614263054247</v>
      </c>
      <c r="AC85">
        <f t="shared" si="3"/>
        <v>2.3068607989645828E-3</v>
      </c>
    </row>
    <row r="86" spans="26:29" x14ac:dyDescent="0.35">
      <c r="Z86">
        <v>10</v>
      </c>
      <c r="AA86">
        <f t="shared" si="4"/>
        <v>100</v>
      </c>
      <c r="AB86" s="44">
        <f t="shared" si="5"/>
        <v>28.006238070060277</v>
      </c>
      <c r="AC86">
        <f t="shared" si="3"/>
        <v>2.025304138028039E-3</v>
      </c>
    </row>
    <row r="87" spans="26:29" x14ac:dyDescent="0.35">
      <c r="Z87">
        <v>11</v>
      </c>
      <c r="AA87">
        <f t="shared" si="4"/>
        <v>110</v>
      </c>
      <c r="AB87" s="44">
        <f t="shared" si="5"/>
        <v>30.806861877066304</v>
      </c>
      <c r="AC87">
        <f t="shared" si="3"/>
        <v>1.7685727059569833E-3</v>
      </c>
    </row>
    <row r="88" spans="26:29" x14ac:dyDescent="0.35">
      <c r="Z88">
        <v>12</v>
      </c>
      <c r="AA88">
        <f t="shared" si="4"/>
        <v>120</v>
      </c>
      <c r="AB88" s="44">
        <f t="shared" si="5"/>
        <v>33.60748568407233</v>
      </c>
      <c r="AC88">
        <f t="shared" si="3"/>
        <v>1.5360996632222124E-3</v>
      </c>
    </row>
    <row r="89" spans="26:29" x14ac:dyDescent="0.35">
      <c r="Z89">
        <v>13</v>
      </c>
      <c r="AA89">
        <f t="shared" si="4"/>
        <v>130</v>
      </c>
      <c r="AB89" s="44">
        <f t="shared" si="5"/>
        <v>36.408109491078356</v>
      </c>
      <c r="AC89">
        <f t="shared" si="3"/>
        <v>1.3270267482466958E-3</v>
      </c>
    </row>
    <row r="90" spans="26:29" x14ac:dyDescent="0.35">
      <c r="Z90">
        <v>14</v>
      </c>
      <c r="AA90">
        <f t="shared" si="4"/>
        <v>140</v>
      </c>
      <c r="AB90" s="44">
        <f t="shared" si="5"/>
        <v>39.208733298084383</v>
      </c>
      <c r="AC90">
        <f t="shared" si="3"/>
        <v>1.1402596779099827E-3</v>
      </c>
    </row>
    <row r="91" spans="26:29" x14ac:dyDescent="0.35">
      <c r="Z91">
        <v>15</v>
      </c>
      <c r="AA91">
        <f t="shared" si="4"/>
        <v>150</v>
      </c>
      <c r="AB91" s="44">
        <f t="shared" si="5"/>
        <v>42.009357105090416</v>
      </c>
      <c r="AC91">
        <f t="shared" si="3"/>
        <v>9.7452203725256759E-4</v>
      </c>
    </row>
    <row r="92" spans="26:29" x14ac:dyDescent="0.35">
      <c r="Z92">
        <v>16</v>
      </c>
      <c r="AA92">
        <f t="shared" si="4"/>
        <v>160</v>
      </c>
      <c r="AB92" s="44">
        <f t="shared" si="5"/>
        <v>44.809980912096442</v>
      </c>
      <c r="AC92">
        <f t="shared" si="3"/>
        <v>8.2840625449687177E-4</v>
      </c>
    </row>
    <row r="93" spans="26:29" x14ac:dyDescent="0.35">
      <c r="Z93">
        <v>17</v>
      </c>
      <c r="AA93">
        <f t="shared" si="4"/>
        <v>170</v>
      </c>
      <c r="AB93" s="44">
        <f t="shared" si="5"/>
        <v>47.610604719102469</v>
      </c>
      <c r="AC93">
        <f t="shared" si="3"/>
        <v>7.0042055258268121E-4</v>
      </c>
    </row>
    <row r="94" spans="26:29" x14ac:dyDescent="0.35">
      <c r="Z94">
        <v>18</v>
      </c>
      <c r="AA94">
        <f t="shared" si="4"/>
        <v>180</v>
      </c>
      <c r="AB94" s="44">
        <f t="shared" si="5"/>
        <v>50.411228526108495</v>
      </c>
      <c r="AC94">
        <f t="shared" si="3"/>
        <v>5.8903106604779598E-4</v>
      </c>
    </row>
    <row r="95" spans="26:29" x14ac:dyDescent="0.35">
      <c r="Z95">
        <v>19</v>
      </c>
      <c r="AA95">
        <f t="shared" si="4"/>
        <v>190</v>
      </c>
      <c r="AB95" s="44">
        <f t="shared" si="5"/>
        <v>53.211852333114528</v>
      </c>
      <c r="AC95">
        <f t="shared" si="3"/>
        <v>4.9269859867495658E-4</v>
      </c>
    </row>
    <row r="96" spans="26:29" x14ac:dyDescent="0.35">
      <c r="Z96">
        <v>20</v>
      </c>
      <c r="AA96">
        <f t="shared" si="4"/>
        <v>200</v>
      </c>
      <c r="AB96" s="44">
        <f t="shared" si="5"/>
        <v>56.012476140120555</v>
      </c>
      <c r="AC96">
        <f t="shared" si="3"/>
        <v>4.0990976176946692E-4</v>
      </c>
    </row>
    <row r="97" spans="26:29" x14ac:dyDescent="0.35">
      <c r="Z97">
        <v>21</v>
      </c>
      <c r="AA97">
        <f t="shared" si="4"/>
        <v>210</v>
      </c>
      <c r="AB97" s="44">
        <f t="shared" si="5"/>
        <v>58.813099947126581</v>
      </c>
      <c r="AC97">
        <f t="shared" si="3"/>
        <v>3.3920246688434741E-4</v>
      </c>
    </row>
    <row r="98" spans="26:29" x14ac:dyDescent="0.35">
      <c r="Z98">
        <v>22</v>
      </c>
      <c r="AA98">
        <f t="shared" si="4"/>
        <v>220</v>
      </c>
      <c r="AB98" s="44">
        <f t="shared" si="5"/>
        <v>61.613723754132607</v>
      </c>
      <c r="AC98">
        <f t="shared" si="3"/>
        <v>2.7918594470788261E-4</v>
      </c>
    </row>
    <row r="99" spans="26:29" x14ac:dyDescent="0.35">
      <c r="Z99">
        <v>23</v>
      </c>
      <c r="AA99">
        <f t="shared" si="4"/>
        <v>230</v>
      </c>
      <c r="AB99" s="44">
        <f t="shared" si="5"/>
        <v>64.414347561138641</v>
      </c>
      <c r="AC99">
        <f t="shared" si="3"/>
        <v>2.2855562074441949E-4</v>
      </c>
    </row>
    <row r="100" spans="26:29" x14ac:dyDescent="0.35">
      <c r="Z100">
        <v>24</v>
      </c>
      <c r="AA100">
        <f t="shared" si="4"/>
        <v>240</v>
      </c>
      <c r="AB100" s="44">
        <f t="shared" si="5"/>
        <v>67.21497136814466</v>
      </c>
      <c r="AC100">
        <f t="shared" si="3"/>
        <v>1.8610329782497992E-4</v>
      </c>
    </row>
    <row r="101" spans="26:29" x14ac:dyDescent="0.35">
      <c r="Z101">
        <v>25</v>
      </c>
      <c r="AA101">
        <f t="shared" si="4"/>
        <v>250</v>
      </c>
      <c r="AB101" s="44">
        <f t="shared" si="5"/>
        <v>70.015595175150693</v>
      </c>
      <c r="AC101">
        <f t="shared" si="3"/>
        <v>1.5072317683229031E-4</v>
      </c>
    </row>
    <row r="102" spans="26:29" x14ac:dyDescent="0.35">
      <c r="Z102">
        <v>26</v>
      </c>
      <c r="AA102">
        <f t="shared" si="4"/>
        <v>260</v>
      </c>
      <c r="AB102" s="44">
        <f t="shared" si="5"/>
        <v>72.816218982156713</v>
      </c>
      <c r="AC102">
        <f t="shared" si="3"/>
        <v>1.2141429341350207E-4</v>
      </c>
    </row>
    <row r="103" spans="26:29" x14ac:dyDescent="0.35">
      <c r="Z103">
        <v>27</v>
      </c>
      <c r="AA103">
        <f t="shared" si="4"/>
        <v>270</v>
      </c>
      <c r="AB103" s="44">
        <f t="shared" si="5"/>
        <v>75.616842789162746</v>
      </c>
      <c r="AC103">
        <f t="shared" si="3"/>
        <v>9.7279964067165103E-5</v>
      </c>
    </row>
    <row r="104" spans="26:29" x14ac:dyDescent="0.35">
      <c r="Z104">
        <v>28</v>
      </c>
      <c r="AA104">
        <f t="shared" si="4"/>
        <v>280</v>
      </c>
      <c r="AB104" s="44">
        <f t="shared" si="5"/>
        <v>78.417466596168765</v>
      </c>
      <c r="AC104">
        <f t="shared" si="3"/>
        <v>7.7524824814045878E-5</v>
      </c>
    </row>
    <row r="105" spans="26:29" x14ac:dyDescent="0.35">
      <c r="Z105">
        <v>29</v>
      </c>
      <c r="AA105">
        <f t="shared" si="4"/>
        <v>290</v>
      </c>
      <c r="AB105" s="44">
        <f t="shared" si="5"/>
        <v>81.218090403174813</v>
      </c>
      <c r="AC105">
        <f t="shared" si="3"/>
        <v>6.1450014936514918E-5</v>
      </c>
    </row>
    <row r="106" spans="26:29" x14ac:dyDescent="0.35">
      <c r="Z106">
        <v>30</v>
      </c>
      <c r="AA106">
        <f t="shared" si="4"/>
        <v>300</v>
      </c>
      <c r="AB106" s="44">
        <f t="shared" si="5"/>
        <v>84.018714210180832</v>
      </c>
      <c r="AC106">
        <f t="shared" si="3"/>
        <v>4.8447012277241797E-5</v>
      </c>
    </row>
    <row r="107" spans="26:29" x14ac:dyDescent="0.35">
      <c r="Z107">
        <v>31</v>
      </c>
      <c r="AA107">
        <f t="shared" si="4"/>
        <v>310</v>
      </c>
      <c r="AB107" s="44">
        <f t="shared" si="5"/>
        <v>86.819338017186865</v>
      </c>
      <c r="AC107">
        <f t="shared" si="3"/>
        <v>3.7990570302293136E-5</v>
      </c>
    </row>
    <row r="108" spans="26:29" x14ac:dyDescent="0.35">
      <c r="Z108">
        <v>32</v>
      </c>
      <c r="AA108">
        <f>Z108*10</f>
        <v>320</v>
      </c>
      <c r="AB108" s="44">
        <f t="shared" si="5"/>
        <v>89.619961824192885</v>
      </c>
      <c r="AC108">
        <f t="shared" si="3"/>
        <v>2.9631145028519157E-5</v>
      </c>
    </row>
    <row r="109" spans="26:29" x14ac:dyDescent="0.35">
      <c r="Z109">
        <v>33</v>
      </c>
      <c r="AA109">
        <f t="shared" ref="AA109:AA151" si="6">Z109*10</f>
        <v>330</v>
      </c>
      <c r="AB109" s="44">
        <f t="shared" si="5"/>
        <v>92.420585631198918</v>
      </c>
      <c r="AC109">
        <f t="shared" si="3"/>
        <v>2.2987135848917539E-5</v>
      </c>
    </row>
    <row r="110" spans="26:29" x14ac:dyDescent="0.35">
      <c r="Z110">
        <v>34</v>
      </c>
      <c r="AA110">
        <f t="shared" si="6"/>
        <v>340</v>
      </c>
      <c r="AB110" s="44">
        <f t="shared" si="5"/>
        <v>95.221209438204937</v>
      </c>
      <c r="AC110">
        <f t="shared" si="3"/>
        <v>1.7737201425838123E-5</v>
      </c>
    </row>
    <row r="111" spans="26:29" x14ac:dyDescent="0.35">
      <c r="Z111">
        <v>35</v>
      </c>
      <c r="AA111">
        <f t="shared" si="6"/>
        <v>350</v>
      </c>
      <c r="AB111" s="44">
        <f t="shared" si="5"/>
        <v>98.021833245210971</v>
      </c>
      <c r="AC111">
        <f t="shared" si="3"/>
        <v>1.361285256040734E-5</v>
      </c>
    </row>
    <row r="112" spans="26:29" x14ac:dyDescent="0.35">
      <c r="Z112">
        <v>36</v>
      </c>
      <c r="AA112">
        <f t="shared" si="6"/>
        <v>360</v>
      </c>
      <c r="AB112" s="44">
        <f t="shared" si="5"/>
        <v>100.82245705221699</v>
      </c>
      <c r="AC112">
        <f t="shared" si="3"/>
        <v>1.0391470062653951E-5</v>
      </c>
    </row>
    <row r="113" spans="26:29" x14ac:dyDescent="0.35">
      <c r="Z113">
        <v>37</v>
      </c>
      <c r="AA113">
        <f t="shared" si="6"/>
        <v>370</v>
      </c>
      <c r="AB113" s="44">
        <f t="shared" si="5"/>
        <v>103.62308085922304</v>
      </c>
      <c r="AC113">
        <f t="shared" si="3"/>
        <v>7.8898482097633504E-6</v>
      </c>
    </row>
    <row r="114" spans="26:29" x14ac:dyDescent="0.35">
      <c r="Z114">
        <v>38</v>
      </c>
      <c r="AA114">
        <f t="shared" si="6"/>
        <v>380</v>
      </c>
      <c r="AB114" s="44">
        <f t="shared" si="5"/>
        <v>106.42370466622906</v>
      </c>
      <c r="AC114">
        <f t="shared" si="3"/>
        <v>5.9583239599980686E-6</v>
      </c>
    </row>
    <row r="115" spans="26:29" x14ac:dyDescent="0.35">
      <c r="Z115">
        <v>39</v>
      </c>
      <c r="AA115">
        <f t="shared" si="6"/>
        <v>390</v>
      </c>
      <c r="AB115" s="44">
        <f t="shared" si="5"/>
        <v>109.22432847323509</v>
      </c>
      <c r="AC115">
        <f t="shared" si="3"/>
        <v>4.4755187845746391E-6</v>
      </c>
    </row>
    <row r="116" spans="26:29" x14ac:dyDescent="0.35">
      <c r="Z116">
        <v>40</v>
      </c>
      <c r="AA116">
        <f t="shared" si="6"/>
        <v>400</v>
      </c>
      <c r="AB116" s="44">
        <f t="shared" si="5"/>
        <v>112.02495228024111</v>
      </c>
      <c r="AC116">
        <f t="shared" si="3"/>
        <v>3.3436935179542715E-6</v>
      </c>
    </row>
    <row r="117" spans="26:29" x14ac:dyDescent="0.35">
      <c r="Z117">
        <v>41</v>
      </c>
      <c r="AA117">
        <f t="shared" si="6"/>
        <v>410</v>
      </c>
      <c r="AB117" s="44">
        <f t="shared" si="5"/>
        <v>114.82557608724714</v>
      </c>
      <c r="AC117">
        <f t="shared" si="3"/>
        <v>2.4846965072100602E-6</v>
      </c>
    </row>
    <row r="118" spans="26:29" x14ac:dyDescent="0.35">
      <c r="Z118">
        <v>42</v>
      </c>
      <c r="AA118">
        <f t="shared" si="6"/>
        <v>420</v>
      </c>
      <c r="AB118" s="44">
        <f t="shared" si="5"/>
        <v>117.62619989425316</v>
      </c>
      <c r="AC118">
        <f t="shared" si="3"/>
        <v>1.8364708654905471E-6</v>
      </c>
    </row>
    <row r="119" spans="26:29" x14ac:dyDescent="0.35">
      <c r="Z119">
        <v>43</v>
      </c>
      <c r="AA119">
        <f t="shared" si="6"/>
        <v>430</v>
      </c>
      <c r="AB119" s="44">
        <f t="shared" si="5"/>
        <v>120.42682370125918</v>
      </c>
      <c r="AC119">
        <f t="shared" si="3"/>
        <v>1.3500770152941044E-6</v>
      </c>
    </row>
    <row r="120" spans="26:29" x14ac:dyDescent="0.35">
      <c r="Z120">
        <v>44</v>
      </c>
      <c r="AA120">
        <f t="shared" si="6"/>
        <v>440</v>
      </c>
      <c r="AB120" s="44">
        <f t="shared" si="5"/>
        <v>123.22744750826521</v>
      </c>
      <c r="AC120">
        <f t="shared" si="3"/>
        <v>9.8718114427409631E-7</v>
      </c>
    </row>
    <row r="121" spans="26:29" x14ac:dyDescent="0.35">
      <c r="Z121">
        <v>45</v>
      </c>
      <c r="AA121">
        <f t="shared" si="6"/>
        <v>450</v>
      </c>
      <c r="AB121" s="44">
        <f t="shared" si="5"/>
        <v>126.02807131527125</v>
      </c>
      <c r="AC121">
        <f t="shared" si="3"/>
        <v>7.1795788014750173E-7</v>
      </c>
    </row>
    <row r="122" spans="26:29" x14ac:dyDescent="0.35">
      <c r="Z122">
        <v>46</v>
      </c>
      <c r="AA122">
        <f t="shared" si="6"/>
        <v>460</v>
      </c>
      <c r="AB122" s="44">
        <f t="shared" si="5"/>
        <v>128.82869512227728</v>
      </c>
      <c r="AC122">
        <f t="shared" si="3"/>
        <v>5.193556839033775E-7</v>
      </c>
    </row>
    <row r="123" spans="26:29" x14ac:dyDescent="0.35">
      <c r="Z123">
        <v>47</v>
      </c>
      <c r="AA123">
        <f t="shared" si="6"/>
        <v>470</v>
      </c>
      <c r="AB123" s="44">
        <f t="shared" si="5"/>
        <v>131.6293189292833</v>
      </c>
      <c r="AC123">
        <f t="shared" si="3"/>
        <v>3.7367549499123243E-7</v>
      </c>
    </row>
    <row r="124" spans="26:29" x14ac:dyDescent="0.35">
      <c r="Z124">
        <v>48</v>
      </c>
      <c r="AA124">
        <f t="shared" si="6"/>
        <v>480</v>
      </c>
      <c r="AB124" s="44">
        <f t="shared" si="5"/>
        <v>134.42994273628932</v>
      </c>
      <c r="AC124">
        <f t="shared" si="3"/>
        <v>2.6741647218830877E-7</v>
      </c>
    </row>
    <row r="125" spans="26:29" x14ac:dyDescent="0.35">
      <c r="Z125">
        <v>49</v>
      </c>
      <c r="AA125">
        <f t="shared" si="6"/>
        <v>490</v>
      </c>
      <c r="AB125" s="44">
        <f t="shared" si="5"/>
        <v>137.23056654329537</v>
      </c>
      <c r="AC125">
        <f t="shared" si="3"/>
        <v>1.9034676457252431E-7</v>
      </c>
    </row>
    <row r="126" spans="26:29" x14ac:dyDescent="0.35">
      <c r="Z126">
        <v>50</v>
      </c>
      <c r="AA126">
        <f t="shared" si="6"/>
        <v>500</v>
      </c>
      <c r="AB126" s="44">
        <f t="shared" si="5"/>
        <v>140.03119035030139</v>
      </c>
      <c r="AC126">
        <f t="shared" si="3"/>
        <v>1.3476175253490652E-7</v>
      </c>
    </row>
    <row r="127" spans="26:29" x14ac:dyDescent="0.35">
      <c r="Z127">
        <v>51</v>
      </c>
      <c r="AA127">
        <f t="shared" si="6"/>
        <v>510</v>
      </c>
      <c r="AB127" s="44">
        <f t="shared" si="5"/>
        <v>142.83181415730741</v>
      </c>
      <c r="AC127">
        <f t="shared" si="3"/>
        <v>9.4896808855438053E-8</v>
      </c>
    </row>
    <row r="128" spans="26:29" x14ac:dyDescent="0.35">
      <c r="Z128">
        <v>52</v>
      </c>
      <c r="AA128">
        <f t="shared" si="6"/>
        <v>520</v>
      </c>
      <c r="AB128" s="44">
        <f t="shared" si="5"/>
        <v>145.63243796431343</v>
      </c>
      <c r="AC128">
        <f t="shared" si="3"/>
        <v>6.6466127157660537E-8</v>
      </c>
    </row>
    <row r="129" spans="26:29" x14ac:dyDescent="0.35">
      <c r="Z129">
        <v>53</v>
      </c>
      <c r="AA129">
        <f t="shared" si="6"/>
        <v>530</v>
      </c>
      <c r="AB129" s="44">
        <f t="shared" si="5"/>
        <v>148.43306177131947</v>
      </c>
      <c r="AC129">
        <f t="shared" ref="AC129:AC151" si="7">NORMDIST((AB129+0.5)*B$1,$B$2,$B$4, TRUE)   -   NORMDIST((AB129-0.5)*B$1,$B$2,$B$4, TRUE)</f>
        <v>4.6303406997516561E-8</v>
      </c>
    </row>
    <row r="130" spans="26:29" x14ac:dyDescent="0.35">
      <c r="Z130">
        <v>54</v>
      </c>
      <c r="AA130">
        <f t="shared" si="6"/>
        <v>540</v>
      </c>
      <c r="AB130" s="44">
        <f t="shared" ref="AB130:AB151" si="8">AA130  *  E$4/500</f>
        <v>151.23368557832549</v>
      </c>
      <c r="AC130">
        <f t="shared" si="7"/>
        <v>3.2084060519466107E-8</v>
      </c>
    </row>
    <row r="131" spans="26:29" x14ac:dyDescent="0.35">
      <c r="Z131">
        <v>55</v>
      </c>
      <c r="AA131">
        <f t="shared" si="6"/>
        <v>550</v>
      </c>
      <c r="AB131" s="44">
        <f t="shared" si="8"/>
        <v>154.03430938533151</v>
      </c>
      <c r="AC131">
        <f t="shared" si="7"/>
        <v>2.2112075837021905E-8</v>
      </c>
    </row>
    <row r="132" spans="26:29" x14ac:dyDescent="0.35">
      <c r="Z132">
        <v>56</v>
      </c>
      <c r="AA132">
        <f t="shared" si="6"/>
        <v>560</v>
      </c>
      <c r="AB132" s="44">
        <f t="shared" si="8"/>
        <v>156.83493319233753</v>
      </c>
      <c r="AC132">
        <f t="shared" si="7"/>
        <v>1.5157707089485939E-8</v>
      </c>
    </row>
    <row r="133" spans="26:29" x14ac:dyDescent="0.35">
      <c r="Z133">
        <v>57</v>
      </c>
      <c r="AA133">
        <f t="shared" si="6"/>
        <v>570</v>
      </c>
      <c r="AB133" s="44">
        <f t="shared" si="8"/>
        <v>159.63555699934361</v>
      </c>
      <c r="AC133">
        <f t="shared" si="7"/>
        <v>1.0334781697096673E-8</v>
      </c>
    </row>
    <row r="134" spans="26:29" x14ac:dyDescent="0.35">
      <c r="Z134">
        <v>58</v>
      </c>
      <c r="AA134">
        <f t="shared" si="6"/>
        <v>580</v>
      </c>
      <c r="AB134" s="44">
        <f t="shared" si="8"/>
        <v>162.43618080634963</v>
      </c>
      <c r="AC134">
        <f t="shared" si="7"/>
        <v>7.0086265679947246E-9</v>
      </c>
    </row>
    <row r="135" spans="26:29" x14ac:dyDescent="0.35">
      <c r="Z135">
        <v>59</v>
      </c>
      <c r="AA135">
        <f t="shared" si="6"/>
        <v>590</v>
      </c>
      <c r="AB135" s="44">
        <f t="shared" si="8"/>
        <v>165.23680461335564</v>
      </c>
      <c r="AC135">
        <f t="shared" si="7"/>
        <v>4.7274650860629208E-9</v>
      </c>
    </row>
    <row r="136" spans="26:29" x14ac:dyDescent="0.35">
      <c r="Z136">
        <v>60</v>
      </c>
      <c r="AA136">
        <f t="shared" si="6"/>
        <v>600</v>
      </c>
      <c r="AB136" s="44">
        <f t="shared" si="8"/>
        <v>168.03742842036166</v>
      </c>
      <c r="AC136">
        <f t="shared" si="7"/>
        <v>3.1716668180692409E-9</v>
      </c>
    </row>
    <row r="137" spans="26:29" x14ac:dyDescent="0.35">
      <c r="Z137">
        <v>61</v>
      </c>
      <c r="AA137">
        <f t="shared" si="6"/>
        <v>610</v>
      </c>
      <c r="AB137" s="44">
        <f t="shared" si="8"/>
        <v>170.83805222736771</v>
      </c>
      <c r="AC137">
        <f t="shared" si="7"/>
        <v>2.1164625607639209E-9</v>
      </c>
    </row>
    <row r="138" spans="26:29" x14ac:dyDescent="0.35">
      <c r="Z138">
        <v>62</v>
      </c>
      <c r="AA138">
        <f t="shared" si="6"/>
        <v>620</v>
      </c>
      <c r="AB138" s="44">
        <f t="shared" si="8"/>
        <v>173.63867603437373</v>
      </c>
      <c r="AC138">
        <f t="shared" si="7"/>
        <v>1.4047447649545575E-9</v>
      </c>
    </row>
    <row r="139" spans="26:29" x14ac:dyDescent="0.35">
      <c r="Z139">
        <v>63</v>
      </c>
      <c r="AA139">
        <f t="shared" si="6"/>
        <v>630</v>
      </c>
      <c r="AB139" s="44">
        <f t="shared" si="8"/>
        <v>176.43929984137975</v>
      </c>
      <c r="AC139">
        <f t="shared" si="7"/>
        <v>9.2735930046217163E-10</v>
      </c>
    </row>
    <row r="140" spans="26:29" x14ac:dyDescent="0.35">
      <c r="Z140">
        <v>64</v>
      </c>
      <c r="AA140">
        <f t="shared" si="6"/>
        <v>640</v>
      </c>
      <c r="AB140" s="44">
        <f t="shared" si="8"/>
        <v>179.23992364838577</v>
      </c>
      <c r="AC140">
        <f t="shared" si="7"/>
        <v>6.0892324516004237E-10</v>
      </c>
    </row>
    <row r="141" spans="26:29" x14ac:dyDescent="0.35">
      <c r="Z141">
        <v>65</v>
      </c>
      <c r="AA141">
        <f t="shared" si="6"/>
        <v>650</v>
      </c>
      <c r="AB141" s="44">
        <f t="shared" si="8"/>
        <v>182.04054745539179</v>
      </c>
      <c r="AC141">
        <f t="shared" si="7"/>
        <v>3.9768643933513204E-10</v>
      </c>
    </row>
    <row r="142" spans="26:29" x14ac:dyDescent="0.35">
      <c r="Z142">
        <v>66</v>
      </c>
      <c r="AA142">
        <f t="shared" si="6"/>
        <v>660</v>
      </c>
      <c r="AB142" s="44">
        <f t="shared" si="8"/>
        <v>184.84117126239784</v>
      </c>
      <c r="AC142">
        <f t="shared" si="7"/>
        <v>2.5833479799786119E-10</v>
      </c>
    </row>
    <row r="143" spans="26:29" x14ac:dyDescent="0.35">
      <c r="Z143">
        <v>67</v>
      </c>
      <c r="AA143">
        <f t="shared" si="6"/>
        <v>670</v>
      </c>
      <c r="AB143" s="44">
        <f t="shared" si="8"/>
        <v>187.64179506940386</v>
      </c>
      <c r="AC143">
        <f t="shared" si="7"/>
        <v>1.6691237281207805E-10</v>
      </c>
    </row>
    <row r="144" spans="26:29" x14ac:dyDescent="0.35">
      <c r="Z144">
        <v>68</v>
      </c>
      <c r="AA144">
        <f t="shared" si="6"/>
        <v>680</v>
      </c>
      <c r="AB144" s="44">
        <f t="shared" si="8"/>
        <v>190.44241887640987</v>
      </c>
      <c r="AC144">
        <f t="shared" si="7"/>
        <v>1.072650857025792E-10</v>
      </c>
    </row>
    <row r="145" spans="26:29" x14ac:dyDescent="0.35">
      <c r="Z145">
        <v>69</v>
      </c>
      <c r="AA145">
        <f t="shared" si="6"/>
        <v>690</v>
      </c>
      <c r="AB145" s="44">
        <f t="shared" si="8"/>
        <v>193.24304268341589</v>
      </c>
      <c r="AC145">
        <f t="shared" si="7"/>
        <v>6.8563377197961017E-11</v>
      </c>
    </row>
    <row r="146" spans="26:29" x14ac:dyDescent="0.35">
      <c r="Z146">
        <v>70</v>
      </c>
      <c r="AA146">
        <f t="shared" si="6"/>
        <v>700</v>
      </c>
      <c r="AB146" s="44">
        <f t="shared" si="8"/>
        <v>196.04366649042194</v>
      </c>
      <c r="AC146">
        <f t="shared" si="7"/>
        <v>4.3590242526647671E-11</v>
      </c>
    </row>
    <row r="147" spans="26:29" x14ac:dyDescent="0.35">
      <c r="Z147">
        <v>71</v>
      </c>
      <c r="AA147">
        <f t="shared" si="6"/>
        <v>710</v>
      </c>
      <c r="AB147" s="44">
        <f t="shared" si="8"/>
        <v>198.84429029742796</v>
      </c>
      <c r="AC147">
        <f t="shared" si="7"/>
        <v>2.7564506233090924E-11</v>
      </c>
    </row>
    <row r="148" spans="26:29" x14ac:dyDescent="0.35">
      <c r="Z148">
        <v>72</v>
      </c>
      <c r="AA148">
        <f t="shared" si="6"/>
        <v>720</v>
      </c>
      <c r="AB148" s="44">
        <f t="shared" si="8"/>
        <v>201.64491410443398</v>
      </c>
      <c r="AC148">
        <f t="shared" si="7"/>
        <v>1.733702070794152E-11</v>
      </c>
    </row>
    <row r="149" spans="26:29" x14ac:dyDescent="0.35">
      <c r="Z149">
        <v>73</v>
      </c>
      <c r="AA149">
        <f t="shared" si="6"/>
        <v>730</v>
      </c>
      <c r="AB149" s="44">
        <f t="shared" si="8"/>
        <v>204.44553791144</v>
      </c>
      <c r="AC149">
        <f t="shared" si="7"/>
        <v>1.0845879749865617E-11</v>
      </c>
    </row>
    <row r="150" spans="26:29" x14ac:dyDescent="0.35">
      <c r="Z150">
        <v>74</v>
      </c>
      <c r="AA150">
        <f t="shared" si="6"/>
        <v>740</v>
      </c>
      <c r="AB150" s="44">
        <f t="shared" si="8"/>
        <v>207.24616171844607</v>
      </c>
      <c r="AC150">
        <f t="shared" si="7"/>
        <v>6.7486016774864765E-12</v>
      </c>
    </row>
    <row r="151" spans="26:29" x14ac:dyDescent="0.35">
      <c r="Z151">
        <v>75</v>
      </c>
      <c r="AA151">
        <f t="shared" si="6"/>
        <v>750</v>
      </c>
      <c r="AB151" s="44">
        <f t="shared" si="8"/>
        <v>210.04678552545209</v>
      </c>
      <c r="AC151">
        <f t="shared" si="7"/>
        <v>4.1766590186398389E-12</v>
      </c>
    </row>
    <row r="152" spans="26:29" x14ac:dyDescent="0.35">
      <c r="AB152" s="44"/>
    </row>
  </sheetData>
  <pageMargins left="0.7" right="0.7" top="0.75" bottom="0.75" header="0.3" footer="0.3"/>
  <pageSetup paperSize="9" orientation="portrait" verticalDpi="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6A6A8-C70E-4363-A2AF-12DF4A98DCC8}">
  <sheetPr codeName="Sheet15"/>
  <dimension ref="A1:AC152"/>
  <sheetViews>
    <sheetView zoomScale="80" zoomScaleNormal="80" workbookViewId="0">
      <selection activeCell="J4" sqref="J4"/>
    </sheetView>
  </sheetViews>
  <sheetFormatPr defaultRowHeight="14.5" x14ac:dyDescent="0.35"/>
  <cols>
    <col min="1" max="1" width="20.81640625" customWidth="1"/>
    <col min="2" max="2" width="7.7265625" customWidth="1"/>
    <col min="4" max="4" width="17.453125" customWidth="1"/>
    <col min="5" max="5" width="13.453125" customWidth="1"/>
    <col min="7" max="7" width="12.26953125" customWidth="1"/>
    <col min="10" max="10" width="18.26953125" customWidth="1"/>
    <col min="23" max="23" width="15.7265625" customWidth="1"/>
    <col min="24" max="24" width="27.453125" customWidth="1"/>
  </cols>
  <sheetData>
    <row r="1" spans="1:29" x14ac:dyDescent="0.35">
      <c r="A1" t="s">
        <v>15</v>
      </c>
      <c r="B1">
        <v>1</v>
      </c>
      <c r="F1" s="34" t="s">
        <v>16</v>
      </c>
      <c r="G1" t="s">
        <v>17</v>
      </c>
      <c r="Z1">
        <v>-75</v>
      </c>
      <c r="AA1">
        <f>Z1*10</f>
        <v>-750</v>
      </c>
      <c r="AB1" s="44">
        <f>AA1  *  E$4/500</f>
        <v>-7500</v>
      </c>
      <c r="AC1">
        <f t="shared" ref="AC1:AC64" si="0">NORMDIST((AB1+0.5)*B$1,$B$2,$B$4, TRUE)   -   NORMDIST((AB1-0.5)*B$1,$B$2,$B$4, TRUE)</f>
        <v>5.2716432606962758E-74</v>
      </c>
    </row>
    <row r="2" spans="1:29" ht="18.5" x14ac:dyDescent="0.45">
      <c r="A2" t="s">
        <v>18</v>
      </c>
      <c r="B2">
        <f>B3 *  B5</f>
        <v>-278.17382889305298</v>
      </c>
      <c r="D2" t="s">
        <v>10</v>
      </c>
      <c r="E2" s="45">
        <f>MathSheet!B7</f>
        <v>0.9443652342213894</v>
      </c>
      <c r="G2" t="s">
        <v>19</v>
      </c>
      <c r="Z2">
        <v>-74</v>
      </c>
      <c r="AA2">
        <f t="shared" ref="AA2:AA65" si="1">Z2*10</f>
        <v>-740</v>
      </c>
      <c r="AB2" s="44">
        <f t="shared" ref="AB2:AB65" si="2">AA2  *  E$4/500</f>
        <v>-7400</v>
      </c>
      <c r="AC2">
        <f t="shared" si="0"/>
        <v>4.5150725239269045E-72</v>
      </c>
    </row>
    <row r="3" spans="1:29" ht="18.5" x14ac:dyDescent="0.45">
      <c r="A3" t="s">
        <v>20</v>
      </c>
      <c r="B3" s="46">
        <f>E2-1</f>
        <v>-5.5634765778610595E-2</v>
      </c>
      <c r="D3" t="s">
        <v>21</v>
      </c>
      <c r="E3" s="110">
        <f>MathSheet!E6</f>
        <v>5.6772444217501796</v>
      </c>
      <c r="G3" t="s">
        <v>22</v>
      </c>
      <c r="Z3">
        <v>-73</v>
      </c>
      <c r="AA3">
        <f t="shared" si="1"/>
        <v>-730</v>
      </c>
      <c r="AB3" s="44">
        <f t="shared" si="2"/>
        <v>-7300</v>
      </c>
      <c r="AC3">
        <f t="shared" si="0"/>
        <v>3.6344163792649471E-70</v>
      </c>
    </row>
    <row r="4" spans="1:29" ht="18.5" x14ac:dyDescent="0.45">
      <c r="A4" t="s">
        <v>23</v>
      </c>
      <c r="B4" s="10">
        <f>E4^0.5   *  E3   *  B1</f>
        <v>401.4418029073052</v>
      </c>
      <c r="D4" t="s">
        <v>24</v>
      </c>
      <c r="E4" s="48">
        <v>5000</v>
      </c>
      <c r="Z4">
        <v>-72</v>
      </c>
      <c r="AA4">
        <f t="shared" si="1"/>
        <v>-720</v>
      </c>
      <c r="AB4" s="44">
        <f t="shared" si="2"/>
        <v>-7200</v>
      </c>
      <c r="AC4">
        <f t="shared" si="0"/>
        <v>2.7495135518669406E-68</v>
      </c>
    </row>
    <row r="5" spans="1:29" x14ac:dyDescent="0.35">
      <c r="A5" t="s">
        <v>25</v>
      </c>
      <c r="B5">
        <f>B1 * E4</f>
        <v>5000</v>
      </c>
      <c r="G5" t="s">
        <v>26</v>
      </c>
      <c r="Z5">
        <v>-71</v>
      </c>
      <c r="AA5">
        <f t="shared" si="1"/>
        <v>-710</v>
      </c>
      <c r="AB5" s="44">
        <f t="shared" si="2"/>
        <v>-7100</v>
      </c>
      <c r="AC5">
        <f t="shared" si="0"/>
        <v>1.9549168107388166E-66</v>
      </c>
    </row>
    <row r="6" spans="1:29" x14ac:dyDescent="0.35">
      <c r="G6" t="s">
        <v>27</v>
      </c>
      <c r="Z6">
        <v>-70</v>
      </c>
      <c r="AA6">
        <f t="shared" si="1"/>
        <v>-700</v>
      </c>
      <c r="AB6" s="44">
        <f t="shared" si="2"/>
        <v>-7000</v>
      </c>
      <c r="AC6">
        <f t="shared" si="0"/>
        <v>1.3063270834164342E-64</v>
      </c>
    </row>
    <row r="7" spans="1:29" x14ac:dyDescent="0.35">
      <c r="A7" s="49" t="s">
        <v>28</v>
      </c>
      <c r="B7" s="50" t="s">
        <v>29</v>
      </c>
      <c r="G7" t="s">
        <v>30</v>
      </c>
      <c r="Z7">
        <v>-69</v>
      </c>
      <c r="AA7">
        <f t="shared" si="1"/>
        <v>-690</v>
      </c>
      <c r="AB7" s="44">
        <f t="shared" si="2"/>
        <v>-6900</v>
      </c>
      <c r="AC7">
        <f t="shared" si="0"/>
        <v>8.2040219522761069E-63</v>
      </c>
    </row>
    <row r="8" spans="1:29" x14ac:dyDescent="0.35">
      <c r="G8" s="1"/>
      <c r="Z8">
        <v>-68</v>
      </c>
      <c r="AA8">
        <f t="shared" si="1"/>
        <v>-680</v>
      </c>
      <c r="AB8" s="44">
        <f t="shared" si="2"/>
        <v>-6800</v>
      </c>
      <c r="AC8">
        <f t="shared" si="0"/>
        <v>4.8423137976592279E-61</v>
      </c>
    </row>
    <row r="9" spans="1:29" x14ac:dyDescent="0.35">
      <c r="Z9">
        <v>-67</v>
      </c>
      <c r="AA9">
        <f t="shared" si="1"/>
        <v>-670</v>
      </c>
      <c r="AB9" s="44">
        <f t="shared" si="2"/>
        <v>-6700</v>
      </c>
      <c r="AC9">
        <f t="shared" si="0"/>
        <v>2.6861501104360399E-59</v>
      </c>
    </row>
    <row r="10" spans="1:29" x14ac:dyDescent="0.35">
      <c r="Z10">
        <v>-66</v>
      </c>
      <c r="AA10">
        <f t="shared" si="1"/>
        <v>-660</v>
      </c>
      <c r="AB10" s="44">
        <f t="shared" si="2"/>
        <v>-6600</v>
      </c>
      <c r="AC10">
        <f t="shared" si="0"/>
        <v>1.4004217941106948E-57</v>
      </c>
    </row>
    <row r="11" spans="1:29" x14ac:dyDescent="0.35">
      <c r="Z11">
        <v>-65</v>
      </c>
      <c r="AA11">
        <f t="shared" si="1"/>
        <v>-650</v>
      </c>
      <c r="AB11" s="44">
        <f t="shared" si="2"/>
        <v>-6500</v>
      </c>
      <c r="AC11">
        <f t="shared" si="0"/>
        <v>6.8618098040959939E-56</v>
      </c>
    </row>
    <row r="12" spans="1:29" x14ac:dyDescent="0.35">
      <c r="Z12">
        <v>-64</v>
      </c>
      <c r="AA12">
        <f t="shared" si="1"/>
        <v>-640</v>
      </c>
      <c r="AB12" s="44">
        <f t="shared" si="2"/>
        <v>-6400</v>
      </c>
      <c r="AC12">
        <f t="shared" si="0"/>
        <v>3.1598737013595368E-54</v>
      </c>
    </row>
    <row r="13" spans="1:29" x14ac:dyDescent="0.35">
      <c r="Z13">
        <v>-63</v>
      </c>
      <c r="AA13">
        <f t="shared" si="1"/>
        <v>-630</v>
      </c>
      <c r="AB13" s="44">
        <f t="shared" si="2"/>
        <v>-6300</v>
      </c>
      <c r="AC13">
        <f t="shared" si="0"/>
        <v>1.3675776853924675E-52</v>
      </c>
    </row>
    <row r="14" spans="1:29" x14ac:dyDescent="0.35">
      <c r="Z14">
        <v>-62</v>
      </c>
      <c r="AA14">
        <f t="shared" si="1"/>
        <v>-620</v>
      </c>
      <c r="AB14" s="44">
        <f t="shared" si="2"/>
        <v>-6200</v>
      </c>
      <c r="AC14">
        <f t="shared" si="0"/>
        <v>5.5626984832543426E-51</v>
      </c>
    </row>
    <row r="15" spans="1:29" x14ac:dyDescent="0.35">
      <c r="Z15">
        <v>-61</v>
      </c>
      <c r="AA15">
        <f t="shared" si="1"/>
        <v>-610</v>
      </c>
      <c r="AB15" s="44">
        <f t="shared" si="2"/>
        <v>-6100</v>
      </c>
      <c r="AC15">
        <f t="shared" si="0"/>
        <v>2.1265238994478261E-49</v>
      </c>
    </row>
    <row r="16" spans="1:29" x14ac:dyDescent="0.35">
      <c r="Z16">
        <v>-60</v>
      </c>
      <c r="AA16">
        <f t="shared" si="1"/>
        <v>-600</v>
      </c>
      <c r="AB16" s="44">
        <f t="shared" si="2"/>
        <v>-6000</v>
      </c>
      <c r="AC16">
        <f t="shared" si="0"/>
        <v>7.6402267636389615E-48</v>
      </c>
    </row>
    <row r="17" spans="26:29" x14ac:dyDescent="0.35">
      <c r="Z17">
        <v>-59</v>
      </c>
      <c r="AA17">
        <f t="shared" si="1"/>
        <v>-590</v>
      </c>
      <c r="AB17" s="44">
        <f t="shared" si="2"/>
        <v>-5900</v>
      </c>
      <c r="AC17">
        <f t="shared" si="0"/>
        <v>2.5798441012505181E-46</v>
      </c>
    </row>
    <row r="18" spans="26:29" x14ac:dyDescent="0.35">
      <c r="Z18">
        <v>-58</v>
      </c>
      <c r="AA18">
        <f t="shared" si="1"/>
        <v>-580</v>
      </c>
      <c r="AB18" s="44">
        <f t="shared" si="2"/>
        <v>-5800</v>
      </c>
      <c r="AC18">
        <f t="shared" si="0"/>
        <v>8.1871342047922364E-45</v>
      </c>
    </row>
    <row r="19" spans="26:29" x14ac:dyDescent="0.35">
      <c r="Z19">
        <v>-57</v>
      </c>
      <c r="AA19">
        <f t="shared" si="1"/>
        <v>-570</v>
      </c>
      <c r="AB19" s="44">
        <f t="shared" si="2"/>
        <v>-5700</v>
      </c>
      <c r="AC19">
        <f t="shared" si="0"/>
        <v>2.4418646595944677E-43</v>
      </c>
    </row>
    <row r="20" spans="26:29" x14ac:dyDescent="0.35">
      <c r="Z20">
        <v>-56</v>
      </c>
      <c r="AA20">
        <f t="shared" si="1"/>
        <v>-560</v>
      </c>
      <c r="AB20" s="44">
        <f t="shared" si="2"/>
        <v>-5600</v>
      </c>
      <c r="AC20">
        <f t="shared" si="0"/>
        <v>6.8448274193921652E-42</v>
      </c>
    </row>
    <row r="21" spans="26:29" x14ac:dyDescent="0.35">
      <c r="Z21">
        <v>-55</v>
      </c>
      <c r="AA21">
        <f t="shared" si="1"/>
        <v>-550</v>
      </c>
      <c r="AB21" s="44">
        <f t="shared" si="2"/>
        <v>-5500</v>
      </c>
      <c r="AC21">
        <f t="shared" si="0"/>
        <v>1.8032446353483616E-40</v>
      </c>
    </row>
    <row r="22" spans="26:29" x14ac:dyDescent="0.35">
      <c r="Z22">
        <v>-54</v>
      </c>
      <c r="AA22">
        <f t="shared" si="1"/>
        <v>-540</v>
      </c>
      <c r="AB22" s="44">
        <f t="shared" si="2"/>
        <v>-5400</v>
      </c>
      <c r="AC22">
        <f t="shared" si="0"/>
        <v>4.4647590696030651E-39</v>
      </c>
    </row>
    <row r="23" spans="26:29" x14ac:dyDescent="0.35">
      <c r="Z23">
        <v>-53</v>
      </c>
      <c r="AA23">
        <f t="shared" si="1"/>
        <v>-530</v>
      </c>
      <c r="AB23" s="44">
        <f t="shared" si="2"/>
        <v>-5300</v>
      </c>
      <c r="AC23">
        <f t="shared" si="0"/>
        <v>1.0389451991172176E-37</v>
      </c>
    </row>
    <row r="24" spans="26:29" x14ac:dyDescent="0.35">
      <c r="Z24">
        <v>-52</v>
      </c>
      <c r="AA24">
        <f t="shared" si="1"/>
        <v>-520</v>
      </c>
      <c r="AB24" s="44">
        <f t="shared" si="2"/>
        <v>-5200</v>
      </c>
      <c r="AC24">
        <f t="shared" si="0"/>
        <v>2.2721577818081941E-36</v>
      </c>
    </row>
    <row r="25" spans="26:29" x14ac:dyDescent="0.35">
      <c r="Z25">
        <v>-51</v>
      </c>
      <c r="AA25">
        <f t="shared" si="1"/>
        <v>-510</v>
      </c>
      <c r="AB25" s="44">
        <f t="shared" si="2"/>
        <v>-5100</v>
      </c>
      <c r="AC25">
        <f t="shared" si="0"/>
        <v>4.6702009163926218E-35</v>
      </c>
    </row>
    <row r="26" spans="26:29" x14ac:dyDescent="0.35">
      <c r="Z26">
        <v>-50</v>
      </c>
      <c r="AA26">
        <f t="shared" si="1"/>
        <v>-500</v>
      </c>
      <c r="AB26" s="44">
        <f t="shared" si="2"/>
        <v>-5000</v>
      </c>
      <c r="AC26">
        <f t="shared" si="0"/>
        <v>9.0216064191924296E-34</v>
      </c>
    </row>
    <row r="27" spans="26:29" x14ac:dyDescent="0.35">
      <c r="Z27">
        <v>-49</v>
      </c>
      <c r="AA27">
        <f t="shared" si="1"/>
        <v>-490</v>
      </c>
      <c r="AB27" s="44">
        <f t="shared" si="2"/>
        <v>-4900</v>
      </c>
      <c r="AC27">
        <f t="shared" si="0"/>
        <v>1.6378850590876232E-32</v>
      </c>
    </row>
    <row r="28" spans="26:29" x14ac:dyDescent="0.35">
      <c r="Z28">
        <v>-48</v>
      </c>
      <c r="AA28">
        <f t="shared" si="1"/>
        <v>-480</v>
      </c>
      <c r="AB28" s="44">
        <f t="shared" si="2"/>
        <v>-4800</v>
      </c>
      <c r="AC28">
        <f t="shared" si="0"/>
        <v>2.7946935923347623E-31</v>
      </c>
    </row>
    <row r="29" spans="26:29" x14ac:dyDescent="0.35">
      <c r="Z29">
        <v>-47</v>
      </c>
      <c r="AA29">
        <f t="shared" si="1"/>
        <v>-470</v>
      </c>
      <c r="AB29" s="44">
        <f t="shared" si="2"/>
        <v>-4700</v>
      </c>
      <c r="AC29">
        <f t="shared" si="0"/>
        <v>4.4816321830116783E-30</v>
      </c>
    </row>
    <row r="30" spans="26:29" x14ac:dyDescent="0.35">
      <c r="Z30">
        <v>-46</v>
      </c>
      <c r="AA30">
        <f t="shared" si="1"/>
        <v>-460</v>
      </c>
      <c r="AB30" s="44">
        <f t="shared" si="2"/>
        <v>-4600</v>
      </c>
      <c r="AC30">
        <f t="shared" si="0"/>
        <v>6.7544416507669358E-29</v>
      </c>
    </row>
    <row r="31" spans="26:29" x14ac:dyDescent="0.35">
      <c r="Z31">
        <v>-45</v>
      </c>
      <c r="AA31">
        <f t="shared" si="1"/>
        <v>-450</v>
      </c>
      <c r="AB31" s="44">
        <f t="shared" si="2"/>
        <v>-4500</v>
      </c>
      <c r="AC31">
        <f t="shared" si="0"/>
        <v>9.5673999985063762E-28</v>
      </c>
    </row>
    <row r="32" spans="26:29" x14ac:dyDescent="0.35">
      <c r="Z32">
        <v>-44</v>
      </c>
      <c r="AA32">
        <f t="shared" si="1"/>
        <v>-440</v>
      </c>
      <c r="AB32" s="44">
        <f t="shared" si="2"/>
        <v>-4400</v>
      </c>
      <c r="AC32">
        <f t="shared" si="0"/>
        <v>1.2736486565933612E-26</v>
      </c>
    </row>
    <row r="33" spans="26:29" x14ac:dyDescent="0.35">
      <c r="Z33">
        <v>-43</v>
      </c>
      <c r="AA33">
        <f t="shared" si="1"/>
        <v>-430</v>
      </c>
      <c r="AB33" s="44">
        <f t="shared" si="2"/>
        <v>-4300</v>
      </c>
      <c r="AC33">
        <f t="shared" si="0"/>
        <v>1.5935165754276973E-25</v>
      </c>
    </row>
    <row r="34" spans="26:29" x14ac:dyDescent="0.35">
      <c r="Z34">
        <v>-42</v>
      </c>
      <c r="AA34">
        <f t="shared" si="1"/>
        <v>-420</v>
      </c>
      <c r="AB34" s="44">
        <f t="shared" si="2"/>
        <v>-4200</v>
      </c>
      <c r="AC34">
        <f t="shared" si="0"/>
        <v>1.8737634436569163E-24</v>
      </c>
    </row>
    <row r="35" spans="26:29" x14ac:dyDescent="0.35">
      <c r="Z35">
        <v>-41</v>
      </c>
      <c r="AA35">
        <f t="shared" si="1"/>
        <v>-410</v>
      </c>
      <c r="AB35" s="44">
        <f t="shared" si="2"/>
        <v>-4100</v>
      </c>
      <c r="AC35">
        <f t="shared" si="0"/>
        <v>2.0707333183716151E-23</v>
      </c>
    </row>
    <row r="36" spans="26:29" x14ac:dyDescent="0.35">
      <c r="Z36">
        <v>-40</v>
      </c>
      <c r="AA36">
        <f t="shared" si="1"/>
        <v>-400</v>
      </c>
      <c r="AB36" s="44">
        <f t="shared" si="2"/>
        <v>-4000</v>
      </c>
      <c r="AC36">
        <f t="shared" si="0"/>
        <v>2.1507246571078441E-22</v>
      </c>
    </row>
    <row r="37" spans="26:29" x14ac:dyDescent="0.35">
      <c r="Z37">
        <v>-39</v>
      </c>
      <c r="AA37">
        <f t="shared" si="1"/>
        <v>-390</v>
      </c>
      <c r="AB37" s="44">
        <f t="shared" si="2"/>
        <v>-3900</v>
      </c>
      <c r="AC37">
        <f t="shared" si="0"/>
        <v>2.0994072369686059E-21</v>
      </c>
    </row>
    <row r="38" spans="26:29" x14ac:dyDescent="0.35">
      <c r="Z38">
        <v>-38</v>
      </c>
      <c r="AA38">
        <f t="shared" si="1"/>
        <v>-380</v>
      </c>
      <c r="AB38" s="44">
        <f t="shared" si="2"/>
        <v>-3800</v>
      </c>
      <c r="AC38">
        <f t="shared" si="0"/>
        <v>1.9260155930829222E-20</v>
      </c>
    </row>
    <row r="39" spans="26:29" x14ac:dyDescent="0.35">
      <c r="Z39">
        <v>-37</v>
      </c>
      <c r="AA39">
        <f t="shared" si="1"/>
        <v>-370</v>
      </c>
      <c r="AB39" s="44">
        <f t="shared" si="2"/>
        <v>-3700</v>
      </c>
      <c r="AC39">
        <f t="shared" si="0"/>
        <v>1.6606348236834972E-19</v>
      </c>
    </row>
    <row r="40" spans="26:29" x14ac:dyDescent="0.35">
      <c r="Z40">
        <v>-36</v>
      </c>
      <c r="AA40">
        <f t="shared" si="1"/>
        <v>-360</v>
      </c>
      <c r="AB40" s="44">
        <f t="shared" si="2"/>
        <v>-3600</v>
      </c>
      <c r="AC40">
        <f t="shared" si="0"/>
        <v>1.3456735494388716E-18</v>
      </c>
    </row>
    <row r="41" spans="26:29" x14ac:dyDescent="0.35">
      <c r="Z41">
        <v>-35</v>
      </c>
      <c r="AA41">
        <f t="shared" si="1"/>
        <v>-350</v>
      </c>
      <c r="AB41" s="44">
        <f t="shared" si="2"/>
        <v>-3500</v>
      </c>
      <c r="AC41">
        <f t="shared" si="0"/>
        <v>1.024841077069966E-17</v>
      </c>
    </row>
    <row r="42" spans="26:29" x14ac:dyDescent="0.35">
      <c r="Z42">
        <v>-34</v>
      </c>
      <c r="AA42">
        <f t="shared" si="1"/>
        <v>-340</v>
      </c>
      <c r="AB42" s="44">
        <f t="shared" si="2"/>
        <v>-3400</v>
      </c>
      <c r="AC42">
        <f t="shared" si="0"/>
        <v>7.3354129143227188E-17</v>
      </c>
    </row>
    <row r="43" spans="26:29" x14ac:dyDescent="0.35">
      <c r="Z43">
        <v>-33</v>
      </c>
      <c r="AA43">
        <f t="shared" si="1"/>
        <v>-330</v>
      </c>
      <c r="AB43" s="44">
        <f t="shared" si="2"/>
        <v>-3300</v>
      </c>
      <c r="AC43">
        <f t="shared" si="0"/>
        <v>4.9345078017424993E-16</v>
      </c>
    </row>
    <row r="44" spans="26:29" x14ac:dyDescent="0.35">
      <c r="Z44">
        <v>-32</v>
      </c>
      <c r="AA44">
        <f t="shared" si="1"/>
        <v>-320</v>
      </c>
      <c r="AB44" s="44">
        <f t="shared" si="2"/>
        <v>-3200</v>
      </c>
      <c r="AC44">
        <f t="shared" si="0"/>
        <v>3.119710879574588E-15</v>
      </c>
    </row>
    <row r="45" spans="26:29" x14ac:dyDescent="0.35">
      <c r="Z45">
        <v>-31</v>
      </c>
      <c r="AA45">
        <f t="shared" si="1"/>
        <v>-310</v>
      </c>
      <c r="AB45" s="44">
        <f t="shared" si="2"/>
        <v>-3100</v>
      </c>
      <c r="AC45">
        <f t="shared" si="0"/>
        <v>1.8536856506908286E-14</v>
      </c>
    </row>
    <row r="46" spans="26:29" x14ac:dyDescent="0.35">
      <c r="Z46">
        <v>-30</v>
      </c>
      <c r="AA46">
        <f t="shared" si="1"/>
        <v>-300</v>
      </c>
      <c r="AB46" s="44">
        <f t="shared" si="2"/>
        <v>-3000</v>
      </c>
      <c r="AC46">
        <f t="shared" si="0"/>
        <v>1.035163765752046E-13</v>
      </c>
    </row>
    <row r="47" spans="26:29" x14ac:dyDescent="0.35">
      <c r="Z47">
        <v>-29</v>
      </c>
      <c r="AA47">
        <f t="shared" si="1"/>
        <v>-290</v>
      </c>
      <c r="AB47" s="44">
        <f t="shared" si="2"/>
        <v>-2900</v>
      </c>
      <c r="AC47">
        <f t="shared" si="0"/>
        <v>5.4329194815071588E-13</v>
      </c>
    </row>
    <row r="48" spans="26:29" x14ac:dyDescent="0.35">
      <c r="Z48">
        <v>-28</v>
      </c>
      <c r="AA48">
        <f t="shared" si="1"/>
        <v>-280</v>
      </c>
      <c r="AB48" s="44">
        <f t="shared" si="2"/>
        <v>-2800</v>
      </c>
      <c r="AC48">
        <f t="shared" si="0"/>
        <v>2.679839033195173E-12</v>
      </c>
    </row>
    <row r="49" spans="26:29" x14ac:dyDescent="0.35">
      <c r="Z49">
        <v>-27</v>
      </c>
      <c r="AA49">
        <f t="shared" si="1"/>
        <v>-270</v>
      </c>
      <c r="AB49" s="44">
        <f t="shared" si="2"/>
        <v>-2700</v>
      </c>
      <c r="AC49">
        <f t="shared" si="0"/>
        <v>1.2423254482607696E-11</v>
      </c>
    </row>
    <row r="50" spans="26:29" x14ac:dyDescent="0.35">
      <c r="Z50">
        <v>-26</v>
      </c>
      <c r="AA50">
        <f t="shared" si="1"/>
        <v>-260</v>
      </c>
      <c r="AB50" s="44">
        <f t="shared" si="2"/>
        <v>-2600</v>
      </c>
      <c r="AC50">
        <f t="shared" si="0"/>
        <v>5.4126916594458984E-11</v>
      </c>
    </row>
    <row r="51" spans="26:29" x14ac:dyDescent="0.35">
      <c r="Z51">
        <v>-25</v>
      </c>
      <c r="AA51">
        <f t="shared" si="1"/>
        <v>-250</v>
      </c>
      <c r="AB51" s="44">
        <f t="shared" si="2"/>
        <v>-2500</v>
      </c>
      <c r="AC51">
        <f t="shared" si="0"/>
        <v>2.2163708360898807E-10</v>
      </c>
    </row>
    <row r="52" spans="26:29" x14ac:dyDescent="0.35">
      <c r="Z52">
        <v>-24</v>
      </c>
      <c r="AA52">
        <f t="shared" si="1"/>
        <v>-240</v>
      </c>
      <c r="AB52" s="44">
        <f t="shared" si="2"/>
        <v>-2400</v>
      </c>
      <c r="AC52">
        <f t="shared" si="0"/>
        <v>8.5294847925638767E-10</v>
      </c>
    </row>
    <row r="53" spans="26:29" x14ac:dyDescent="0.35">
      <c r="Z53">
        <v>-23</v>
      </c>
      <c r="AA53">
        <f t="shared" si="1"/>
        <v>-230</v>
      </c>
      <c r="AB53" s="44">
        <f t="shared" si="2"/>
        <v>-2300</v>
      </c>
      <c r="AC53">
        <f t="shared" si="0"/>
        <v>3.0849945748759762E-9</v>
      </c>
    </row>
    <row r="54" spans="26:29" x14ac:dyDescent="0.35">
      <c r="Z54">
        <v>-22</v>
      </c>
      <c r="AA54">
        <f t="shared" si="1"/>
        <v>-220</v>
      </c>
      <c r="AB54" s="44">
        <f t="shared" si="2"/>
        <v>-2200</v>
      </c>
      <c r="AC54">
        <f t="shared" si="0"/>
        <v>1.0486661344603967E-8</v>
      </c>
    </row>
    <row r="55" spans="26:29" x14ac:dyDescent="0.35">
      <c r="Z55">
        <v>-21</v>
      </c>
      <c r="AA55">
        <f t="shared" si="1"/>
        <v>-210</v>
      </c>
      <c r="AB55" s="44">
        <f t="shared" si="2"/>
        <v>-2100</v>
      </c>
      <c r="AC55">
        <f t="shared" si="0"/>
        <v>3.3502044779554046E-8</v>
      </c>
    </row>
    <row r="56" spans="26:29" x14ac:dyDescent="0.35">
      <c r="Z56">
        <v>-20</v>
      </c>
      <c r="AA56">
        <f t="shared" si="1"/>
        <v>-200</v>
      </c>
      <c r="AB56" s="44">
        <f t="shared" si="2"/>
        <v>-2000</v>
      </c>
      <c r="AC56">
        <f t="shared" si="0"/>
        <v>1.0059041954057856E-7</v>
      </c>
    </row>
    <row r="57" spans="26:29" x14ac:dyDescent="0.35">
      <c r="Z57">
        <v>-19</v>
      </c>
      <c r="AA57">
        <f t="shared" si="1"/>
        <v>-190</v>
      </c>
      <c r="AB57" s="44">
        <f t="shared" si="2"/>
        <v>-1900</v>
      </c>
      <c r="AC57">
        <f t="shared" si="0"/>
        <v>2.8385278349001732E-7</v>
      </c>
    </row>
    <row r="58" spans="26:29" x14ac:dyDescent="0.35">
      <c r="Z58">
        <v>-18</v>
      </c>
      <c r="AA58">
        <f t="shared" si="1"/>
        <v>-180</v>
      </c>
      <c r="AB58" s="44">
        <f t="shared" si="2"/>
        <v>-1800</v>
      </c>
      <c r="AC58">
        <f t="shared" si="0"/>
        <v>7.5280228429536297E-7</v>
      </c>
    </row>
    <row r="59" spans="26:29" x14ac:dyDescent="0.35">
      <c r="Z59">
        <v>-17</v>
      </c>
      <c r="AA59">
        <f t="shared" si="1"/>
        <v>-170</v>
      </c>
      <c r="AB59" s="44">
        <f t="shared" si="2"/>
        <v>-1700</v>
      </c>
      <c r="AC59">
        <f t="shared" si="0"/>
        <v>1.8763762715128559E-6</v>
      </c>
    </row>
    <row r="60" spans="26:29" x14ac:dyDescent="0.35">
      <c r="Z60">
        <v>-16</v>
      </c>
      <c r="AA60">
        <f t="shared" si="1"/>
        <v>-160</v>
      </c>
      <c r="AB60" s="44">
        <f t="shared" si="2"/>
        <v>-1600</v>
      </c>
      <c r="AC60">
        <f t="shared" si="0"/>
        <v>4.3955190780578003E-6</v>
      </c>
    </row>
    <row r="61" spans="26:29" x14ac:dyDescent="0.35">
      <c r="Z61">
        <v>-15</v>
      </c>
      <c r="AA61">
        <f t="shared" si="1"/>
        <v>-150</v>
      </c>
      <c r="AB61" s="44">
        <f t="shared" si="2"/>
        <v>-1500</v>
      </c>
      <c r="AC61">
        <f t="shared" si="0"/>
        <v>9.6772428458547898E-6</v>
      </c>
    </row>
    <row r="62" spans="26:29" x14ac:dyDescent="0.35">
      <c r="Z62">
        <v>-14</v>
      </c>
      <c r="AA62">
        <f t="shared" si="1"/>
        <v>-140</v>
      </c>
      <c r="AB62" s="44">
        <f t="shared" si="2"/>
        <v>-1400</v>
      </c>
      <c r="AC62">
        <f t="shared" si="0"/>
        <v>2.0023700598535872E-5</v>
      </c>
    </row>
    <row r="63" spans="26:29" x14ac:dyDescent="0.35">
      <c r="Z63">
        <v>-13</v>
      </c>
      <c r="AA63">
        <f t="shared" si="1"/>
        <v>-130</v>
      </c>
      <c r="AB63" s="44">
        <f t="shared" si="2"/>
        <v>-1300</v>
      </c>
      <c r="AC63">
        <f t="shared" si="0"/>
        <v>3.8939312487239197E-5</v>
      </c>
    </row>
    <row r="64" spans="26:29" x14ac:dyDescent="0.35">
      <c r="Z64">
        <v>-12</v>
      </c>
      <c r="AA64">
        <f t="shared" si="1"/>
        <v>-120</v>
      </c>
      <c r="AB64" s="44">
        <f t="shared" si="2"/>
        <v>-1200</v>
      </c>
      <c r="AC64">
        <f t="shared" si="0"/>
        <v>7.1167784942979123E-5</v>
      </c>
    </row>
    <row r="65" spans="26:29" x14ac:dyDescent="0.35">
      <c r="Z65">
        <v>-11</v>
      </c>
      <c r="AA65">
        <f t="shared" si="1"/>
        <v>-110</v>
      </c>
      <c r="AB65" s="44">
        <f t="shared" si="2"/>
        <v>-1100</v>
      </c>
      <c r="AC65">
        <f t="shared" ref="AC65:AC128" si="3">NORMDIST((AB65+0.5)*B$1,$B$2,$B$4, TRUE)   -   NORMDIST((AB65-0.5)*B$1,$B$2,$B$4, TRUE)</f>
        <v>1.2224464719765016E-4</v>
      </c>
    </row>
    <row r="66" spans="26:29" x14ac:dyDescent="0.35">
      <c r="Z66">
        <v>-10</v>
      </c>
      <c r="AA66">
        <f t="shared" ref="AA66:AA107" si="4">Z66*10</f>
        <v>-100</v>
      </c>
      <c r="AB66" s="44">
        <f t="shared" ref="AB66:AB129" si="5">AA66  *  E$4/500</f>
        <v>-1000</v>
      </c>
      <c r="AC66">
        <f t="shared" si="3"/>
        <v>1.9734561788710414E-4</v>
      </c>
    </row>
    <row r="67" spans="26:29" x14ac:dyDescent="0.35">
      <c r="Z67">
        <v>-9</v>
      </c>
      <c r="AA67">
        <f t="shared" si="4"/>
        <v>-90</v>
      </c>
      <c r="AB67" s="44">
        <f t="shared" si="5"/>
        <v>-900</v>
      </c>
      <c r="AC67">
        <f t="shared" si="3"/>
        <v>2.994169320139628E-4</v>
      </c>
    </row>
    <row r="68" spans="26:29" x14ac:dyDescent="0.35">
      <c r="Z68">
        <v>-8</v>
      </c>
      <c r="AA68">
        <f t="shared" si="4"/>
        <v>-80</v>
      </c>
      <c r="AB68" s="44">
        <f t="shared" si="5"/>
        <v>-800</v>
      </c>
      <c r="AC68">
        <f t="shared" si="3"/>
        <v>4.2694944953494685E-4</v>
      </c>
    </row>
    <row r="69" spans="26:29" x14ac:dyDescent="0.35">
      <c r="Z69">
        <v>-7</v>
      </c>
      <c r="AA69">
        <f t="shared" si="4"/>
        <v>-70</v>
      </c>
      <c r="AB69" s="44">
        <f t="shared" si="5"/>
        <v>-700</v>
      </c>
      <c r="AC69">
        <f t="shared" si="3"/>
        <v>5.7217357013139569E-4</v>
      </c>
    </row>
    <row r="70" spans="26:29" x14ac:dyDescent="0.35">
      <c r="Z70">
        <v>-6</v>
      </c>
      <c r="AA70">
        <f t="shared" si="4"/>
        <v>-60</v>
      </c>
      <c r="AB70" s="44">
        <f t="shared" si="5"/>
        <v>-600</v>
      </c>
      <c r="AC70">
        <f t="shared" si="3"/>
        <v>7.2065990666178581E-4</v>
      </c>
    </row>
    <row r="71" spans="26:29" x14ac:dyDescent="0.35">
      <c r="Z71">
        <v>-5</v>
      </c>
      <c r="AA71">
        <f t="shared" si="4"/>
        <v>-50</v>
      </c>
      <c r="AB71" s="44">
        <f t="shared" si="5"/>
        <v>-500</v>
      </c>
      <c r="AC71">
        <f t="shared" si="3"/>
        <v>8.5306900408371744E-4</v>
      </c>
    </row>
    <row r="72" spans="26:29" x14ac:dyDescent="0.35">
      <c r="Z72">
        <v>-4</v>
      </c>
      <c r="AA72">
        <f t="shared" si="4"/>
        <v>-40</v>
      </c>
      <c r="AB72" s="44">
        <f t="shared" si="5"/>
        <v>-400</v>
      </c>
      <c r="AC72">
        <f t="shared" si="3"/>
        <v>9.4905022538510631E-4</v>
      </c>
    </row>
    <row r="73" spans="26:29" x14ac:dyDescent="0.35">
      <c r="Z73">
        <v>-3</v>
      </c>
      <c r="AA73">
        <f t="shared" si="4"/>
        <v>-30</v>
      </c>
      <c r="AB73" s="44">
        <f t="shared" si="5"/>
        <v>-300</v>
      </c>
      <c r="AC73">
        <f t="shared" si="3"/>
        <v>9.9230564982855096E-4</v>
      </c>
    </row>
    <row r="74" spans="26:29" x14ac:dyDescent="0.35">
      <c r="Z74">
        <v>-2</v>
      </c>
      <c r="AA74">
        <f t="shared" si="4"/>
        <v>-20</v>
      </c>
      <c r="AB74" s="44">
        <f t="shared" si="5"/>
        <v>-200</v>
      </c>
      <c r="AC74">
        <f t="shared" si="3"/>
        <v>9.751085503215684E-4</v>
      </c>
    </row>
    <row r="75" spans="26:29" x14ac:dyDescent="0.35">
      <c r="Z75">
        <v>-1</v>
      </c>
      <c r="AA75">
        <f t="shared" si="4"/>
        <v>-10</v>
      </c>
      <c r="AB75" s="44">
        <f t="shared" si="5"/>
        <v>-100</v>
      </c>
      <c r="AC75">
        <f t="shared" si="3"/>
        <v>9.005580200034391E-4</v>
      </c>
    </row>
    <row r="76" spans="26:29" x14ac:dyDescent="0.35">
      <c r="Z76">
        <v>0</v>
      </c>
      <c r="AA76">
        <f t="shared" si="4"/>
        <v>0</v>
      </c>
      <c r="AB76" s="44">
        <f t="shared" si="5"/>
        <v>0</v>
      </c>
      <c r="AC76">
        <f t="shared" si="3"/>
        <v>7.8166679737556866E-4</v>
      </c>
    </row>
    <row r="77" spans="26:29" x14ac:dyDescent="0.35">
      <c r="Z77">
        <v>1</v>
      </c>
      <c r="AA77">
        <f t="shared" si="4"/>
        <v>10</v>
      </c>
      <c r="AB77" s="44">
        <f t="shared" si="5"/>
        <v>100</v>
      </c>
      <c r="AC77">
        <f t="shared" si="3"/>
        <v>6.3765073523269766E-4</v>
      </c>
    </row>
    <row r="78" spans="26:29" x14ac:dyDescent="0.35">
      <c r="Z78">
        <v>2</v>
      </c>
      <c r="AA78">
        <f t="shared" si="4"/>
        <v>20</v>
      </c>
      <c r="AB78" s="44">
        <f t="shared" si="5"/>
        <v>200</v>
      </c>
      <c r="AC78">
        <f t="shared" si="3"/>
        <v>4.8887215063464495E-4</v>
      </c>
    </row>
    <row r="79" spans="26:29" x14ac:dyDescent="0.35">
      <c r="Z79">
        <v>3</v>
      </c>
      <c r="AA79">
        <f t="shared" si="4"/>
        <v>30</v>
      </c>
      <c r="AB79" s="44">
        <f t="shared" si="5"/>
        <v>300</v>
      </c>
      <c r="AC79">
        <f t="shared" si="3"/>
        <v>3.522564578823939E-4</v>
      </c>
    </row>
    <row r="80" spans="26:29" x14ac:dyDescent="0.35">
      <c r="Z80">
        <v>4</v>
      </c>
      <c r="AA80">
        <f t="shared" si="4"/>
        <v>40</v>
      </c>
      <c r="AB80" s="44">
        <f t="shared" si="5"/>
        <v>400</v>
      </c>
      <c r="AC80">
        <f t="shared" si="3"/>
        <v>2.3854694709191104E-4</v>
      </c>
    </row>
    <row r="81" spans="26:29" x14ac:dyDescent="0.35">
      <c r="Z81">
        <v>5</v>
      </c>
      <c r="AA81">
        <f t="shared" si="4"/>
        <v>50</v>
      </c>
      <c r="AB81" s="44">
        <f t="shared" si="5"/>
        <v>500</v>
      </c>
      <c r="AC81">
        <f t="shared" si="3"/>
        <v>1.5182384820711103E-4</v>
      </c>
    </row>
    <row r="82" spans="26:29" x14ac:dyDescent="0.35">
      <c r="Z82">
        <v>6</v>
      </c>
      <c r="AA82">
        <f t="shared" si="4"/>
        <v>60</v>
      </c>
      <c r="AB82" s="44">
        <f t="shared" si="5"/>
        <v>600</v>
      </c>
      <c r="AC82">
        <f t="shared" si="3"/>
        <v>9.0814952560247519E-5</v>
      </c>
    </row>
    <row r="83" spans="26:29" x14ac:dyDescent="0.35">
      <c r="Z83">
        <v>7</v>
      </c>
      <c r="AA83">
        <f t="shared" si="4"/>
        <v>70</v>
      </c>
      <c r="AB83" s="44">
        <f t="shared" si="5"/>
        <v>700</v>
      </c>
      <c r="AC83">
        <f t="shared" si="3"/>
        <v>5.1053551501589745E-5</v>
      </c>
    </row>
    <row r="84" spans="26:29" x14ac:dyDescent="0.35">
      <c r="Z84">
        <v>8</v>
      </c>
      <c r="AA84">
        <f t="shared" si="4"/>
        <v>80</v>
      </c>
      <c r="AB84" s="44">
        <f t="shared" si="5"/>
        <v>800</v>
      </c>
      <c r="AC84">
        <f t="shared" si="3"/>
        <v>2.6974027154458291E-5</v>
      </c>
    </row>
    <row r="85" spans="26:29" x14ac:dyDescent="0.35">
      <c r="Z85">
        <v>9</v>
      </c>
      <c r="AA85">
        <f t="shared" si="4"/>
        <v>90</v>
      </c>
      <c r="AB85" s="44">
        <f t="shared" si="5"/>
        <v>900</v>
      </c>
      <c r="AC85">
        <f t="shared" si="3"/>
        <v>1.3394202329597427E-5</v>
      </c>
    </row>
    <row r="86" spans="26:29" x14ac:dyDescent="0.35">
      <c r="Z86">
        <v>10</v>
      </c>
      <c r="AA86">
        <f t="shared" si="4"/>
        <v>100</v>
      </c>
      <c r="AB86" s="44">
        <f t="shared" si="5"/>
        <v>1000</v>
      </c>
      <c r="AC86">
        <f t="shared" si="3"/>
        <v>6.2508510844105913E-6</v>
      </c>
    </row>
    <row r="87" spans="26:29" x14ac:dyDescent="0.35">
      <c r="Z87">
        <v>11</v>
      </c>
      <c r="AA87">
        <f t="shared" si="4"/>
        <v>110</v>
      </c>
      <c r="AB87" s="44">
        <f t="shared" si="5"/>
        <v>1100</v>
      </c>
      <c r="AC87">
        <f t="shared" si="3"/>
        <v>2.7416542406344391E-6</v>
      </c>
    </row>
    <row r="88" spans="26:29" x14ac:dyDescent="0.35">
      <c r="Z88">
        <v>12</v>
      </c>
      <c r="AA88">
        <f t="shared" si="4"/>
        <v>120</v>
      </c>
      <c r="AB88" s="44">
        <f t="shared" si="5"/>
        <v>1200</v>
      </c>
      <c r="AC88">
        <f t="shared" si="3"/>
        <v>1.1301535342012059E-6</v>
      </c>
    </row>
    <row r="89" spans="26:29" x14ac:dyDescent="0.35">
      <c r="Z89">
        <v>13</v>
      </c>
      <c r="AA89">
        <f t="shared" si="4"/>
        <v>130</v>
      </c>
      <c r="AB89" s="44">
        <f t="shared" si="5"/>
        <v>1300</v>
      </c>
      <c r="AC89">
        <f t="shared" si="3"/>
        <v>4.3783799308361182E-7</v>
      </c>
    </row>
    <row r="90" spans="26:29" x14ac:dyDescent="0.35">
      <c r="Z90">
        <v>14</v>
      </c>
      <c r="AA90">
        <f t="shared" si="4"/>
        <v>140</v>
      </c>
      <c r="AB90" s="44">
        <f t="shared" si="5"/>
        <v>1400</v>
      </c>
      <c r="AC90">
        <f t="shared" si="3"/>
        <v>1.5941921804873971E-7</v>
      </c>
    </row>
    <row r="91" spans="26:29" x14ac:dyDescent="0.35">
      <c r="Z91">
        <v>15</v>
      </c>
      <c r="AA91">
        <f t="shared" si="4"/>
        <v>150</v>
      </c>
      <c r="AB91" s="44">
        <f t="shared" si="5"/>
        <v>1500</v>
      </c>
      <c r="AC91">
        <f t="shared" si="3"/>
        <v>5.455306273383087E-8</v>
      </c>
    </row>
    <row r="92" spans="26:29" x14ac:dyDescent="0.35">
      <c r="Z92">
        <v>16</v>
      </c>
      <c r="AA92">
        <f t="shared" si="4"/>
        <v>160</v>
      </c>
      <c r="AB92" s="44">
        <f t="shared" si="5"/>
        <v>1600</v>
      </c>
      <c r="AC92">
        <f t="shared" si="3"/>
        <v>1.7544816599546209E-8</v>
      </c>
    </row>
    <row r="93" spans="26:29" x14ac:dyDescent="0.35">
      <c r="Z93">
        <v>17</v>
      </c>
      <c r="AA93">
        <f t="shared" si="4"/>
        <v>170</v>
      </c>
      <c r="AB93" s="44">
        <f t="shared" si="5"/>
        <v>1700</v>
      </c>
      <c r="AC93">
        <f t="shared" si="3"/>
        <v>5.3030992930303E-9</v>
      </c>
    </row>
    <row r="94" spans="26:29" x14ac:dyDescent="0.35">
      <c r="Z94">
        <v>18</v>
      </c>
      <c r="AA94">
        <f t="shared" si="4"/>
        <v>180</v>
      </c>
      <c r="AB94" s="44">
        <f t="shared" si="5"/>
        <v>1800</v>
      </c>
      <c r="AC94">
        <f t="shared" si="3"/>
        <v>1.5064750558124729E-9</v>
      </c>
    </row>
    <row r="95" spans="26:29" x14ac:dyDescent="0.35">
      <c r="Z95">
        <v>19</v>
      </c>
      <c r="AA95">
        <f t="shared" si="4"/>
        <v>190</v>
      </c>
      <c r="AB95" s="44">
        <f t="shared" si="5"/>
        <v>1900</v>
      </c>
      <c r="AC95">
        <f t="shared" si="3"/>
        <v>4.022030486439121E-10</v>
      </c>
    </row>
    <row r="96" spans="26:29" x14ac:dyDescent="0.35">
      <c r="Z96">
        <v>20</v>
      </c>
      <c r="AA96">
        <f t="shared" si="4"/>
        <v>200</v>
      </c>
      <c r="AB96" s="44">
        <f t="shared" si="5"/>
        <v>2000</v>
      </c>
      <c r="AC96">
        <f t="shared" si="3"/>
        <v>1.0092060520605628E-10</v>
      </c>
    </row>
    <row r="97" spans="26:29" x14ac:dyDescent="0.35">
      <c r="Z97">
        <v>21</v>
      </c>
      <c r="AA97">
        <f t="shared" si="4"/>
        <v>210</v>
      </c>
      <c r="AB97" s="44">
        <f t="shared" si="5"/>
        <v>2100</v>
      </c>
      <c r="AC97">
        <f t="shared" si="3"/>
        <v>2.3799295867377168E-11</v>
      </c>
    </row>
    <row r="98" spans="26:29" x14ac:dyDescent="0.35">
      <c r="Z98">
        <v>22</v>
      </c>
      <c r="AA98">
        <f t="shared" si="4"/>
        <v>220</v>
      </c>
      <c r="AB98" s="44">
        <f t="shared" si="5"/>
        <v>2200</v>
      </c>
      <c r="AC98">
        <f t="shared" si="3"/>
        <v>5.2746695899941187E-12</v>
      </c>
    </row>
    <row r="99" spans="26:29" x14ac:dyDescent="0.35">
      <c r="Z99">
        <v>23</v>
      </c>
      <c r="AA99">
        <f t="shared" si="4"/>
        <v>230</v>
      </c>
      <c r="AB99" s="44">
        <f t="shared" si="5"/>
        <v>2300</v>
      </c>
      <c r="AC99">
        <f t="shared" si="3"/>
        <v>1.0987877274715174E-12</v>
      </c>
    </row>
    <row r="100" spans="26:29" x14ac:dyDescent="0.35">
      <c r="Z100">
        <v>24</v>
      </c>
      <c r="AA100">
        <f t="shared" si="4"/>
        <v>240</v>
      </c>
      <c r="AB100" s="44">
        <f t="shared" si="5"/>
        <v>2400</v>
      </c>
      <c r="AC100">
        <f t="shared" si="3"/>
        <v>2.1505019986989282E-13</v>
      </c>
    </row>
    <row r="101" spans="26:29" x14ac:dyDescent="0.35">
      <c r="Z101">
        <v>25</v>
      </c>
      <c r="AA101">
        <f t="shared" si="4"/>
        <v>250</v>
      </c>
      <c r="AB101" s="44">
        <f t="shared" si="5"/>
        <v>2500</v>
      </c>
      <c r="AC101">
        <f t="shared" si="3"/>
        <v>3.9523939676655573E-14</v>
      </c>
    </row>
    <row r="102" spans="26:29" x14ac:dyDescent="0.35">
      <c r="Z102">
        <v>26</v>
      </c>
      <c r="AA102">
        <f t="shared" si="4"/>
        <v>260</v>
      </c>
      <c r="AB102" s="44">
        <f t="shared" si="5"/>
        <v>2600</v>
      </c>
      <c r="AC102">
        <f t="shared" si="3"/>
        <v>6.8833827526759706E-15</v>
      </c>
    </row>
    <row r="103" spans="26:29" x14ac:dyDescent="0.35">
      <c r="Z103">
        <v>27</v>
      </c>
      <c r="AA103">
        <f t="shared" si="4"/>
        <v>270</v>
      </c>
      <c r="AB103" s="44">
        <f t="shared" si="5"/>
        <v>2700</v>
      </c>
      <c r="AC103">
        <f t="shared" si="3"/>
        <v>1.1102230246251565E-15</v>
      </c>
    </row>
    <row r="104" spans="26:29" x14ac:dyDescent="0.35">
      <c r="Z104">
        <v>28</v>
      </c>
      <c r="AA104">
        <f t="shared" si="4"/>
        <v>280</v>
      </c>
      <c r="AB104" s="44">
        <f t="shared" si="5"/>
        <v>2800</v>
      </c>
      <c r="AC104">
        <f t="shared" si="3"/>
        <v>0</v>
      </c>
    </row>
    <row r="105" spans="26:29" x14ac:dyDescent="0.35">
      <c r="Z105">
        <v>29</v>
      </c>
      <c r="AA105">
        <f t="shared" si="4"/>
        <v>290</v>
      </c>
      <c r="AB105" s="44">
        <f t="shared" si="5"/>
        <v>2900</v>
      </c>
      <c r="AC105">
        <f t="shared" si="3"/>
        <v>0</v>
      </c>
    </row>
    <row r="106" spans="26:29" x14ac:dyDescent="0.35">
      <c r="Z106">
        <v>30</v>
      </c>
      <c r="AA106">
        <f t="shared" si="4"/>
        <v>300</v>
      </c>
      <c r="AB106" s="44">
        <f t="shared" si="5"/>
        <v>3000</v>
      </c>
      <c r="AC106">
        <f t="shared" si="3"/>
        <v>0</v>
      </c>
    </row>
    <row r="107" spans="26:29" x14ac:dyDescent="0.35">
      <c r="Z107">
        <v>31</v>
      </c>
      <c r="AA107">
        <f t="shared" si="4"/>
        <v>310</v>
      </c>
      <c r="AB107" s="44">
        <f t="shared" si="5"/>
        <v>3100</v>
      </c>
      <c r="AC107">
        <f t="shared" si="3"/>
        <v>0</v>
      </c>
    </row>
    <row r="108" spans="26:29" x14ac:dyDescent="0.35">
      <c r="Z108">
        <v>32</v>
      </c>
      <c r="AA108">
        <f>Z108*10</f>
        <v>320</v>
      </c>
      <c r="AB108" s="44">
        <f t="shared" si="5"/>
        <v>3200</v>
      </c>
      <c r="AC108">
        <f t="shared" si="3"/>
        <v>0</v>
      </c>
    </row>
    <row r="109" spans="26:29" x14ac:dyDescent="0.35">
      <c r="Z109">
        <v>33</v>
      </c>
      <c r="AA109">
        <f t="shared" ref="AA109:AA151" si="6">Z109*10</f>
        <v>330</v>
      </c>
      <c r="AB109" s="44">
        <f t="shared" si="5"/>
        <v>3300</v>
      </c>
      <c r="AC109">
        <f t="shared" si="3"/>
        <v>0</v>
      </c>
    </row>
    <row r="110" spans="26:29" x14ac:dyDescent="0.35">
      <c r="Z110">
        <v>34</v>
      </c>
      <c r="AA110">
        <f t="shared" si="6"/>
        <v>340</v>
      </c>
      <c r="AB110" s="44">
        <f t="shared" si="5"/>
        <v>3400</v>
      </c>
      <c r="AC110">
        <f t="shared" si="3"/>
        <v>0</v>
      </c>
    </row>
    <row r="111" spans="26:29" x14ac:dyDescent="0.35">
      <c r="Z111">
        <v>35</v>
      </c>
      <c r="AA111">
        <f t="shared" si="6"/>
        <v>350</v>
      </c>
      <c r="AB111" s="44">
        <f t="shared" si="5"/>
        <v>3500</v>
      </c>
      <c r="AC111">
        <f t="shared" si="3"/>
        <v>0</v>
      </c>
    </row>
    <row r="112" spans="26:29" x14ac:dyDescent="0.35">
      <c r="Z112">
        <v>36</v>
      </c>
      <c r="AA112">
        <f t="shared" si="6"/>
        <v>360</v>
      </c>
      <c r="AB112" s="44">
        <f t="shared" si="5"/>
        <v>3600</v>
      </c>
      <c r="AC112">
        <f t="shared" si="3"/>
        <v>0</v>
      </c>
    </row>
    <row r="113" spans="26:29" x14ac:dyDescent="0.35">
      <c r="Z113">
        <v>37</v>
      </c>
      <c r="AA113">
        <f t="shared" si="6"/>
        <v>370</v>
      </c>
      <c r="AB113" s="44">
        <f t="shared" si="5"/>
        <v>3700</v>
      </c>
      <c r="AC113">
        <f t="shared" si="3"/>
        <v>0</v>
      </c>
    </row>
    <row r="114" spans="26:29" x14ac:dyDescent="0.35">
      <c r="Z114">
        <v>38</v>
      </c>
      <c r="AA114">
        <f t="shared" si="6"/>
        <v>380</v>
      </c>
      <c r="AB114" s="44">
        <f t="shared" si="5"/>
        <v>3800</v>
      </c>
      <c r="AC114">
        <f t="shared" si="3"/>
        <v>0</v>
      </c>
    </row>
    <row r="115" spans="26:29" x14ac:dyDescent="0.35">
      <c r="Z115">
        <v>39</v>
      </c>
      <c r="AA115">
        <f t="shared" si="6"/>
        <v>390</v>
      </c>
      <c r="AB115" s="44">
        <f t="shared" si="5"/>
        <v>3900</v>
      </c>
      <c r="AC115">
        <f t="shared" si="3"/>
        <v>0</v>
      </c>
    </row>
    <row r="116" spans="26:29" x14ac:dyDescent="0.35">
      <c r="Z116">
        <v>40</v>
      </c>
      <c r="AA116">
        <f t="shared" si="6"/>
        <v>400</v>
      </c>
      <c r="AB116" s="44">
        <f t="shared" si="5"/>
        <v>4000</v>
      </c>
      <c r="AC116">
        <f t="shared" si="3"/>
        <v>0</v>
      </c>
    </row>
    <row r="117" spans="26:29" x14ac:dyDescent="0.35">
      <c r="Z117">
        <v>41</v>
      </c>
      <c r="AA117">
        <f t="shared" si="6"/>
        <v>410</v>
      </c>
      <c r="AB117" s="44">
        <f t="shared" si="5"/>
        <v>4100</v>
      </c>
      <c r="AC117">
        <f t="shared" si="3"/>
        <v>0</v>
      </c>
    </row>
    <row r="118" spans="26:29" x14ac:dyDescent="0.35">
      <c r="Z118">
        <v>42</v>
      </c>
      <c r="AA118">
        <f t="shared" si="6"/>
        <v>420</v>
      </c>
      <c r="AB118" s="44">
        <f t="shared" si="5"/>
        <v>4200</v>
      </c>
      <c r="AC118">
        <f t="shared" si="3"/>
        <v>0</v>
      </c>
    </row>
    <row r="119" spans="26:29" x14ac:dyDescent="0.35">
      <c r="Z119">
        <v>43</v>
      </c>
      <c r="AA119">
        <f t="shared" si="6"/>
        <v>430</v>
      </c>
      <c r="AB119" s="44">
        <f t="shared" si="5"/>
        <v>4300</v>
      </c>
      <c r="AC119">
        <f t="shared" si="3"/>
        <v>0</v>
      </c>
    </row>
    <row r="120" spans="26:29" x14ac:dyDescent="0.35">
      <c r="Z120">
        <v>44</v>
      </c>
      <c r="AA120">
        <f t="shared" si="6"/>
        <v>440</v>
      </c>
      <c r="AB120" s="44">
        <f t="shared" si="5"/>
        <v>4400</v>
      </c>
      <c r="AC120">
        <f t="shared" si="3"/>
        <v>0</v>
      </c>
    </row>
    <row r="121" spans="26:29" x14ac:dyDescent="0.35">
      <c r="Z121">
        <v>45</v>
      </c>
      <c r="AA121">
        <f t="shared" si="6"/>
        <v>450</v>
      </c>
      <c r="AB121" s="44">
        <f t="shared" si="5"/>
        <v>4500</v>
      </c>
      <c r="AC121">
        <f t="shared" si="3"/>
        <v>0</v>
      </c>
    </row>
    <row r="122" spans="26:29" x14ac:dyDescent="0.35">
      <c r="Z122">
        <v>46</v>
      </c>
      <c r="AA122">
        <f t="shared" si="6"/>
        <v>460</v>
      </c>
      <c r="AB122" s="44">
        <f t="shared" si="5"/>
        <v>4600</v>
      </c>
      <c r="AC122">
        <f t="shared" si="3"/>
        <v>0</v>
      </c>
    </row>
    <row r="123" spans="26:29" x14ac:dyDescent="0.35">
      <c r="Z123">
        <v>47</v>
      </c>
      <c r="AA123">
        <f t="shared" si="6"/>
        <v>470</v>
      </c>
      <c r="AB123" s="44">
        <f t="shared" si="5"/>
        <v>4700</v>
      </c>
      <c r="AC123">
        <f t="shared" si="3"/>
        <v>0</v>
      </c>
    </row>
    <row r="124" spans="26:29" x14ac:dyDescent="0.35">
      <c r="Z124">
        <v>48</v>
      </c>
      <c r="AA124">
        <f t="shared" si="6"/>
        <v>480</v>
      </c>
      <c r="AB124" s="44">
        <f t="shared" si="5"/>
        <v>4800</v>
      </c>
      <c r="AC124">
        <f t="shared" si="3"/>
        <v>0</v>
      </c>
    </row>
    <row r="125" spans="26:29" x14ac:dyDescent="0.35">
      <c r="Z125">
        <v>49</v>
      </c>
      <c r="AA125">
        <f t="shared" si="6"/>
        <v>490</v>
      </c>
      <c r="AB125" s="44">
        <f t="shared" si="5"/>
        <v>4900</v>
      </c>
      <c r="AC125">
        <f t="shared" si="3"/>
        <v>0</v>
      </c>
    </row>
    <row r="126" spans="26:29" x14ac:dyDescent="0.35">
      <c r="Z126">
        <v>50</v>
      </c>
      <c r="AA126">
        <f t="shared" si="6"/>
        <v>500</v>
      </c>
      <c r="AB126" s="44">
        <f t="shared" si="5"/>
        <v>5000</v>
      </c>
      <c r="AC126">
        <f t="shared" si="3"/>
        <v>0</v>
      </c>
    </row>
    <row r="127" spans="26:29" x14ac:dyDescent="0.35">
      <c r="Z127">
        <v>51</v>
      </c>
      <c r="AA127">
        <f t="shared" si="6"/>
        <v>510</v>
      </c>
      <c r="AB127" s="44">
        <f t="shared" si="5"/>
        <v>5100</v>
      </c>
      <c r="AC127">
        <f t="shared" si="3"/>
        <v>0</v>
      </c>
    </row>
    <row r="128" spans="26:29" x14ac:dyDescent="0.35">
      <c r="Z128">
        <v>52</v>
      </c>
      <c r="AA128">
        <f t="shared" si="6"/>
        <v>520</v>
      </c>
      <c r="AB128" s="44">
        <f t="shared" si="5"/>
        <v>5200</v>
      </c>
      <c r="AC128">
        <f t="shared" si="3"/>
        <v>0</v>
      </c>
    </row>
    <row r="129" spans="26:29" x14ac:dyDescent="0.35">
      <c r="Z129">
        <v>53</v>
      </c>
      <c r="AA129">
        <f t="shared" si="6"/>
        <v>530</v>
      </c>
      <c r="AB129" s="44">
        <f t="shared" si="5"/>
        <v>5300</v>
      </c>
      <c r="AC129">
        <f t="shared" ref="AC129:AC151" si="7">NORMDIST((AB129+0.5)*B$1,$B$2,$B$4, TRUE)   -   NORMDIST((AB129-0.5)*B$1,$B$2,$B$4, TRUE)</f>
        <v>0</v>
      </c>
    </row>
    <row r="130" spans="26:29" x14ac:dyDescent="0.35">
      <c r="Z130">
        <v>54</v>
      </c>
      <c r="AA130">
        <f t="shared" si="6"/>
        <v>540</v>
      </c>
      <c r="AB130" s="44">
        <f t="shared" ref="AB130:AB151" si="8">AA130  *  E$4/500</f>
        <v>5400</v>
      </c>
      <c r="AC130">
        <f t="shared" si="7"/>
        <v>0</v>
      </c>
    </row>
    <row r="131" spans="26:29" x14ac:dyDescent="0.35">
      <c r="Z131">
        <v>55</v>
      </c>
      <c r="AA131">
        <f t="shared" si="6"/>
        <v>550</v>
      </c>
      <c r="AB131" s="44">
        <f t="shared" si="8"/>
        <v>5500</v>
      </c>
      <c r="AC131">
        <f t="shared" si="7"/>
        <v>0</v>
      </c>
    </row>
    <row r="132" spans="26:29" x14ac:dyDescent="0.35">
      <c r="Z132">
        <v>56</v>
      </c>
      <c r="AA132">
        <f t="shared" si="6"/>
        <v>560</v>
      </c>
      <c r="AB132" s="44">
        <f t="shared" si="8"/>
        <v>5600</v>
      </c>
      <c r="AC132">
        <f t="shared" si="7"/>
        <v>0</v>
      </c>
    </row>
    <row r="133" spans="26:29" x14ac:dyDescent="0.35">
      <c r="Z133">
        <v>57</v>
      </c>
      <c r="AA133">
        <f t="shared" si="6"/>
        <v>570</v>
      </c>
      <c r="AB133" s="44">
        <f t="shared" si="8"/>
        <v>5700</v>
      </c>
      <c r="AC133">
        <f t="shared" si="7"/>
        <v>0</v>
      </c>
    </row>
    <row r="134" spans="26:29" x14ac:dyDescent="0.35">
      <c r="Z134">
        <v>58</v>
      </c>
      <c r="AA134">
        <f t="shared" si="6"/>
        <v>580</v>
      </c>
      <c r="AB134" s="44">
        <f t="shared" si="8"/>
        <v>5800</v>
      </c>
      <c r="AC134">
        <f t="shared" si="7"/>
        <v>0</v>
      </c>
    </row>
    <row r="135" spans="26:29" x14ac:dyDescent="0.35">
      <c r="Z135">
        <v>59</v>
      </c>
      <c r="AA135">
        <f t="shared" si="6"/>
        <v>590</v>
      </c>
      <c r="AB135" s="44">
        <f t="shared" si="8"/>
        <v>5900</v>
      </c>
      <c r="AC135">
        <f t="shared" si="7"/>
        <v>0</v>
      </c>
    </row>
    <row r="136" spans="26:29" x14ac:dyDescent="0.35">
      <c r="Z136">
        <v>60</v>
      </c>
      <c r="AA136">
        <f t="shared" si="6"/>
        <v>600</v>
      </c>
      <c r="AB136" s="44">
        <f t="shared" si="8"/>
        <v>6000</v>
      </c>
      <c r="AC136">
        <f t="shared" si="7"/>
        <v>0</v>
      </c>
    </row>
    <row r="137" spans="26:29" x14ac:dyDescent="0.35">
      <c r="Z137">
        <v>61</v>
      </c>
      <c r="AA137">
        <f t="shared" si="6"/>
        <v>610</v>
      </c>
      <c r="AB137" s="44">
        <f t="shared" si="8"/>
        <v>6100</v>
      </c>
      <c r="AC137">
        <f t="shared" si="7"/>
        <v>0</v>
      </c>
    </row>
    <row r="138" spans="26:29" x14ac:dyDescent="0.35">
      <c r="Z138">
        <v>62</v>
      </c>
      <c r="AA138">
        <f t="shared" si="6"/>
        <v>620</v>
      </c>
      <c r="AB138" s="44">
        <f t="shared" si="8"/>
        <v>6200</v>
      </c>
      <c r="AC138">
        <f t="shared" si="7"/>
        <v>0</v>
      </c>
    </row>
    <row r="139" spans="26:29" x14ac:dyDescent="0.35">
      <c r="Z139">
        <v>63</v>
      </c>
      <c r="AA139">
        <f t="shared" si="6"/>
        <v>630</v>
      </c>
      <c r="AB139" s="44">
        <f t="shared" si="8"/>
        <v>6300</v>
      </c>
      <c r="AC139">
        <f t="shared" si="7"/>
        <v>0</v>
      </c>
    </row>
    <row r="140" spans="26:29" x14ac:dyDescent="0.35">
      <c r="Z140">
        <v>64</v>
      </c>
      <c r="AA140">
        <f t="shared" si="6"/>
        <v>640</v>
      </c>
      <c r="AB140" s="44">
        <f t="shared" si="8"/>
        <v>6400</v>
      </c>
      <c r="AC140">
        <f t="shared" si="7"/>
        <v>0</v>
      </c>
    </row>
    <row r="141" spans="26:29" x14ac:dyDescent="0.35">
      <c r="Z141">
        <v>65</v>
      </c>
      <c r="AA141">
        <f t="shared" si="6"/>
        <v>650</v>
      </c>
      <c r="AB141" s="44">
        <f t="shared" si="8"/>
        <v>6500</v>
      </c>
      <c r="AC141">
        <f t="shared" si="7"/>
        <v>0</v>
      </c>
    </row>
    <row r="142" spans="26:29" x14ac:dyDescent="0.35">
      <c r="Z142">
        <v>66</v>
      </c>
      <c r="AA142">
        <f t="shared" si="6"/>
        <v>660</v>
      </c>
      <c r="AB142" s="44">
        <f t="shared" si="8"/>
        <v>6600</v>
      </c>
      <c r="AC142">
        <f t="shared" si="7"/>
        <v>0</v>
      </c>
    </row>
    <row r="143" spans="26:29" x14ac:dyDescent="0.35">
      <c r="Z143">
        <v>67</v>
      </c>
      <c r="AA143">
        <f t="shared" si="6"/>
        <v>670</v>
      </c>
      <c r="AB143" s="44">
        <f t="shared" si="8"/>
        <v>6700</v>
      </c>
      <c r="AC143">
        <f t="shared" si="7"/>
        <v>0</v>
      </c>
    </row>
    <row r="144" spans="26:29" x14ac:dyDescent="0.35">
      <c r="Z144">
        <v>68</v>
      </c>
      <c r="AA144">
        <f t="shared" si="6"/>
        <v>680</v>
      </c>
      <c r="AB144" s="44">
        <f t="shared" si="8"/>
        <v>6800</v>
      </c>
      <c r="AC144">
        <f t="shared" si="7"/>
        <v>0</v>
      </c>
    </row>
    <row r="145" spans="26:29" x14ac:dyDescent="0.35">
      <c r="Z145">
        <v>69</v>
      </c>
      <c r="AA145">
        <f t="shared" si="6"/>
        <v>690</v>
      </c>
      <c r="AB145" s="44">
        <f t="shared" si="8"/>
        <v>6900</v>
      </c>
      <c r="AC145">
        <f t="shared" si="7"/>
        <v>0</v>
      </c>
    </row>
    <row r="146" spans="26:29" x14ac:dyDescent="0.35">
      <c r="Z146">
        <v>70</v>
      </c>
      <c r="AA146">
        <f t="shared" si="6"/>
        <v>700</v>
      </c>
      <c r="AB146" s="44">
        <f t="shared" si="8"/>
        <v>7000</v>
      </c>
      <c r="AC146">
        <f t="shared" si="7"/>
        <v>0</v>
      </c>
    </row>
    <row r="147" spans="26:29" x14ac:dyDescent="0.35">
      <c r="Z147">
        <v>71</v>
      </c>
      <c r="AA147">
        <f t="shared" si="6"/>
        <v>710</v>
      </c>
      <c r="AB147" s="44">
        <f t="shared" si="8"/>
        <v>7100</v>
      </c>
      <c r="AC147">
        <f t="shared" si="7"/>
        <v>0</v>
      </c>
    </row>
    <row r="148" spans="26:29" x14ac:dyDescent="0.35">
      <c r="Z148">
        <v>72</v>
      </c>
      <c r="AA148">
        <f t="shared" si="6"/>
        <v>720</v>
      </c>
      <c r="AB148" s="44">
        <f t="shared" si="8"/>
        <v>7200</v>
      </c>
      <c r="AC148">
        <f t="shared" si="7"/>
        <v>0</v>
      </c>
    </row>
    <row r="149" spans="26:29" x14ac:dyDescent="0.35">
      <c r="Z149">
        <v>73</v>
      </c>
      <c r="AA149">
        <f t="shared" si="6"/>
        <v>730</v>
      </c>
      <c r="AB149" s="44">
        <f t="shared" si="8"/>
        <v>7300</v>
      </c>
      <c r="AC149">
        <f t="shared" si="7"/>
        <v>0</v>
      </c>
    </row>
    <row r="150" spans="26:29" x14ac:dyDescent="0.35">
      <c r="Z150">
        <v>74</v>
      </c>
      <c r="AA150">
        <f t="shared" si="6"/>
        <v>740</v>
      </c>
      <c r="AB150" s="44">
        <f t="shared" si="8"/>
        <v>7400</v>
      </c>
      <c r="AC150">
        <f t="shared" si="7"/>
        <v>0</v>
      </c>
    </row>
    <row r="151" spans="26:29" x14ac:dyDescent="0.35">
      <c r="Z151">
        <v>75</v>
      </c>
      <c r="AA151">
        <f t="shared" si="6"/>
        <v>750</v>
      </c>
      <c r="AB151" s="44">
        <f t="shared" si="8"/>
        <v>7500</v>
      </c>
      <c r="AC151">
        <f t="shared" si="7"/>
        <v>0</v>
      </c>
    </row>
    <row r="152" spans="26:29" x14ac:dyDescent="0.35">
      <c r="AB152" s="44"/>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Game Summary</vt:lpstr>
      <vt:lpstr>Market Summary</vt:lpstr>
      <vt:lpstr>Change Log</vt:lpstr>
      <vt:lpstr>Flow_Chart</vt:lpstr>
      <vt:lpstr>MathSheet</vt:lpstr>
      <vt:lpstr>Summary</vt:lpstr>
      <vt:lpstr>BaseA</vt:lpstr>
      <vt:lpstr>BaseA_Structure</vt:lpstr>
      <vt:lpstr>BaseB</vt:lpstr>
      <vt:lpstr>BaseB_Structure</vt:lpstr>
      <vt:lpstr>Structure</vt:lpstr>
      <vt:lpstr>BaseC</vt:lpstr>
      <vt:lpstr>BaseC_Structure</vt:lpstr>
      <vt:lpstr>Row_Structure</vt:lpstr>
      <vt:lpstr>Bonus_Game1</vt:lpstr>
      <vt:lpstr>Bonus_Game2</vt:lpstr>
      <vt:lpstr>Bonus_Game3</vt:lpstr>
      <vt:lpstr>Bonus_Game4</vt:lpstr>
      <vt:lpstr>Heat_map_graph_FG</vt:lpstr>
      <vt:lpstr>Heat_map_graph_Bonus1</vt:lpstr>
      <vt:lpstr>Heat_map_graph_Bonus2</vt:lpstr>
      <vt:lpstr>Heat_map_graph_Bonus3</vt:lpstr>
      <vt:lpstr>Heat_map_graph_Bonus4</vt:lpstr>
      <vt:lpstr>Paylines</vt:lpstr>
      <vt:lpstr>Survival_logs</vt:lpstr>
      <vt:lpstr>Base_Volatility_Graph</vt:lpstr>
      <vt:lpstr>FG_Volatility_Graph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Roman Vester</cp:lastModifiedBy>
  <dcterms:created xsi:type="dcterms:W3CDTF">2016-04-20T02:12:09Z</dcterms:created>
  <dcterms:modified xsi:type="dcterms:W3CDTF">2026-08-18T05:25:25Z</dcterms:modified>
</cp:coreProperties>
</file>